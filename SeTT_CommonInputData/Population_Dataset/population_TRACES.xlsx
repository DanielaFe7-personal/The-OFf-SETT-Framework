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y\projets\2021-2024_ANR-FNS_TRACES\donnees\"/>
    </mc:Choice>
  </mc:AlternateContent>
  <xr:revisionPtr revIDLastSave="0" documentId="13_ncr:1_{E90A0313-7D7B-488E-A2F8-26D88F40D357}" xr6:coauthVersionLast="47" xr6:coauthVersionMax="47" xr10:uidLastSave="{00000000-0000-0000-0000-000000000000}"/>
  <bookViews>
    <workbookView xWindow="28680" yWindow="-3825" windowWidth="29040" windowHeight="15720" activeTab="1" xr2:uid="{4B8DD47C-435B-4A00-8FC8-22A6F2C18653}"/>
  </bookViews>
  <sheets>
    <sheet name="metadata" sheetId="1" r:id="rId1"/>
    <sheet name="data" sheetId="2" r:id="rId2"/>
  </sheets>
  <externalReferences>
    <externalReference r:id="rId3"/>
  </externalReferences>
  <definedNames>
    <definedName name="_xlnm._FilterDatabase" localSheetId="1" hidden="1">data!$A$4:$EG$377</definedName>
    <definedName name="statistics_communes">data!$A$4:$EG$377</definedName>
    <definedName name="TRACES_stat_data_communes">data!$A$4:$EG$377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77" i="2" l="1"/>
  <c r="AY377" i="2"/>
  <c r="AX377" i="2"/>
  <c r="AW377" i="2"/>
  <c r="AV377" i="2"/>
  <c r="AU377" i="2"/>
  <c r="AT377" i="2"/>
  <c r="AS377" i="2"/>
  <c r="AZ376" i="2"/>
  <c r="AY376" i="2"/>
  <c r="AX376" i="2"/>
  <c r="AW376" i="2"/>
  <c r="AV376" i="2"/>
  <c r="AU376" i="2"/>
  <c r="AT376" i="2"/>
  <c r="AS376" i="2"/>
  <c r="AZ375" i="2"/>
  <c r="AY375" i="2"/>
  <c r="AX375" i="2"/>
  <c r="AW375" i="2"/>
  <c r="AV375" i="2"/>
  <c r="AU375" i="2"/>
  <c r="AT375" i="2"/>
  <c r="AS375" i="2"/>
  <c r="AZ374" i="2"/>
  <c r="AY374" i="2"/>
  <c r="AX374" i="2"/>
  <c r="AW374" i="2"/>
  <c r="AV374" i="2"/>
  <c r="AU374" i="2"/>
  <c r="AT374" i="2"/>
  <c r="AS374" i="2"/>
  <c r="AZ373" i="2"/>
  <c r="AY373" i="2"/>
  <c r="AX373" i="2"/>
  <c r="AW373" i="2"/>
  <c r="AV373" i="2"/>
  <c r="AU373" i="2"/>
  <c r="AT373" i="2"/>
  <c r="AS373" i="2"/>
  <c r="AZ372" i="2"/>
  <c r="AY372" i="2"/>
  <c r="AX372" i="2"/>
  <c r="AW372" i="2"/>
  <c r="AV372" i="2"/>
  <c r="AU372" i="2"/>
  <c r="AT372" i="2"/>
  <c r="AS372" i="2"/>
  <c r="AZ371" i="2"/>
  <c r="AY371" i="2"/>
  <c r="AX371" i="2"/>
  <c r="AW371" i="2"/>
  <c r="AV371" i="2"/>
  <c r="AU371" i="2"/>
  <c r="AT371" i="2"/>
  <c r="AS371" i="2"/>
  <c r="AZ370" i="2"/>
  <c r="AY370" i="2"/>
  <c r="AX370" i="2"/>
  <c r="AW370" i="2"/>
  <c r="AV370" i="2"/>
  <c r="AU370" i="2"/>
  <c r="AT370" i="2"/>
  <c r="AS370" i="2"/>
  <c r="AZ369" i="2"/>
  <c r="AY369" i="2"/>
  <c r="AX369" i="2"/>
  <c r="AW369" i="2"/>
  <c r="AV369" i="2"/>
  <c r="AU369" i="2"/>
  <c r="AT369" i="2"/>
  <c r="AS369" i="2"/>
  <c r="AZ368" i="2"/>
  <c r="AY368" i="2"/>
  <c r="AX368" i="2"/>
  <c r="AW368" i="2"/>
  <c r="AV368" i="2"/>
  <c r="AU368" i="2"/>
  <c r="AT368" i="2"/>
  <c r="AS368" i="2"/>
  <c r="AZ367" i="2"/>
  <c r="AY367" i="2"/>
  <c r="AX367" i="2"/>
  <c r="AW367" i="2"/>
  <c r="AV367" i="2"/>
  <c r="AU367" i="2"/>
  <c r="AT367" i="2"/>
  <c r="AS367" i="2"/>
  <c r="AZ366" i="2"/>
  <c r="AY366" i="2"/>
  <c r="AX366" i="2"/>
  <c r="AW366" i="2"/>
  <c r="AV366" i="2"/>
  <c r="AU366" i="2"/>
  <c r="AT366" i="2"/>
  <c r="AS366" i="2"/>
  <c r="AZ365" i="2"/>
  <c r="AY365" i="2"/>
  <c r="AX365" i="2"/>
  <c r="AW365" i="2"/>
  <c r="AV365" i="2"/>
  <c r="AU365" i="2"/>
  <c r="AT365" i="2"/>
  <c r="AS365" i="2"/>
  <c r="AZ364" i="2"/>
  <c r="AY364" i="2"/>
  <c r="AX364" i="2"/>
  <c r="AW364" i="2"/>
  <c r="AV364" i="2"/>
  <c r="AU364" i="2"/>
  <c r="AT364" i="2"/>
  <c r="AS364" i="2"/>
  <c r="AZ363" i="2"/>
  <c r="AY363" i="2"/>
  <c r="AX363" i="2"/>
  <c r="AW363" i="2"/>
  <c r="AV363" i="2"/>
  <c r="AU363" i="2"/>
  <c r="AT363" i="2"/>
  <c r="AS363" i="2"/>
  <c r="AZ362" i="2"/>
  <c r="AY362" i="2"/>
  <c r="AX362" i="2"/>
  <c r="AW362" i="2"/>
  <c r="AV362" i="2"/>
  <c r="AU362" i="2"/>
  <c r="AT362" i="2"/>
  <c r="AS362" i="2"/>
  <c r="AZ361" i="2"/>
  <c r="AY361" i="2"/>
  <c r="AX361" i="2"/>
  <c r="AW361" i="2"/>
  <c r="AV361" i="2"/>
  <c r="AU361" i="2"/>
  <c r="AT361" i="2"/>
  <c r="AS361" i="2"/>
  <c r="AZ360" i="2"/>
  <c r="AY360" i="2"/>
  <c r="AX360" i="2"/>
  <c r="AW360" i="2"/>
  <c r="AV360" i="2"/>
  <c r="AU360" i="2"/>
  <c r="AT360" i="2"/>
  <c r="AS360" i="2"/>
  <c r="AZ359" i="2"/>
  <c r="AY359" i="2"/>
  <c r="AX359" i="2"/>
  <c r="AW359" i="2"/>
  <c r="AV359" i="2"/>
  <c r="AU359" i="2"/>
  <c r="AT359" i="2"/>
  <c r="AS359" i="2"/>
  <c r="AZ358" i="2"/>
  <c r="AY358" i="2"/>
  <c r="AX358" i="2"/>
  <c r="AW358" i="2"/>
  <c r="AV358" i="2"/>
  <c r="AU358" i="2"/>
  <c r="AT358" i="2"/>
  <c r="AS358" i="2"/>
  <c r="AZ357" i="2"/>
  <c r="AY357" i="2"/>
  <c r="AX357" i="2"/>
  <c r="AW357" i="2"/>
  <c r="AV357" i="2"/>
  <c r="AU357" i="2"/>
  <c r="AT357" i="2"/>
  <c r="AS357" i="2"/>
  <c r="AZ356" i="2"/>
  <c r="AY356" i="2"/>
  <c r="AX356" i="2"/>
  <c r="AW356" i="2"/>
  <c r="AV356" i="2"/>
  <c r="AU356" i="2"/>
  <c r="AT356" i="2"/>
  <c r="AS356" i="2"/>
  <c r="AZ355" i="2"/>
  <c r="AY355" i="2"/>
  <c r="AX355" i="2"/>
  <c r="AW355" i="2"/>
  <c r="AV355" i="2"/>
  <c r="AU355" i="2"/>
  <c r="AT355" i="2"/>
  <c r="AS355" i="2"/>
  <c r="AZ354" i="2"/>
  <c r="AY354" i="2"/>
  <c r="AX354" i="2"/>
  <c r="AW354" i="2"/>
  <c r="AV354" i="2"/>
  <c r="AU354" i="2"/>
  <c r="AT354" i="2"/>
  <c r="AS354" i="2"/>
  <c r="AZ353" i="2"/>
  <c r="AY353" i="2"/>
  <c r="AX353" i="2"/>
  <c r="AW353" i="2"/>
  <c r="AV353" i="2"/>
  <c r="AU353" i="2"/>
  <c r="AT353" i="2"/>
  <c r="AS353" i="2"/>
  <c r="AZ352" i="2"/>
  <c r="AY352" i="2"/>
  <c r="AX352" i="2"/>
  <c r="AW352" i="2"/>
  <c r="AV352" i="2"/>
  <c r="AU352" i="2"/>
  <c r="AT352" i="2"/>
  <c r="AS352" i="2"/>
  <c r="AZ351" i="2"/>
  <c r="AY351" i="2"/>
  <c r="AX351" i="2"/>
  <c r="AW351" i="2"/>
  <c r="AV351" i="2"/>
  <c r="AU351" i="2"/>
  <c r="AT351" i="2"/>
  <c r="AS351" i="2"/>
  <c r="AZ350" i="2"/>
  <c r="AY350" i="2"/>
  <c r="AX350" i="2"/>
  <c r="AW350" i="2"/>
  <c r="AV350" i="2"/>
  <c r="AU350" i="2"/>
  <c r="AT350" i="2"/>
  <c r="AS350" i="2"/>
  <c r="AZ349" i="2"/>
  <c r="AY349" i="2"/>
  <c r="AX349" i="2"/>
  <c r="AW349" i="2"/>
  <c r="AV349" i="2"/>
  <c r="AU349" i="2"/>
  <c r="AT349" i="2"/>
  <c r="AS349" i="2"/>
  <c r="AZ348" i="2"/>
  <c r="AY348" i="2"/>
  <c r="AX348" i="2"/>
  <c r="AW348" i="2"/>
  <c r="AV348" i="2"/>
  <c r="AU348" i="2"/>
  <c r="AT348" i="2"/>
  <c r="AS348" i="2"/>
  <c r="AZ347" i="2"/>
  <c r="AY347" i="2"/>
  <c r="AX347" i="2"/>
  <c r="AW347" i="2"/>
  <c r="AV347" i="2"/>
  <c r="AU347" i="2"/>
  <c r="AT347" i="2"/>
  <c r="AS347" i="2"/>
  <c r="AZ346" i="2"/>
  <c r="AY346" i="2"/>
  <c r="AX346" i="2"/>
  <c r="AW346" i="2"/>
  <c r="AV346" i="2"/>
  <c r="AU346" i="2"/>
  <c r="AT346" i="2"/>
  <c r="AS346" i="2"/>
  <c r="AZ345" i="2"/>
  <c r="AY345" i="2"/>
  <c r="AX345" i="2"/>
  <c r="AW345" i="2"/>
  <c r="AV345" i="2"/>
  <c r="AU345" i="2"/>
  <c r="AT345" i="2"/>
  <c r="AS345" i="2"/>
  <c r="AZ344" i="2"/>
  <c r="AY344" i="2"/>
  <c r="AX344" i="2"/>
  <c r="AW344" i="2"/>
  <c r="AV344" i="2"/>
  <c r="AU344" i="2"/>
  <c r="AT344" i="2"/>
  <c r="AS344" i="2"/>
  <c r="AZ343" i="2"/>
  <c r="AY343" i="2"/>
  <c r="AX343" i="2"/>
  <c r="AW343" i="2"/>
  <c r="AV343" i="2"/>
  <c r="AU343" i="2"/>
  <c r="AT343" i="2"/>
  <c r="AS343" i="2"/>
  <c r="AZ342" i="2"/>
  <c r="AY342" i="2"/>
  <c r="AX342" i="2"/>
  <c r="AW342" i="2"/>
  <c r="AV342" i="2"/>
  <c r="AU342" i="2"/>
  <c r="AT342" i="2"/>
  <c r="AS342" i="2"/>
  <c r="AZ341" i="2"/>
  <c r="AY341" i="2"/>
  <c r="AX341" i="2"/>
  <c r="AW341" i="2"/>
  <c r="AV341" i="2"/>
  <c r="AU341" i="2"/>
  <c r="AT341" i="2"/>
  <c r="AS341" i="2"/>
  <c r="AZ340" i="2"/>
  <c r="AY340" i="2"/>
  <c r="AX340" i="2"/>
  <c r="AW340" i="2"/>
  <c r="AV340" i="2"/>
  <c r="AU340" i="2"/>
  <c r="AT340" i="2"/>
  <c r="AS340" i="2"/>
  <c r="AZ339" i="2"/>
  <c r="AY339" i="2"/>
  <c r="AX339" i="2"/>
  <c r="AW339" i="2"/>
  <c r="AV339" i="2"/>
  <c r="AU339" i="2"/>
  <c r="AT339" i="2"/>
  <c r="AS339" i="2"/>
  <c r="AZ338" i="2"/>
  <c r="AY338" i="2"/>
  <c r="AX338" i="2"/>
  <c r="AW338" i="2"/>
  <c r="AV338" i="2"/>
  <c r="AU338" i="2"/>
  <c r="AT338" i="2"/>
  <c r="AS338" i="2"/>
  <c r="AZ337" i="2"/>
  <c r="AY337" i="2"/>
  <c r="AX337" i="2"/>
  <c r="AW337" i="2"/>
  <c r="AV337" i="2"/>
  <c r="AU337" i="2"/>
  <c r="AT337" i="2"/>
  <c r="AS337" i="2"/>
  <c r="AZ336" i="2"/>
  <c r="AY336" i="2"/>
  <c r="AX336" i="2"/>
  <c r="AW336" i="2"/>
  <c r="AV336" i="2"/>
  <c r="AU336" i="2"/>
  <c r="AT336" i="2"/>
  <c r="AS336" i="2"/>
  <c r="AZ335" i="2"/>
  <c r="AY335" i="2"/>
  <c r="AX335" i="2"/>
  <c r="AW335" i="2"/>
  <c r="AV335" i="2"/>
  <c r="AU335" i="2"/>
  <c r="AT335" i="2"/>
  <c r="AS335" i="2"/>
  <c r="AZ334" i="2"/>
  <c r="AY334" i="2"/>
  <c r="AX334" i="2"/>
  <c r="AW334" i="2"/>
  <c r="AV334" i="2"/>
  <c r="AU334" i="2"/>
  <c r="AT334" i="2"/>
  <c r="AS334" i="2"/>
  <c r="AZ333" i="2"/>
  <c r="AY333" i="2"/>
  <c r="AX333" i="2"/>
  <c r="AW333" i="2"/>
  <c r="AV333" i="2"/>
  <c r="AU333" i="2"/>
  <c r="AT333" i="2"/>
  <c r="AS333" i="2"/>
  <c r="AZ332" i="2"/>
  <c r="AY332" i="2"/>
  <c r="AX332" i="2"/>
  <c r="AW332" i="2"/>
  <c r="AV332" i="2"/>
  <c r="AU332" i="2"/>
  <c r="AT332" i="2"/>
  <c r="AS332" i="2"/>
  <c r="AZ331" i="2"/>
  <c r="AY331" i="2"/>
  <c r="AX331" i="2"/>
  <c r="AW331" i="2"/>
  <c r="AV331" i="2"/>
  <c r="AU331" i="2"/>
  <c r="AT331" i="2"/>
  <c r="AS331" i="2"/>
  <c r="AZ330" i="2"/>
  <c r="AY330" i="2"/>
  <c r="AX330" i="2"/>
  <c r="AW330" i="2"/>
  <c r="AV330" i="2"/>
  <c r="AU330" i="2"/>
  <c r="AT330" i="2"/>
  <c r="AS330" i="2"/>
  <c r="AZ329" i="2"/>
  <c r="AY329" i="2"/>
  <c r="AX329" i="2"/>
  <c r="AW329" i="2"/>
  <c r="AV329" i="2"/>
  <c r="AU329" i="2"/>
  <c r="AT329" i="2"/>
  <c r="AS329" i="2"/>
  <c r="AZ328" i="2"/>
  <c r="AY328" i="2"/>
  <c r="AX328" i="2"/>
  <c r="AW328" i="2"/>
  <c r="AV328" i="2"/>
  <c r="AU328" i="2"/>
  <c r="AT328" i="2"/>
  <c r="AS328" i="2"/>
  <c r="AZ327" i="2"/>
  <c r="AY327" i="2"/>
  <c r="AX327" i="2"/>
  <c r="AW327" i="2"/>
  <c r="AV327" i="2"/>
  <c r="AU327" i="2"/>
  <c r="AT327" i="2"/>
  <c r="AS327" i="2"/>
  <c r="AZ326" i="2"/>
  <c r="AY326" i="2"/>
  <c r="AX326" i="2"/>
  <c r="AW326" i="2"/>
  <c r="AV326" i="2"/>
  <c r="AU326" i="2"/>
  <c r="AT326" i="2"/>
  <c r="AS326" i="2"/>
  <c r="AZ325" i="2"/>
  <c r="AY325" i="2"/>
  <c r="AX325" i="2"/>
  <c r="AW325" i="2"/>
  <c r="AV325" i="2"/>
  <c r="AU325" i="2"/>
  <c r="AT325" i="2"/>
  <c r="AS325" i="2"/>
  <c r="AZ324" i="2"/>
  <c r="AY324" i="2"/>
  <c r="AX324" i="2"/>
  <c r="AW324" i="2"/>
  <c r="AV324" i="2"/>
  <c r="AU324" i="2"/>
  <c r="AT324" i="2"/>
  <c r="AS324" i="2"/>
  <c r="AZ323" i="2"/>
  <c r="AY323" i="2"/>
  <c r="AX323" i="2"/>
  <c r="AW323" i="2"/>
  <c r="AV323" i="2"/>
  <c r="AU323" i="2"/>
  <c r="AT323" i="2"/>
  <c r="AS323" i="2"/>
  <c r="AZ322" i="2"/>
  <c r="AY322" i="2"/>
  <c r="AX322" i="2"/>
  <c r="AW322" i="2"/>
  <c r="AV322" i="2"/>
  <c r="AU322" i="2"/>
  <c r="AT322" i="2"/>
  <c r="AS322" i="2"/>
  <c r="AZ321" i="2"/>
  <c r="AY321" i="2"/>
  <c r="AX321" i="2"/>
  <c r="AW321" i="2"/>
  <c r="AV321" i="2"/>
  <c r="AU321" i="2"/>
  <c r="AT321" i="2"/>
  <c r="AS321" i="2"/>
  <c r="AZ320" i="2"/>
  <c r="AY320" i="2"/>
  <c r="AX320" i="2"/>
  <c r="AW320" i="2"/>
  <c r="AV320" i="2"/>
  <c r="AU320" i="2"/>
  <c r="AT320" i="2"/>
  <c r="AS320" i="2"/>
  <c r="AZ319" i="2"/>
  <c r="AY319" i="2"/>
  <c r="AX319" i="2"/>
  <c r="AW319" i="2"/>
  <c r="AV319" i="2"/>
  <c r="AU319" i="2"/>
  <c r="AT319" i="2"/>
  <c r="AS319" i="2"/>
  <c r="AZ318" i="2"/>
  <c r="AY318" i="2"/>
  <c r="AX318" i="2"/>
  <c r="AW318" i="2"/>
  <c r="AV318" i="2"/>
  <c r="AU318" i="2"/>
  <c r="AT318" i="2"/>
  <c r="AS318" i="2"/>
  <c r="AZ317" i="2"/>
  <c r="AY317" i="2"/>
  <c r="AX317" i="2"/>
  <c r="AW317" i="2"/>
  <c r="AV317" i="2"/>
  <c r="AU317" i="2"/>
  <c r="AT317" i="2"/>
  <c r="AS317" i="2"/>
  <c r="AZ316" i="2"/>
  <c r="AY316" i="2"/>
  <c r="AX316" i="2"/>
  <c r="AW316" i="2"/>
  <c r="AV316" i="2"/>
  <c r="AU316" i="2"/>
  <c r="AT316" i="2"/>
  <c r="AS316" i="2"/>
  <c r="AZ315" i="2"/>
  <c r="AY315" i="2"/>
  <c r="AX315" i="2"/>
  <c r="AW315" i="2"/>
  <c r="AV315" i="2"/>
  <c r="AU315" i="2"/>
  <c r="AT315" i="2"/>
  <c r="AS315" i="2"/>
  <c r="AZ314" i="2"/>
  <c r="AY314" i="2"/>
  <c r="AX314" i="2"/>
  <c r="AW314" i="2"/>
  <c r="AV314" i="2"/>
  <c r="AU314" i="2"/>
  <c r="AT314" i="2"/>
  <c r="AS314" i="2"/>
  <c r="AZ313" i="2"/>
  <c r="AY313" i="2"/>
  <c r="AX313" i="2"/>
  <c r="AW313" i="2"/>
  <c r="AV313" i="2"/>
  <c r="AU313" i="2"/>
  <c r="AT313" i="2"/>
  <c r="AS313" i="2"/>
  <c r="AZ312" i="2"/>
  <c r="AY312" i="2"/>
  <c r="AX312" i="2"/>
  <c r="AW312" i="2"/>
  <c r="AV312" i="2"/>
  <c r="AU312" i="2"/>
  <c r="AT312" i="2"/>
  <c r="AS312" i="2"/>
  <c r="AZ311" i="2"/>
  <c r="AY311" i="2"/>
  <c r="AX311" i="2"/>
  <c r="AW311" i="2"/>
  <c r="AV311" i="2"/>
  <c r="AU311" i="2"/>
  <c r="AT311" i="2"/>
  <c r="AS311" i="2"/>
  <c r="AZ310" i="2"/>
  <c r="AY310" i="2"/>
  <c r="AX310" i="2"/>
  <c r="AW310" i="2"/>
  <c r="AV310" i="2"/>
  <c r="AU310" i="2"/>
  <c r="AT310" i="2"/>
  <c r="AS310" i="2"/>
  <c r="AZ309" i="2"/>
  <c r="AY309" i="2"/>
  <c r="AX309" i="2"/>
  <c r="AW309" i="2"/>
  <c r="AV309" i="2"/>
  <c r="AU309" i="2"/>
  <c r="AT309" i="2"/>
  <c r="AS309" i="2"/>
  <c r="AZ308" i="2"/>
  <c r="AY308" i="2"/>
  <c r="AX308" i="2"/>
  <c r="AW308" i="2"/>
  <c r="AV308" i="2"/>
  <c r="AU308" i="2"/>
  <c r="AT308" i="2"/>
  <c r="AS308" i="2"/>
  <c r="AZ307" i="2"/>
  <c r="AY307" i="2"/>
  <c r="AX307" i="2"/>
  <c r="AW307" i="2"/>
  <c r="AV307" i="2"/>
  <c r="AU307" i="2"/>
  <c r="AT307" i="2"/>
  <c r="AS307" i="2"/>
  <c r="AZ306" i="2"/>
  <c r="AY306" i="2"/>
  <c r="AX306" i="2"/>
  <c r="AW306" i="2"/>
  <c r="AV306" i="2"/>
  <c r="AU306" i="2"/>
  <c r="AT306" i="2"/>
  <c r="AS306" i="2"/>
  <c r="AZ305" i="2"/>
  <c r="AY305" i="2"/>
  <c r="AX305" i="2"/>
  <c r="AW305" i="2"/>
  <c r="AV305" i="2"/>
  <c r="AU305" i="2"/>
  <c r="AT305" i="2"/>
  <c r="AS305" i="2"/>
  <c r="AZ304" i="2"/>
  <c r="AY304" i="2"/>
  <c r="AX304" i="2"/>
  <c r="AW304" i="2"/>
  <c r="AV304" i="2"/>
  <c r="AU304" i="2"/>
  <c r="AT304" i="2"/>
  <c r="AS304" i="2"/>
  <c r="AZ303" i="2"/>
  <c r="AY303" i="2"/>
  <c r="AX303" i="2"/>
  <c r="AW303" i="2"/>
  <c r="AV303" i="2"/>
  <c r="AU303" i="2"/>
  <c r="AT303" i="2"/>
  <c r="AS303" i="2"/>
  <c r="AZ302" i="2"/>
  <c r="AY302" i="2"/>
  <c r="AX302" i="2"/>
  <c r="AW302" i="2"/>
  <c r="AV302" i="2"/>
  <c r="AU302" i="2"/>
  <c r="AT302" i="2"/>
  <c r="AS302" i="2"/>
  <c r="AZ301" i="2"/>
  <c r="AY301" i="2"/>
  <c r="AX301" i="2"/>
  <c r="AW301" i="2"/>
  <c r="AV301" i="2"/>
  <c r="AU301" i="2"/>
  <c r="AT301" i="2"/>
  <c r="AS301" i="2"/>
  <c r="AZ300" i="2"/>
  <c r="AY300" i="2"/>
  <c r="AX300" i="2"/>
  <c r="AW300" i="2"/>
  <c r="AV300" i="2"/>
  <c r="AU300" i="2"/>
  <c r="AT300" i="2"/>
  <c r="AS300" i="2"/>
  <c r="AZ299" i="2"/>
  <c r="AY299" i="2"/>
  <c r="AX299" i="2"/>
  <c r="AW299" i="2"/>
  <c r="AV299" i="2"/>
  <c r="AU299" i="2"/>
  <c r="AT299" i="2"/>
  <c r="AS299" i="2"/>
  <c r="AZ298" i="2"/>
  <c r="AY298" i="2"/>
  <c r="AX298" i="2"/>
  <c r="AW298" i="2"/>
  <c r="AV298" i="2"/>
  <c r="AU298" i="2"/>
  <c r="AT298" i="2"/>
  <c r="AS298" i="2"/>
  <c r="AZ297" i="2"/>
  <c r="AY297" i="2"/>
  <c r="AX297" i="2"/>
  <c r="AW297" i="2"/>
  <c r="AV297" i="2"/>
  <c r="AU297" i="2"/>
  <c r="AT297" i="2"/>
  <c r="AS297" i="2"/>
  <c r="AZ296" i="2"/>
  <c r="AY296" i="2"/>
  <c r="AX296" i="2"/>
  <c r="AW296" i="2"/>
  <c r="AV296" i="2"/>
  <c r="AU296" i="2"/>
  <c r="AT296" i="2"/>
  <c r="AS296" i="2"/>
  <c r="AZ295" i="2"/>
  <c r="AY295" i="2"/>
  <c r="AX295" i="2"/>
  <c r="AW295" i="2"/>
  <c r="AV295" i="2"/>
  <c r="AU295" i="2"/>
  <c r="AT295" i="2"/>
  <c r="AS295" i="2"/>
  <c r="AZ294" i="2"/>
  <c r="AY294" i="2"/>
  <c r="AX294" i="2"/>
  <c r="AW294" i="2"/>
  <c r="AV294" i="2"/>
  <c r="AU294" i="2"/>
  <c r="AT294" i="2"/>
  <c r="AS294" i="2"/>
  <c r="AZ293" i="2"/>
  <c r="AY293" i="2"/>
  <c r="AX293" i="2"/>
  <c r="AW293" i="2"/>
  <c r="AV293" i="2"/>
  <c r="AU293" i="2"/>
  <c r="AT293" i="2"/>
  <c r="AS293" i="2"/>
  <c r="AZ292" i="2"/>
  <c r="AY292" i="2"/>
  <c r="AX292" i="2"/>
  <c r="AW292" i="2"/>
  <c r="AV292" i="2"/>
  <c r="AU292" i="2"/>
  <c r="AT292" i="2"/>
  <c r="AS292" i="2"/>
  <c r="AZ291" i="2"/>
  <c r="AY291" i="2"/>
  <c r="AX291" i="2"/>
  <c r="AW291" i="2"/>
  <c r="AV291" i="2"/>
  <c r="AU291" i="2"/>
  <c r="AT291" i="2"/>
  <c r="AS291" i="2"/>
  <c r="AZ290" i="2"/>
  <c r="AY290" i="2"/>
  <c r="AX290" i="2"/>
  <c r="AW290" i="2"/>
  <c r="AV290" i="2"/>
  <c r="AU290" i="2"/>
  <c r="AT290" i="2"/>
  <c r="AS290" i="2"/>
  <c r="AZ289" i="2"/>
  <c r="AY289" i="2"/>
  <c r="AX289" i="2"/>
  <c r="AW289" i="2"/>
  <c r="AV289" i="2"/>
  <c r="AU289" i="2"/>
  <c r="AT289" i="2"/>
  <c r="AS289" i="2"/>
  <c r="AZ288" i="2"/>
  <c r="AY288" i="2"/>
  <c r="AX288" i="2"/>
  <c r="AW288" i="2"/>
  <c r="AV288" i="2"/>
  <c r="AU288" i="2"/>
  <c r="AT288" i="2"/>
  <c r="AS288" i="2"/>
  <c r="AZ287" i="2"/>
  <c r="AY287" i="2"/>
  <c r="AX287" i="2"/>
  <c r="AW287" i="2"/>
  <c r="AV287" i="2"/>
  <c r="AU287" i="2"/>
  <c r="AT287" i="2"/>
  <c r="AS287" i="2"/>
  <c r="AZ286" i="2"/>
  <c r="AY286" i="2"/>
  <c r="AX286" i="2"/>
  <c r="AW286" i="2"/>
  <c r="AV286" i="2"/>
  <c r="AU286" i="2"/>
  <c r="AT286" i="2"/>
  <c r="AS286" i="2"/>
  <c r="AZ285" i="2"/>
  <c r="AY285" i="2"/>
  <c r="AX285" i="2"/>
  <c r="AW285" i="2"/>
  <c r="AV285" i="2"/>
  <c r="AU285" i="2"/>
  <c r="AT285" i="2"/>
  <c r="AS285" i="2"/>
  <c r="AZ284" i="2"/>
  <c r="AY284" i="2"/>
  <c r="AX284" i="2"/>
  <c r="AW284" i="2"/>
  <c r="AV284" i="2"/>
  <c r="AU284" i="2"/>
  <c r="AT284" i="2"/>
  <c r="AS284" i="2"/>
  <c r="AZ283" i="2"/>
  <c r="AY283" i="2"/>
  <c r="AX283" i="2"/>
  <c r="AW283" i="2"/>
  <c r="AV283" i="2"/>
  <c r="AU283" i="2"/>
  <c r="AT283" i="2"/>
  <c r="AS283" i="2"/>
  <c r="AZ282" i="2"/>
  <c r="AY282" i="2"/>
  <c r="AX282" i="2"/>
  <c r="AW282" i="2"/>
  <c r="AV282" i="2"/>
  <c r="AU282" i="2"/>
  <c r="AT282" i="2"/>
  <c r="AS282" i="2"/>
  <c r="AZ281" i="2"/>
  <c r="AY281" i="2"/>
  <c r="AX281" i="2"/>
  <c r="AW281" i="2"/>
  <c r="AV281" i="2"/>
  <c r="AU281" i="2"/>
  <c r="AT281" i="2"/>
  <c r="AS281" i="2"/>
  <c r="AZ280" i="2"/>
  <c r="AY280" i="2"/>
  <c r="AX280" i="2"/>
  <c r="AW280" i="2"/>
  <c r="AV280" i="2"/>
  <c r="AU280" i="2"/>
  <c r="AT280" i="2"/>
  <c r="AS280" i="2"/>
  <c r="AZ279" i="2"/>
  <c r="AY279" i="2"/>
  <c r="AX279" i="2"/>
  <c r="AW279" i="2"/>
  <c r="AV279" i="2"/>
  <c r="AU279" i="2"/>
  <c r="AT279" i="2"/>
  <c r="AS279" i="2"/>
  <c r="AZ278" i="2"/>
  <c r="AY278" i="2"/>
  <c r="AX278" i="2"/>
  <c r="AW278" i="2"/>
  <c r="AV278" i="2"/>
  <c r="AU278" i="2"/>
  <c r="AT278" i="2"/>
  <c r="AS278" i="2"/>
  <c r="AZ277" i="2"/>
  <c r="AY277" i="2"/>
  <c r="AX277" i="2"/>
  <c r="AW277" i="2"/>
  <c r="AV277" i="2"/>
  <c r="AU277" i="2"/>
  <c r="AT277" i="2"/>
  <c r="AS277" i="2"/>
  <c r="AZ276" i="2"/>
  <c r="AY276" i="2"/>
  <c r="AX276" i="2"/>
  <c r="AW276" i="2"/>
  <c r="AV276" i="2"/>
  <c r="AU276" i="2"/>
  <c r="AT276" i="2"/>
  <c r="AS276" i="2"/>
  <c r="AZ275" i="2"/>
  <c r="AY275" i="2"/>
  <c r="AX275" i="2"/>
  <c r="AW275" i="2"/>
  <c r="AV275" i="2"/>
  <c r="AU275" i="2"/>
  <c r="AT275" i="2"/>
  <c r="AS275" i="2"/>
  <c r="AZ274" i="2"/>
  <c r="AY274" i="2"/>
  <c r="AX274" i="2"/>
  <c r="AW274" i="2"/>
  <c r="AV274" i="2"/>
  <c r="AU274" i="2"/>
  <c r="AT274" i="2"/>
  <c r="AS274" i="2"/>
  <c r="AZ273" i="2"/>
  <c r="AY273" i="2"/>
  <c r="AX273" i="2"/>
  <c r="AW273" i="2"/>
  <c r="AV273" i="2"/>
  <c r="AU273" i="2"/>
  <c r="AT273" i="2"/>
  <c r="AS273" i="2"/>
  <c r="AZ272" i="2"/>
  <c r="AY272" i="2"/>
  <c r="AX272" i="2"/>
  <c r="AW272" i="2"/>
  <c r="AV272" i="2"/>
  <c r="AU272" i="2"/>
  <c r="AT272" i="2"/>
  <c r="AS272" i="2"/>
  <c r="AZ271" i="2"/>
  <c r="AY271" i="2"/>
  <c r="AX271" i="2"/>
  <c r="AW271" i="2"/>
  <c r="AV271" i="2"/>
  <c r="AU271" i="2"/>
  <c r="AT271" i="2"/>
  <c r="AS271" i="2"/>
  <c r="AZ270" i="2"/>
  <c r="AY270" i="2"/>
  <c r="AX270" i="2"/>
  <c r="AW270" i="2"/>
  <c r="AV270" i="2"/>
  <c r="AU270" i="2"/>
  <c r="AT270" i="2"/>
  <c r="AS270" i="2"/>
  <c r="AZ269" i="2"/>
  <c r="AY269" i="2"/>
  <c r="AX269" i="2"/>
  <c r="AW269" i="2"/>
  <c r="AV269" i="2"/>
  <c r="AU269" i="2"/>
  <c r="AT269" i="2"/>
  <c r="AS269" i="2"/>
  <c r="AZ268" i="2"/>
  <c r="AY268" i="2"/>
  <c r="AX268" i="2"/>
  <c r="AW268" i="2"/>
  <c r="AV268" i="2"/>
  <c r="AU268" i="2"/>
  <c r="AT268" i="2"/>
  <c r="AS268" i="2"/>
  <c r="AZ267" i="2"/>
  <c r="AY267" i="2"/>
  <c r="AX267" i="2"/>
  <c r="AW267" i="2"/>
  <c r="AV267" i="2"/>
  <c r="AU267" i="2"/>
  <c r="AT267" i="2"/>
  <c r="AS267" i="2"/>
  <c r="AZ266" i="2"/>
  <c r="AY266" i="2"/>
  <c r="AX266" i="2"/>
  <c r="AW266" i="2"/>
  <c r="AV266" i="2"/>
  <c r="AU266" i="2"/>
  <c r="AT266" i="2"/>
  <c r="AS266" i="2"/>
  <c r="AZ265" i="2"/>
  <c r="AY265" i="2"/>
  <c r="AX265" i="2"/>
  <c r="AW265" i="2"/>
  <c r="AV265" i="2"/>
  <c r="AU265" i="2"/>
  <c r="AT265" i="2"/>
  <c r="AS265" i="2"/>
  <c r="AZ264" i="2"/>
  <c r="AY264" i="2"/>
  <c r="AX264" i="2"/>
  <c r="AW264" i="2"/>
  <c r="AV264" i="2"/>
  <c r="AU264" i="2"/>
  <c r="AT264" i="2"/>
  <c r="AS264" i="2"/>
  <c r="AZ263" i="2"/>
  <c r="AY263" i="2"/>
  <c r="AX263" i="2"/>
  <c r="AW263" i="2"/>
  <c r="AV263" i="2"/>
  <c r="AU263" i="2"/>
  <c r="AT263" i="2"/>
  <c r="AS263" i="2"/>
  <c r="AZ262" i="2"/>
  <c r="AY262" i="2"/>
  <c r="AX262" i="2"/>
  <c r="AW262" i="2"/>
  <c r="AV262" i="2"/>
  <c r="AU262" i="2"/>
  <c r="AT262" i="2"/>
  <c r="AS262" i="2"/>
  <c r="AZ261" i="2"/>
  <c r="AY261" i="2"/>
  <c r="AX261" i="2"/>
  <c r="AW261" i="2"/>
  <c r="AV261" i="2"/>
  <c r="AU261" i="2"/>
  <c r="AT261" i="2"/>
  <c r="AS261" i="2"/>
  <c r="AZ260" i="2"/>
  <c r="AY260" i="2"/>
  <c r="AX260" i="2"/>
  <c r="AW260" i="2"/>
  <c r="AV260" i="2"/>
  <c r="AU260" i="2"/>
  <c r="AT260" i="2"/>
  <c r="AS260" i="2"/>
  <c r="AZ259" i="2"/>
  <c r="AY259" i="2"/>
  <c r="AX259" i="2"/>
  <c r="AW259" i="2"/>
  <c r="AV259" i="2"/>
  <c r="AU259" i="2"/>
  <c r="AT259" i="2"/>
  <c r="AS259" i="2"/>
  <c r="AZ258" i="2"/>
  <c r="AY258" i="2"/>
  <c r="AX258" i="2"/>
  <c r="AW258" i="2"/>
  <c r="AV258" i="2"/>
  <c r="AU258" i="2"/>
  <c r="AT258" i="2"/>
  <c r="AS258" i="2"/>
  <c r="AZ257" i="2"/>
  <c r="AY257" i="2"/>
  <c r="AX257" i="2"/>
  <c r="AW257" i="2"/>
  <c r="AV257" i="2"/>
  <c r="AU257" i="2"/>
  <c r="AT257" i="2"/>
  <c r="AS257" i="2"/>
  <c r="AZ256" i="2"/>
  <c r="AY256" i="2"/>
  <c r="AX256" i="2"/>
  <c r="AW256" i="2"/>
  <c r="AV256" i="2"/>
  <c r="AU256" i="2"/>
  <c r="AT256" i="2"/>
  <c r="AS256" i="2"/>
  <c r="AZ255" i="2"/>
  <c r="AY255" i="2"/>
  <c r="AX255" i="2"/>
  <c r="AW255" i="2"/>
  <c r="AV255" i="2"/>
  <c r="AU255" i="2"/>
  <c r="AT255" i="2"/>
  <c r="AS255" i="2"/>
  <c r="AZ254" i="2"/>
  <c r="AY254" i="2"/>
  <c r="AX254" i="2"/>
  <c r="AW254" i="2"/>
  <c r="AV254" i="2"/>
  <c r="AU254" i="2"/>
  <c r="AT254" i="2"/>
  <c r="AS254" i="2"/>
  <c r="AZ253" i="2"/>
  <c r="AY253" i="2"/>
  <c r="AX253" i="2"/>
  <c r="AW253" i="2"/>
  <c r="AV253" i="2"/>
  <c r="AU253" i="2"/>
  <c r="AT253" i="2"/>
  <c r="AS253" i="2"/>
  <c r="AZ252" i="2"/>
  <c r="AY252" i="2"/>
  <c r="AX252" i="2"/>
  <c r="AW252" i="2"/>
  <c r="AV252" i="2"/>
  <c r="AU252" i="2"/>
  <c r="AT252" i="2"/>
  <c r="AS252" i="2"/>
  <c r="AZ251" i="2"/>
  <c r="AY251" i="2"/>
  <c r="AX251" i="2"/>
  <c r="AW251" i="2"/>
  <c r="AV251" i="2"/>
  <c r="AU251" i="2"/>
  <c r="AT251" i="2"/>
  <c r="AS251" i="2"/>
  <c r="AZ250" i="2"/>
  <c r="AY250" i="2"/>
  <c r="AX250" i="2"/>
  <c r="AW250" i="2"/>
  <c r="AV250" i="2"/>
  <c r="AU250" i="2"/>
  <c r="AT250" i="2"/>
  <c r="AS250" i="2"/>
  <c r="AZ249" i="2"/>
  <c r="AY249" i="2"/>
  <c r="AX249" i="2"/>
  <c r="AW249" i="2"/>
  <c r="AV249" i="2"/>
  <c r="AU249" i="2"/>
  <c r="AT249" i="2"/>
  <c r="AS249" i="2"/>
  <c r="AZ248" i="2"/>
  <c r="AY248" i="2"/>
  <c r="AX248" i="2"/>
  <c r="AW248" i="2"/>
  <c r="AV248" i="2"/>
  <c r="AU248" i="2"/>
  <c r="AT248" i="2"/>
  <c r="AS248" i="2"/>
  <c r="AZ247" i="2"/>
  <c r="AY247" i="2"/>
  <c r="AX247" i="2"/>
  <c r="AW247" i="2"/>
  <c r="AV247" i="2"/>
  <c r="AU247" i="2"/>
  <c r="AT247" i="2"/>
  <c r="AS247" i="2"/>
  <c r="AZ246" i="2"/>
  <c r="AY246" i="2"/>
  <c r="AX246" i="2"/>
  <c r="AW246" i="2"/>
  <c r="AV246" i="2"/>
  <c r="AU246" i="2"/>
  <c r="AT246" i="2"/>
  <c r="AS246" i="2"/>
  <c r="AZ245" i="2"/>
  <c r="AY245" i="2"/>
  <c r="AX245" i="2"/>
  <c r="AW245" i="2"/>
  <c r="AV245" i="2"/>
  <c r="AU245" i="2"/>
  <c r="AT245" i="2"/>
  <c r="AS245" i="2"/>
  <c r="AZ244" i="2"/>
  <c r="AY244" i="2"/>
  <c r="AX244" i="2"/>
  <c r="AW244" i="2"/>
  <c r="AV244" i="2"/>
  <c r="AU244" i="2"/>
  <c r="AT244" i="2"/>
  <c r="AS244" i="2"/>
  <c r="AZ243" i="2"/>
  <c r="AY243" i="2"/>
  <c r="AX243" i="2"/>
  <c r="AW243" i="2"/>
  <c r="AV243" i="2"/>
  <c r="AU243" i="2"/>
  <c r="AT243" i="2"/>
  <c r="AS243" i="2"/>
  <c r="AZ242" i="2"/>
  <c r="AY242" i="2"/>
  <c r="AX242" i="2"/>
  <c r="AW242" i="2"/>
  <c r="AV242" i="2"/>
  <c r="AU242" i="2"/>
  <c r="AT242" i="2"/>
  <c r="AS242" i="2"/>
  <c r="AZ241" i="2"/>
  <c r="AY241" i="2"/>
  <c r="AX241" i="2"/>
  <c r="AW241" i="2"/>
  <c r="AV241" i="2"/>
  <c r="AU241" i="2"/>
  <c r="AT241" i="2"/>
  <c r="AS241" i="2"/>
  <c r="AZ240" i="2"/>
  <c r="AY240" i="2"/>
  <c r="AX240" i="2"/>
  <c r="AW240" i="2"/>
  <c r="AV240" i="2"/>
  <c r="AU240" i="2"/>
  <c r="AT240" i="2"/>
  <c r="AS240" i="2"/>
  <c r="AZ239" i="2"/>
  <c r="AY239" i="2"/>
  <c r="AX239" i="2"/>
  <c r="AW239" i="2"/>
  <c r="AV239" i="2"/>
  <c r="AU239" i="2"/>
  <c r="AT239" i="2"/>
  <c r="AS239" i="2"/>
  <c r="AZ238" i="2"/>
  <c r="AY238" i="2"/>
  <c r="AX238" i="2"/>
  <c r="AW238" i="2"/>
  <c r="AV238" i="2"/>
  <c r="AU238" i="2"/>
  <c r="AT238" i="2"/>
  <c r="AS238" i="2"/>
  <c r="AZ237" i="2"/>
  <c r="AY237" i="2"/>
  <c r="AX237" i="2"/>
  <c r="AW237" i="2"/>
  <c r="AV237" i="2"/>
  <c r="AU237" i="2"/>
  <c r="AT237" i="2"/>
  <c r="AS237" i="2"/>
  <c r="AZ236" i="2"/>
  <c r="AY236" i="2"/>
  <c r="AX236" i="2"/>
  <c r="AW236" i="2"/>
  <c r="AV236" i="2"/>
  <c r="AU236" i="2"/>
  <c r="AT236" i="2"/>
  <c r="AS236" i="2"/>
  <c r="AZ235" i="2"/>
  <c r="AY235" i="2"/>
  <c r="AX235" i="2"/>
  <c r="AW235" i="2"/>
  <c r="AV235" i="2"/>
  <c r="AU235" i="2"/>
  <c r="AT235" i="2"/>
  <c r="AS235" i="2"/>
  <c r="AZ234" i="2"/>
  <c r="AY234" i="2"/>
  <c r="AX234" i="2"/>
  <c r="AW234" i="2"/>
  <c r="AV234" i="2"/>
  <c r="AU234" i="2"/>
  <c r="AT234" i="2"/>
  <c r="AS234" i="2"/>
  <c r="AZ233" i="2"/>
  <c r="AY233" i="2"/>
  <c r="AX233" i="2"/>
  <c r="AW233" i="2"/>
  <c r="AV233" i="2"/>
  <c r="AU233" i="2"/>
  <c r="AT233" i="2"/>
  <c r="AS233" i="2"/>
  <c r="AZ232" i="2"/>
  <c r="AY232" i="2"/>
  <c r="AX232" i="2"/>
  <c r="AW232" i="2"/>
  <c r="AV232" i="2"/>
  <c r="AU232" i="2"/>
  <c r="AT232" i="2"/>
  <c r="AS232" i="2"/>
  <c r="AZ231" i="2"/>
  <c r="AY231" i="2"/>
  <c r="AX231" i="2"/>
  <c r="AW231" i="2"/>
  <c r="AV231" i="2"/>
  <c r="AU231" i="2"/>
  <c r="AT231" i="2"/>
  <c r="AS231" i="2"/>
  <c r="AZ230" i="2"/>
  <c r="AY230" i="2"/>
  <c r="AX230" i="2"/>
  <c r="AW230" i="2"/>
  <c r="AV230" i="2"/>
  <c r="AU230" i="2"/>
  <c r="AT230" i="2"/>
  <c r="AS230" i="2"/>
  <c r="AZ229" i="2"/>
  <c r="AY229" i="2"/>
  <c r="AX229" i="2"/>
  <c r="AW229" i="2"/>
  <c r="AV229" i="2"/>
  <c r="AU229" i="2"/>
  <c r="AT229" i="2"/>
  <c r="AS229" i="2"/>
  <c r="AZ228" i="2"/>
  <c r="AY228" i="2"/>
  <c r="AX228" i="2"/>
  <c r="AW228" i="2"/>
  <c r="AV228" i="2"/>
  <c r="AU228" i="2"/>
  <c r="AT228" i="2"/>
  <c r="AS228" i="2"/>
  <c r="AZ227" i="2"/>
  <c r="AY227" i="2"/>
  <c r="AX227" i="2"/>
  <c r="AW227" i="2"/>
  <c r="AV227" i="2"/>
  <c r="AU227" i="2"/>
  <c r="AT227" i="2"/>
  <c r="AS227" i="2"/>
  <c r="AZ226" i="2"/>
  <c r="AY226" i="2"/>
  <c r="AX226" i="2"/>
  <c r="AW226" i="2"/>
  <c r="AV226" i="2"/>
  <c r="AU226" i="2"/>
  <c r="AT226" i="2"/>
  <c r="AS226" i="2"/>
  <c r="AZ225" i="2"/>
  <c r="AY225" i="2"/>
  <c r="AX225" i="2"/>
  <c r="AW225" i="2"/>
  <c r="AV225" i="2"/>
  <c r="AU225" i="2"/>
  <c r="AT225" i="2"/>
  <c r="AS225" i="2"/>
  <c r="AZ224" i="2"/>
  <c r="AY224" i="2"/>
  <c r="AX224" i="2"/>
  <c r="AW224" i="2"/>
  <c r="AV224" i="2"/>
  <c r="AU224" i="2"/>
  <c r="AT224" i="2"/>
  <c r="AS224" i="2"/>
  <c r="CS223" i="2"/>
  <c r="CR223" i="2"/>
  <c r="AZ223" i="2"/>
  <c r="AY223" i="2"/>
  <c r="AX223" i="2"/>
  <c r="AW223" i="2"/>
  <c r="AV223" i="2"/>
  <c r="AU223" i="2"/>
  <c r="AT223" i="2"/>
  <c r="AS223" i="2"/>
  <c r="CR222" i="2"/>
  <c r="CS222" i="2" s="1"/>
  <c r="AZ222" i="2"/>
  <c r="AY222" i="2"/>
  <c r="AX222" i="2"/>
  <c r="AW222" i="2"/>
  <c r="AV222" i="2"/>
  <c r="AU222" i="2"/>
  <c r="AT222" i="2"/>
  <c r="AS222" i="2"/>
  <c r="CR221" i="2"/>
  <c r="CS221" i="2" s="1"/>
  <c r="AZ221" i="2"/>
  <c r="AY221" i="2"/>
  <c r="AX221" i="2"/>
  <c r="AW221" i="2"/>
  <c r="AV221" i="2"/>
  <c r="AU221" i="2"/>
  <c r="AT221" i="2"/>
  <c r="AS221" i="2"/>
  <c r="CR220" i="2"/>
  <c r="CS220" i="2" s="1"/>
  <c r="AZ220" i="2"/>
  <c r="AY220" i="2"/>
  <c r="AX220" i="2"/>
  <c r="AW220" i="2"/>
  <c r="AV220" i="2"/>
  <c r="AU220" i="2"/>
  <c r="AT220" i="2"/>
  <c r="AS220" i="2"/>
  <c r="CS219" i="2"/>
  <c r="CR219" i="2"/>
  <c r="AZ219" i="2"/>
  <c r="AY219" i="2"/>
  <c r="AX219" i="2"/>
  <c r="AW219" i="2"/>
  <c r="AV219" i="2"/>
  <c r="AU219" i="2"/>
  <c r="AT219" i="2"/>
  <c r="AS219" i="2"/>
  <c r="CR218" i="2"/>
  <c r="CS218" i="2" s="1"/>
  <c r="AZ218" i="2"/>
  <c r="AY218" i="2"/>
  <c r="AX218" i="2"/>
  <c r="AW218" i="2"/>
  <c r="AV218" i="2"/>
  <c r="AU218" i="2"/>
  <c r="AT218" i="2"/>
  <c r="AS218" i="2"/>
  <c r="CR217" i="2"/>
  <c r="CS217" i="2" s="1"/>
  <c r="AZ217" i="2"/>
  <c r="AY217" i="2"/>
  <c r="AX217" i="2"/>
  <c r="AW217" i="2"/>
  <c r="AV217" i="2"/>
  <c r="AU217" i="2"/>
  <c r="AT217" i="2"/>
  <c r="AS217" i="2"/>
  <c r="CR216" i="2"/>
  <c r="CS216" i="2" s="1"/>
  <c r="AZ216" i="2"/>
  <c r="AY216" i="2"/>
  <c r="AX216" i="2"/>
  <c r="AW216" i="2"/>
  <c r="AV216" i="2"/>
  <c r="AU216" i="2"/>
  <c r="AT216" i="2"/>
  <c r="AS216" i="2"/>
  <c r="CR215" i="2"/>
  <c r="CS215" i="2" s="1"/>
  <c r="AZ215" i="2"/>
  <c r="AY215" i="2"/>
  <c r="AX215" i="2"/>
  <c r="AW215" i="2"/>
  <c r="AV215" i="2"/>
  <c r="AU215" i="2"/>
  <c r="AT215" i="2"/>
  <c r="AS215" i="2"/>
  <c r="CR214" i="2"/>
  <c r="CS214" i="2" s="1"/>
  <c r="AZ214" i="2"/>
  <c r="AY214" i="2"/>
  <c r="AX214" i="2"/>
  <c r="AW214" i="2"/>
  <c r="AV214" i="2"/>
  <c r="AU214" i="2"/>
  <c r="AT214" i="2"/>
  <c r="AS214" i="2"/>
  <c r="CR213" i="2"/>
  <c r="CS213" i="2" s="1"/>
  <c r="AZ213" i="2"/>
  <c r="AY213" i="2"/>
  <c r="AX213" i="2"/>
  <c r="AW213" i="2"/>
  <c r="AV213" i="2"/>
  <c r="AU213" i="2"/>
  <c r="AT213" i="2"/>
  <c r="AS213" i="2"/>
  <c r="CR212" i="2"/>
  <c r="CS212" i="2" s="1"/>
  <c r="AZ212" i="2"/>
  <c r="AY212" i="2"/>
  <c r="AX212" i="2"/>
  <c r="AW212" i="2"/>
  <c r="AV212" i="2"/>
  <c r="AU212" i="2"/>
  <c r="AT212" i="2"/>
  <c r="AS212" i="2"/>
  <c r="CS211" i="2"/>
  <c r="CR211" i="2"/>
  <c r="AZ211" i="2"/>
  <c r="AY211" i="2"/>
  <c r="AX211" i="2"/>
  <c r="AW211" i="2"/>
  <c r="AV211" i="2"/>
  <c r="AU211" i="2"/>
  <c r="AT211" i="2"/>
  <c r="AS211" i="2"/>
  <c r="CR210" i="2"/>
  <c r="CS210" i="2" s="1"/>
  <c r="AZ210" i="2"/>
  <c r="AY210" i="2"/>
  <c r="AX210" i="2"/>
  <c r="AW210" i="2"/>
  <c r="AV210" i="2"/>
  <c r="AU210" i="2"/>
  <c r="AT210" i="2"/>
  <c r="AS210" i="2"/>
  <c r="CR209" i="2"/>
  <c r="CS209" i="2" s="1"/>
  <c r="AZ209" i="2"/>
  <c r="AY209" i="2"/>
  <c r="AX209" i="2"/>
  <c r="AW209" i="2"/>
  <c r="AV209" i="2"/>
  <c r="AU209" i="2"/>
  <c r="AT209" i="2"/>
  <c r="AS209" i="2"/>
  <c r="CR208" i="2"/>
  <c r="CS208" i="2" s="1"/>
  <c r="AZ208" i="2"/>
  <c r="AY208" i="2"/>
  <c r="AX208" i="2"/>
  <c r="AW208" i="2"/>
  <c r="AV208" i="2"/>
  <c r="AU208" i="2"/>
  <c r="AT208" i="2"/>
  <c r="AS208" i="2"/>
  <c r="CR207" i="2"/>
  <c r="CS207" i="2" s="1"/>
  <c r="AZ207" i="2"/>
  <c r="AY207" i="2"/>
  <c r="AX207" i="2"/>
  <c r="AW207" i="2"/>
  <c r="AV207" i="2"/>
  <c r="AU207" i="2"/>
  <c r="AT207" i="2"/>
  <c r="AS207" i="2"/>
  <c r="CR206" i="2"/>
  <c r="CS206" i="2" s="1"/>
  <c r="AZ206" i="2"/>
  <c r="AY206" i="2"/>
  <c r="AX206" i="2"/>
  <c r="AW206" i="2"/>
  <c r="AV206" i="2"/>
  <c r="AU206" i="2"/>
  <c r="AT206" i="2"/>
  <c r="AS206" i="2"/>
  <c r="CR205" i="2"/>
  <c r="CS205" i="2" s="1"/>
  <c r="AZ205" i="2"/>
  <c r="AY205" i="2"/>
  <c r="AX205" i="2"/>
  <c r="AW205" i="2"/>
  <c r="AV205" i="2"/>
  <c r="AU205" i="2"/>
  <c r="AT205" i="2"/>
  <c r="AS205" i="2"/>
  <c r="CR204" i="2"/>
  <c r="CS204" i="2" s="1"/>
  <c r="AZ204" i="2"/>
  <c r="AY204" i="2"/>
  <c r="AX204" i="2"/>
  <c r="AW204" i="2"/>
  <c r="AV204" i="2"/>
  <c r="AU204" i="2"/>
  <c r="AT204" i="2"/>
  <c r="AS204" i="2"/>
  <c r="CS203" i="2"/>
  <c r="CR203" i="2"/>
  <c r="AZ203" i="2"/>
  <c r="AY203" i="2"/>
  <c r="AX203" i="2"/>
  <c r="AW203" i="2"/>
  <c r="AV203" i="2"/>
  <c r="AU203" i="2"/>
  <c r="AT203" i="2"/>
  <c r="AS203" i="2"/>
  <c r="CR202" i="2"/>
  <c r="CS202" i="2" s="1"/>
  <c r="AZ202" i="2"/>
  <c r="AY202" i="2"/>
  <c r="AX202" i="2"/>
  <c r="AW202" i="2"/>
  <c r="AV202" i="2"/>
  <c r="AU202" i="2"/>
  <c r="AT202" i="2"/>
  <c r="AS202" i="2"/>
  <c r="CR201" i="2"/>
  <c r="CS201" i="2" s="1"/>
  <c r="AZ201" i="2"/>
  <c r="AY201" i="2"/>
  <c r="AX201" i="2"/>
  <c r="AW201" i="2"/>
  <c r="AV201" i="2"/>
  <c r="AU201" i="2"/>
  <c r="AT201" i="2"/>
  <c r="AS201" i="2"/>
  <c r="CR200" i="2"/>
  <c r="CS200" i="2" s="1"/>
  <c r="AZ200" i="2"/>
  <c r="AY200" i="2"/>
  <c r="AX200" i="2"/>
  <c r="AW200" i="2"/>
  <c r="AV200" i="2"/>
  <c r="AU200" i="2"/>
  <c r="AT200" i="2"/>
  <c r="AS200" i="2"/>
  <c r="CR199" i="2"/>
  <c r="CS199" i="2" s="1"/>
  <c r="AZ199" i="2"/>
  <c r="AY199" i="2"/>
  <c r="AX199" i="2"/>
  <c r="AW199" i="2"/>
  <c r="AV199" i="2"/>
  <c r="AU199" i="2"/>
  <c r="AT199" i="2"/>
  <c r="AS199" i="2"/>
  <c r="CR198" i="2"/>
  <c r="CS198" i="2" s="1"/>
  <c r="AZ198" i="2"/>
  <c r="AY198" i="2"/>
  <c r="AX198" i="2"/>
  <c r="AW198" i="2"/>
  <c r="AV198" i="2"/>
  <c r="AU198" i="2"/>
  <c r="AT198" i="2"/>
  <c r="AS198" i="2"/>
  <c r="CR197" i="2"/>
  <c r="CS197" i="2" s="1"/>
  <c r="AZ197" i="2"/>
  <c r="AY197" i="2"/>
  <c r="AX197" i="2"/>
  <c r="AW197" i="2"/>
  <c r="AV197" i="2"/>
  <c r="AU197" i="2"/>
  <c r="AT197" i="2"/>
  <c r="AS197" i="2"/>
  <c r="CR196" i="2"/>
  <c r="CS196" i="2" s="1"/>
  <c r="AZ196" i="2"/>
  <c r="AY196" i="2"/>
  <c r="AX196" i="2"/>
  <c r="AW196" i="2"/>
  <c r="AV196" i="2"/>
  <c r="AU196" i="2"/>
  <c r="AT196" i="2"/>
  <c r="AS196" i="2"/>
  <c r="CR195" i="2"/>
  <c r="CS195" i="2" s="1"/>
  <c r="AZ195" i="2"/>
  <c r="AY195" i="2"/>
  <c r="AX195" i="2"/>
  <c r="AW195" i="2"/>
  <c r="AV195" i="2"/>
  <c r="AU195" i="2"/>
  <c r="AT195" i="2"/>
  <c r="AS195" i="2"/>
  <c r="CR194" i="2"/>
  <c r="CS194" i="2" s="1"/>
  <c r="AZ194" i="2"/>
  <c r="AY194" i="2"/>
  <c r="AX194" i="2"/>
  <c r="AW194" i="2"/>
  <c r="AV194" i="2"/>
  <c r="AU194" i="2"/>
  <c r="AT194" i="2"/>
  <c r="AS194" i="2"/>
  <c r="CS193" i="2"/>
  <c r="CR193" i="2"/>
  <c r="AZ193" i="2"/>
  <c r="AY193" i="2"/>
  <c r="AX193" i="2"/>
  <c r="AW193" i="2"/>
  <c r="AV193" i="2"/>
  <c r="AU193" i="2"/>
  <c r="AT193" i="2"/>
  <c r="AS193" i="2"/>
  <c r="CR192" i="2"/>
  <c r="CS192" i="2" s="1"/>
  <c r="AZ192" i="2"/>
  <c r="AY192" i="2"/>
  <c r="AX192" i="2"/>
  <c r="AW192" i="2"/>
  <c r="AV192" i="2"/>
  <c r="AU192" i="2"/>
  <c r="AT192" i="2"/>
  <c r="AS192" i="2"/>
  <c r="CR191" i="2"/>
  <c r="CS191" i="2" s="1"/>
  <c r="AZ191" i="2"/>
  <c r="AY191" i="2"/>
  <c r="AX191" i="2"/>
  <c r="AW191" i="2"/>
  <c r="AV191" i="2"/>
  <c r="AU191" i="2"/>
  <c r="AT191" i="2"/>
  <c r="AS191" i="2"/>
  <c r="CR190" i="2"/>
  <c r="CS190" i="2" s="1"/>
  <c r="AZ190" i="2"/>
  <c r="AY190" i="2"/>
  <c r="AX190" i="2"/>
  <c r="AW190" i="2"/>
  <c r="AV190" i="2"/>
  <c r="AU190" i="2"/>
  <c r="AT190" i="2"/>
  <c r="AS190" i="2"/>
  <c r="CS189" i="2"/>
  <c r="CR189" i="2"/>
  <c r="AZ189" i="2"/>
  <c r="AY189" i="2"/>
  <c r="AX189" i="2"/>
  <c r="AW189" i="2"/>
  <c r="AV189" i="2"/>
  <c r="AU189" i="2"/>
  <c r="AT189" i="2"/>
  <c r="AS189" i="2"/>
  <c r="CR188" i="2"/>
  <c r="CS188" i="2" s="1"/>
  <c r="AZ188" i="2"/>
  <c r="AY188" i="2"/>
  <c r="AX188" i="2"/>
  <c r="AW188" i="2"/>
  <c r="AV188" i="2"/>
  <c r="AU188" i="2"/>
  <c r="AT188" i="2"/>
  <c r="AS188" i="2"/>
  <c r="CS187" i="2"/>
  <c r="CR187" i="2"/>
  <c r="AZ187" i="2"/>
  <c r="AY187" i="2"/>
  <c r="AX187" i="2"/>
  <c r="AW187" i="2"/>
  <c r="AV187" i="2"/>
  <c r="AU187" i="2"/>
  <c r="AT187" i="2"/>
  <c r="AS187" i="2"/>
  <c r="CR186" i="2"/>
  <c r="CS186" i="2" s="1"/>
  <c r="AZ186" i="2"/>
  <c r="AY186" i="2"/>
  <c r="AX186" i="2"/>
  <c r="AW186" i="2"/>
  <c r="AV186" i="2"/>
  <c r="AU186" i="2"/>
  <c r="AT186" i="2"/>
  <c r="AS186" i="2"/>
  <c r="CS185" i="2"/>
  <c r="CR185" i="2"/>
  <c r="AZ185" i="2"/>
  <c r="AY185" i="2"/>
  <c r="AX185" i="2"/>
  <c r="AW185" i="2"/>
  <c r="AV185" i="2"/>
  <c r="AU185" i="2"/>
  <c r="AT185" i="2"/>
  <c r="AS185" i="2"/>
  <c r="CR184" i="2"/>
  <c r="CS184" i="2" s="1"/>
  <c r="AZ184" i="2"/>
  <c r="AY184" i="2"/>
  <c r="AX184" i="2"/>
  <c r="AW184" i="2"/>
  <c r="AV184" i="2"/>
  <c r="AU184" i="2"/>
  <c r="AT184" i="2"/>
  <c r="AS184" i="2"/>
  <c r="CS183" i="2"/>
  <c r="CR183" i="2"/>
  <c r="AZ183" i="2"/>
  <c r="AY183" i="2"/>
  <c r="AX183" i="2"/>
  <c r="AW183" i="2"/>
  <c r="AV183" i="2"/>
  <c r="AU183" i="2"/>
  <c r="AT183" i="2"/>
  <c r="AS183" i="2"/>
  <c r="CR182" i="2"/>
  <c r="CS182" i="2" s="1"/>
  <c r="AZ182" i="2"/>
  <c r="AY182" i="2"/>
  <c r="AX182" i="2"/>
  <c r="AW182" i="2"/>
  <c r="AV182" i="2"/>
  <c r="AU182" i="2"/>
  <c r="AT182" i="2"/>
  <c r="AS182" i="2"/>
  <c r="CR181" i="2"/>
  <c r="CS181" i="2" s="1"/>
  <c r="AZ181" i="2"/>
  <c r="AY181" i="2"/>
  <c r="AX181" i="2"/>
  <c r="AW181" i="2"/>
  <c r="AV181" i="2"/>
  <c r="AU181" i="2"/>
  <c r="AT181" i="2"/>
  <c r="AS181" i="2"/>
  <c r="CR180" i="2"/>
  <c r="CS180" i="2" s="1"/>
  <c r="AZ180" i="2"/>
  <c r="AY180" i="2"/>
  <c r="AX180" i="2"/>
  <c r="AW180" i="2"/>
  <c r="AV180" i="2"/>
  <c r="AU180" i="2"/>
  <c r="AT180" i="2"/>
  <c r="AS180" i="2"/>
  <c r="CS179" i="2"/>
  <c r="CR179" i="2"/>
  <c r="AZ179" i="2"/>
  <c r="AY179" i="2"/>
  <c r="AX179" i="2"/>
  <c r="AW179" i="2"/>
  <c r="AV179" i="2"/>
  <c r="AU179" i="2"/>
  <c r="AT179" i="2"/>
  <c r="AS179" i="2"/>
  <c r="CR178" i="2"/>
  <c r="CS178" i="2" s="1"/>
  <c r="AZ178" i="2"/>
  <c r="AY178" i="2"/>
  <c r="AX178" i="2"/>
  <c r="AW178" i="2"/>
  <c r="AV178" i="2"/>
  <c r="AU178" i="2"/>
  <c r="AT178" i="2"/>
  <c r="AS178" i="2"/>
  <c r="CR177" i="2"/>
  <c r="CS177" i="2" s="1"/>
  <c r="AZ177" i="2"/>
  <c r="AY177" i="2"/>
  <c r="AX177" i="2"/>
  <c r="AW177" i="2"/>
  <c r="AV177" i="2"/>
  <c r="AU177" i="2"/>
  <c r="AT177" i="2"/>
  <c r="AS177" i="2"/>
  <c r="CR176" i="2"/>
  <c r="CS176" i="2" s="1"/>
  <c r="AZ176" i="2"/>
  <c r="AY176" i="2"/>
  <c r="AX176" i="2"/>
  <c r="AW176" i="2"/>
  <c r="AV176" i="2"/>
  <c r="AU176" i="2"/>
  <c r="AT176" i="2"/>
  <c r="AS176" i="2"/>
  <c r="CR175" i="2"/>
  <c r="CS175" i="2" s="1"/>
  <c r="AZ175" i="2"/>
  <c r="AY175" i="2"/>
  <c r="AX175" i="2"/>
  <c r="AW175" i="2"/>
  <c r="AV175" i="2"/>
  <c r="AU175" i="2"/>
  <c r="AT175" i="2"/>
  <c r="AS175" i="2"/>
  <c r="CR174" i="2"/>
  <c r="CS174" i="2" s="1"/>
  <c r="AZ174" i="2"/>
  <c r="AY174" i="2"/>
  <c r="AX174" i="2"/>
  <c r="AW174" i="2"/>
  <c r="AV174" i="2"/>
  <c r="AU174" i="2"/>
  <c r="AT174" i="2"/>
  <c r="AS174" i="2"/>
  <c r="CR173" i="2"/>
  <c r="CS173" i="2" s="1"/>
  <c r="AZ173" i="2"/>
  <c r="AY173" i="2"/>
  <c r="AX173" i="2"/>
  <c r="AW173" i="2"/>
  <c r="AV173" i="2"/>
  <c r="AU173" i="2"/>
  <c r="AT173" i="2"/>
  <c r="AS173" i="2"/>
  <c r="CR172" i="2"/>
  <c r="CS172" i="2" s="1"/>
  <c r="AZ172" i="2"/>
  <c r="AY172" i="2"/>
  <c r="AX172" i="2"/>
  <c r="AW172" i="2"/>
  <c r="AV172" i="2"/>
  <c r="AU172" i="2"/>
  <c r="AT172" i="2"/>
  <c r="AS172" i="2"/>
  <c r="CS171" i="2"/>
  <c r="CR171" i="2"/>
  <c r="AZ171" i="2"/>
  <c r="AY171" i="2"/>
  <c r="AX171" i="2"/>
  <c r="AW171" i="2"/>
  <c r="AV171" i="2"/>
  <c r="AU171" i="2"/>
  <c r="AT171" i="2"/>
  <c r="AS171" i="2"/>
  <c r="CR170" i="2"/>
  <c r="CS170" i="2" s="1"/>
  <c r="AZ170" i="2"/>
  <c r="AY170" i="2"/>
  <c r="AX170" i="2"/>
  <c r="AW170" i="2"/>
  <c r="AV170" i="2"/>
  <c r="AU170" i="2"/>
  <c r="AT170" i="2"/>
  <c r="AS170" i="2"/>
  <c r="CR169" i="2"/>
  <c r="CS169" i="2" s="1"/>
  <c r="AZ169" i="2"/>
  <c r="AY169" i="2"/>
  <c r="AX169" i="2"/>
  <c r="AW169" i="2"/>
  <c r="AV169" i="2"/>
  <c r="AU169" i="2"/>
  <c r="AT169" i="2"/>
  <c r="AS169" i="2"/>
  <c r="CR168" i="2"/>
  <c r="CS168" i="2" s="1"/>
  <c r="AZ168" i="2"/>
  <c r="AY168" i="2"/>
  <c r="AX168" i="2"/>
  <c r="AW168" i="2"/>
  <c r="AV168" i="2"/>
  <c r="AU168" i="2"/>
  <c r="AT168" i="2"/>
  <c r="AS168" i="2"/>
  <c r="CR167" i="2"/>
  <c r="CS167" i="2" s="1"/>
  <c r="AZ167" i="2"/>
  <c r="AY167" i="2"/>
  <c r="AX167" i="2"/>
  <c r="AW167" i="2"/>
  <c r="AV167" i="2"/>
  <c r="AU167" i="2"/>
  <c r="AT167" i="2"/>
  <c r="AS167" i="2"/>
  <c r="CR166" i="2"/>
  <c r="CS166" i="2" s="1"/>
  <c r="AZ166" i="2"/>
  <c r="AY166" i="2"/>
  <c r="AX166" i="2"/>
  <c r="AW166" i="2"/>
  <c r="AV166" i="2"/>
  <c r="AU166" i="2"/>
  <c r="AT166" i="2"/>
  <c r="AS166" i="2"/>
  <c r="CR165" i="2"/>
  <c r="CS165" i="2" s="1"/>
  <c r="AZ165" i="2"/>
  <c r="AY165" i="2"/>
  <c r="AX165" i="2"/>
  <c r="AW165" i="2"/>
  <c r="AV165" i="2"/>
  <c r="AU165" i="2"/>
  <c r="AT165" i="2"/>
  <c r="AS165" i="2"/>
  <c r="CR164" i="2"/>
  <c r="CS164" i="2" s="1"/>
  <c r="AZ164" i="2"/>
  <c r="AY164" i="2"/>
  <c r="AX164" i="2"/>
  <c r="AW164" i="2"/>
  <c r="AV164" i="2"/>
  <c r="AU164" i="2"/>
  <c r="AT164" i="2"/>
  <c r="AS164" i="2"/>
  <c r="CS163" i="2"/>
  <c r="CR163" i="2"/>
  <c r="AZ163" i="2"/>
  <c r="AY163" i="2"/>
  <c r="AX163" i="2"/>
  <c r="AW163" i="2"/>
  <c r="AV163" i="2"/>
  <c r="AU163" i="2"/>
  <c r="AT163" i="2"/>
  <c r="AS163" i="2"/>
  <c r="CR162" i="2"/>
  <c r="CS162" i="2" s="1"/>
  <c r="AZ162" i="2"/>
  <c r="AY162" i="2"/>
  <c r="AX162" i="2"/>
  <c r="AW162" i="2"/>
  <c r="AV162" i="2"/>
  <c r="AU162" i="2"/>
  <c r="AT162" i="2"/>
  <c r="AS162" i="2"/>
  <c r="CR161" i="2"/>
  <c r="CS161" i="2" s="1"/>
  <c r="AZ161" i="2"/>
  <c r="AY161" i="2"/>
  <c r="AX161" i="2"/>
  <c r="AW161" i="2"/>
  <c r="AV161" i="2"/>
  <c r="AU161" i="2"/>
  <c r="AT161" i="2"/>
  <c r="AS161" i="2"/>
  <c r="CR160" i="2"/>
  <c r="CS160" i="2" s="1"/>
  <c r="AZ160" i="2"/>
  <c r="AY160" i="2"/>
  <c r="AX160" i="2"/>
  <c r="AW160" i="2"/>
  <c r="AV160" i="2"/>
  <c r="AU160" i="2"/>
  <c r="AT160" i="2"/>
  <c r="AS160" i="2"/>
  <c r="CR159" i="2"/>
  <c r="CS159" i="2" s="1"/>
  <c r="AZ159" i="2"/>
  <c r="AY159" i="2"/>
  <c r="AX159" i="2"/>
  <c r="AW159" i="2"/>
  <c r="AV159" i="2"/>
  <c r="AU159" i="2"/>
  <c r="AT159" i="2"/>
  <c r="AS159" i="2"/>
  <c r="CR158" i="2"/>
  <c r="CS158" i="2" s="1"/>
  <c r="AZ158" i="2"/>
  <c r="AY158" i="2"/>
  <c r="AX158" i="2"/>
  <c r="AW158" i="2"/>
  <c r="AV158" i="2"/>
  <c r="AU158" i="2"/>
  <c r="AT158" i="2"/>
  <c r="AS158" i="2"/>
  <c r="CR157" i="2"/>
  <c r="CS157" i="2" s="1"/>
  <c r="AZ157" i="2"/>
  <c r="AY157" i="2"/>
  <c r="AX157" i="2"/>
  <c r="AW157" i="2"/>
  <c r="AV157" i="2"/>
  <c r="AU157" i="2"/>
  <c r="AT157" i="2"/>
  <c r="AS157" i="2"/>
  <c r="CR156" i="2"/>
  <c r="CS156" i="2" s="1"/>
  <c r="AZ156" i="2"/>
  <c r="AY156" i="2"/>
  <c r="AX156" i="2"/>
  <c r="AW156" i="2"/>
  <c r="AV156" i="2"/>
  <c r="AU156" i="2"/>
  <c r="AT156" i="2"/>
  <c r="AS156" i="2"/>
  <c r="CS155" i="2"/>
  <c r="CR155" i="2"/>
  <c r="AZ155" i="2"/>
  <c r="AY155" i="2"/>
  <c r="AX155" i="2"/>
  <c r="AW155" i="2"/>
  <c r="AV155" i="2"/>
  <c r="AU155" i="2"/>
  <c r="AT155" i="2"/>
  <c r="AS155" i="2"/>
  <c r="CR154" i="2"/>
  <c r="CS154" i="2" s="1"/>
  <c r="AZ154" i="2"/>
  <c r="AY154" i="2"/>
  <c r="AX154" i="2"/>
  <c r="AW154" i="2"/>
  <c r="AV154" i="2"/>
  <c r="AU154" i="2"/>
  <c r="AT154" i="2"/>
  <c r="AS154" i="2"/>
  <c r="CR153" i="2"/>
  <c r="CS153" i="2" s="1"/>
  <c r="AZ153" i="2"/>
  <c r="AY153" i="2"/>
  <c r="AX153" i="2"/>
  <c r="AW153" i="2"/>
  <c r="AV153" i="2"/>
  <c r="AU153" i="2"/>
  <c r="AT153" i="2"/>
  <c r="AS153" i="2"/>
  <c r="CR152" i="2"/>
  <c r="CS152" i="2" s="1"/>
  <c r="AZ152" i="2"/>
  <c r="AY152" i="2"/>
  <c r="AX152" i="2"/>
  <c r="AW152" i="2"/>
  <c r="AV152" i="2"/>
  <c r="AU152" i="2"/>
  <c r="AT152" i="2"/>
  <c r="AS152" i="2"/>
  <c r="CR151" i="2"/>
  <c r="CS151" i="2" s="1"/>
  <c r="AZ151" i="2"/>
  <c r="AY151" i="2"/>
  <c r="AX151" i="2"/>
  <c r="AW151" i="2"/>
  <c r="AV151" i="2"/>
  <c r="AU151" i="2"/>
  <c r="AT151" i="2"/>
  <c r="AS151" i="2"/>
  <c r="CR150" i="2"/>
  <c r="CS150" i="2" s="1"/>
  <c r="AZ150" i="2"/>
  <c r="AY150" i="2"/>
  <c r="AX150" i="2"/>
  <c r="AW150" i="2"/>
  <c r="AV150" i="2"/>
  <c r="AU150" i="2"/>
  <c r="AT150" i="2"/>
  <c r="AS150" i="2"/>
  <c r="CR149" i="2"/>
  <c r="CS149" i="2" s="1"/>
  <c r="AZ149" i="2"/>
  <c r="AY149" i="2"/>
  <c r="AX149" i="2"/>
  <c r="AW149" i="2"/>
  <c r="AV149" i="2"/>
  <c r="AU149" i="2"/>
  <c r="AT149" i="2"/>
  <c r="AS149" i="2"/>
  <c r="CR148" i="2"/>
  <c r="CS148" i="2" s="1"/>
  <c r="AZ148" i="2"/>
  <c r="AY148" i="2"/>
  <c r="AX148" i="2"/>
  <c r="AW148" i="2"/>
  <c r="AV148" i="2"/>
  <c r="AU148" i="2"/>
  <c r="AT148" i="2"/>
  <c r="AS148" i="2"/>
  <c r="CR147" i="2"/>
  <c r="CS147" i="2" s="1"/>
  <c r="AZ147" i="2"/>
  <c r="AY147" i="2"/>
  <c r="AX147" i="2"/>
  <c r="AW147" i="2"/>
  <c r="AV147" i="2"/>
  <c r="AU147" i="2"/>
  <c r="AT147" i="2"/>
  <c r="AS147" i="2"/>
  <c r="CR146" i="2"/>
  <c r="CS146" i="2" s="1"/>
  <c r="AZ146" i="2"/>
  <c r="AY146" i="2"/>
  <c r="AX146" i="2"/>
  <c r="AW146" i="2"/>
  <c r="AV146" i="2"/>
  <c r="AU146" i="2"/>
  <c r="AT146" i="2"/>
  <c r="AS146" i="2"/>
  <c r="CR145" i="2"/>
  <c r="CS145" i="2" s="1"/>
  <c r="AZ145" i="2"/>
  <c r="AY145" i="2"/>
  <c r="AX145" i="2"/>
  <c r="AW145" i="2"/>
  <c r="AV145" i="2"/>
  <c r="AU145" i="2"/>
  <c r="AT145" i="2"/>
  <c r="AS145" i="2"/>
  <c r="CR144" i="2"/>
  <c r="CS144" i="2" s="1"/>
  <c r="AZ144" i="2"/>
  <c r="AY144" i="2"/>
  <c r="AX144" i="2"/>
  <c r="AW144" i="2"/>
  <c r="AV144" i="2"/>
  <c r="AU144" i="2"/>
  <c r="AT144" i="2"/>
  <c r="AS144" i="2"/>
  <c r="CR143" i="2"/>
  <c r="CS143" i="2" s="1"/>
  <c r="AZ143" i="2"/>
  <c r="AY143" i="2"/>
  <c r="AX143" i="2"/>
  <c r="AW143" i="2"/>
  <c r="AV143" i="2"/>
  <c r="AU143" i="2"/>
  <c r="AT143" i="2"/>
  <c r="AS143" i="2"/>
  <c r="CR142" i="2"/>
  <c r="CS142" i="2" s="1"/>
  <c r="AZ142" i="2"/>
  <c r="AY142" i="2"/>
  <c r="AX142" i="2"/>
  <c r="AW142" i="2"/>
  <c r="AV142" i="2"/>
  <c r="AU142" i="2"/>
  <c r="AT142" i="2"/>
  <c r="AS142" i="2"/>
  <c r="CR141" i="2"/>
  <c r="CS141" i="2" s="1"/>
  <c r="AZ141" i="2"/>
  <c r="AY141" i="2"/>
  <c r="AX141" i="2"/>
  <c r="AW141" i="2"/>
  <c r="AV141" i="2"/>
  <c r="AU141" i="2"/>
  <c r="AT141" i="2"/>
  <c r="AS141" i="2"/>
  <c r="CR140" i="2"/>
  <c r="CS140" i="2" s="1"/>
  <c r="AZ140" i="2"/>
  <c r="AY140" i="2"/>
  <c r="AX140" i="2"/>
  <c r="AW140" i="2"/>
  <c r="AV140" i="2"/>
  <c r="AU140" i="2"/>
  <c r="AT140" i="2"/>
  <c r="AS140" i="2"/>
  <c r="CR139" i="2"/>
  <c r="CS139" i="2" s="1"/>
  <c r="AZ139" i="2"/>
  <c r="AY139" i="2"/>
  <c r="AX139" i="2"/>
  <c r="AW139" i="2"/>
  <c r="AV139" i="2"/>
  <c r="AU139" i="2"/>
  <c r="AT139" i="2"/>
  <c r="AS139" i="2"/>
  <c r="CR138" i="2"/>
  <c r="CS138" i="2" s="1"/>
  <c r="AZ138" i="2"/>
  <c r="AY138" i="2"/>
  <c r="AX138" i="2"/>
  <c r="AW138" i="2"/>
  <c r="AV138" i="2"/>
  <c r="AU138" i="2"/>
  <c r="AT138" i="2"/>
  <c r="AS138" i="2"/>
  <c r="CR137" i="2"/>
  <c r="CS137" i="2" s="1"/>
  <c r="AZ137" i="2"/>
  <c r="AY137" i="2"/>
  <c r="AX137" i="2"/>
  <c r="AW137" i="2"/>
  <c r="AV137" i="2"/>
  <c r="AU137" i="2"/>
  <c r="AT137" i="2"/>
  <c r="AS137" i="2"/>
  <c r="CR136" i="2"/>
  <c r="CS136" i="2" s="1"/>
  <c r="AZ136" i="2"/>
  <c r="AY136" i="2"/>
  <c r="AX136" i="2"/>
  <c r="AW136" i="2"/>
  <c r="AV136" i="2"/>
  <c r="AU136" i="2"/>
  <c r="AT136" i="2"/>
  <c r="AS136" i="2"/>
  <c r="CR135" i="2"/>
  <c r="CS135" i="2" s="1"/>
  <c r="AZ135" i="2"/>
  <c r="AY135" i="2"/>
  <c r="AX135" i="2"/>
  <c r="AW135" i="2"/>
  <c r="AV135" i="2"/>
  <c r="AU135" i="2"/>
  <c r="AT135" i="2"/>
  <c r="AS135" i="2"/>
  <c r="CR134" i="2"/>
  <c r="CS134" i="2" s="1"/>
  <c r="AZ134" i="2"/>
  <c r="AY134" i="2"/>
  <c r="AX134" i="2"/>
  <c r="AW134" i="2"/>
  <c r="AV134" i="2"/>
  <c r="AU134" i="2"/>
  <c r="AT134" i="2"/>
  <c r="AS134" i="2"/>
  <c r="CR133" i="2"/>
  <c r="CS133" i="2" s="1"/>
  <c r="AZ133" i="2"/>
  <c r="AY133" i="2"/>
  <c r="AX133" i="2"/>
  <c r="AW133" i="2"/>
  <c r="AV133" i="2"/>
  <c r="AU133" i="2"/>
  <c r="AT133" i="2"/>
  <c r="AS133" i="2"/>
  <c r="CR132" i="2"/>
  <c r="CS132" i="2" s="1"/>
  <c r="AZ132" i="2"/>
  <c r="AY132" i="2"/>
  <c r="AX132" i="2"/>
  <c r="AW132" i="2"/>
  <c r="AV132" i="2"/>
  <c r="AU132" i="2"/>
  <c r="AT132" i="2"/>
  <c r="AS132" i="2"/>
  <c r="CR131" i="2"/>
  <c r="CS131" i="2" s="1"/>
  <c r="AZ131" i="2"/>
  <c r="CS130" i="2"/>
  <c r="CR130" i="2"/>
  <c r="AZ130" i="2"/>
  <c r="AY130" i="2"/>
  <c r="AX130" i="2"/>
  <c r="AW130" i="2"/>
  <c r="AV130" i="2"/>
  <c r="AU130" i="2"/>
  <c r="AT130" i="2"/>
  <c r="AS130" i="2"/>
  <c r="AR130" i="2"/>
  <c r="CR129" i="2"/>
  <c r="CS129" i="2" s="1"/>
  <c r="AZ129" i="2"/>
  <c r="AY129" i="2"/>
  <c r="AX129" i="2"/>
  <c r="AW129" i="2"/>
  <c r="AV129" i="2"/>
  <c r="AU129" i="2"/>
  <c r="AT129" i="2"/>
  <c r="AS129" i="2"/>
  <c r="AR129" i="2"/>
  <c r="CR128" i="2"/>
  <c r="CS128" i="2" s="1"/>
  <c r="AZ128" i="2"/>
  <c r="AY128" i="2"/>
  <c r="AX128" i="2"/>
  <c r="AW128" i="2"/>
  <c r="AV128" i="2"/>
  <c r="AU128" i="2"/>
  <c r="AT128" i="2"/>
  <c r="AS128" i="2"/>
  <c r="AR128" i="2"/>
  <c r="CR127" i="2"/>
  <c r="CS127" i="2" s="1"/>
  <c r="AZ127" i="2"/>
  <c r="AY127" i="2"/>
  <c r="AX127" i="2"/>
  <c r="AW127" i="2"/>
  <c r="AV127" i="2"/>
  <c r="AU127" i="2"/>
  <c r="AT127" i="2"/>
  <c r="AS127" i="2"/>
  <c r="AR127" i="2"/>
  <c r="CR126" i="2"/>
  <c r="CS126" i="2" s="1"/>
  <c r="AZ126" i="2"/>
  <c r="AY126" i="2"/>
  <c r="AX126" i="2"/>
  <c r="AW126" i="2"/>
  <c r="AV126" i="2"/>
  <c r="AU126" i="2"/>
  <c r="AT126" i="2"/>
  <c r="AS126" i="2"/>
  <c r="AR126" i="2"/>
  <c r="CR125" i="2"/>
  <c r="CS125" i="2" s="1"/>
  <c r="AZ125" i="2"/>
  <c r="AY125" i="2"/>
  <c r="AX125" i="2"/>
  <c r="AW125" i="2"/>
  <c r="AV125" i="2"/>
  <c r="AU125" i="2"/>
  <c r="AT125" i="2"/>
  <c r="AS125" i="2"/>
  <c r="AR125" i="2"/>
  <c r="CS124" i="2"/>
  <c r="CR124" i="2"/>
  <c r="AZ124" i="2"/>
  <c r="AY124" i="2"/>
  <c r="AX124" i="2"/>
  <c r="AW124" i="2"/>
  <c r="AV124" i="2"/>
  <c r="AU124" i="2"/>
  <c r="AT124" i="2"/>
  <c r="AS124" i="2"/>
  <c r="AR124" i="2"/>
  <c r="CR123" i="2"/>
  <c r="CS123" i="2" s="1"/>
  <c r="AZ123" i="2"/>
  <c r="AY123" i="2"/>
  <c r="AX123" i="2"/>
  <c r="AW123" i="2"/>
  <c r="AV123" i="2"/>
  <c r="AU123" i="2"/>
  <c r="AT123" i="2"/>
  <c r="AS123" i="2"/>
  <c r="AR123" i="2"/>
  <c r="CR122" i="2"/>
  <c r="CS122" i="2" s="1"/>
  <c r="AZ122" i="2"/>
  <c r="AY122" i="2"/>
  <c r="AX122" i="2"/>
  <c r="AW122" i="2"/>
  <c r="AV122" i="2"/>
  <c r="AU122" i="2"/>
  <c r="AT122" i="2"/>
  <c r="AS122" i="2"/>
  <c r="AR122" i="2"/>
  <c r="CR121" i="2"/>
  <c r="CS121" i="2" s="1"/>
  <c r="AZ121" i="2"/>
  <c r="AY121" i="2"/>
  <c r="AX121" i="2"/>
  <c r="AW121" i="2"/>
  <c r="AV121" i="2"/>
  <c r="AU121" i="2"/>
  <c r="AT121" i="2"/>
  <c r="AS121" i="2"/>
  <c r="AR121" i="2"/>
  <c r="CS120" i="2"/>
  <c r="CR120" i="2"/>
  <c r="AZ120" i="2"/>
  <c r="AY120" i="2"/>
  <c r="AX120" i="2"/>
  <c r="AW120" i="2"/>
  <c r="AV120" i="2"/>
  <c r="AU120" i="2"/>
  <c r="AT120" i="2"/>
  <c r="AS120" i="2"/>
  <c r="AR120" i="2"/>
  <c r="CR119" i="2"/>
  <c r="CS119" i="2" s="1"/>
  <c r="AZ119" i="2"/>
  <c r="AY119" i="2"/>
  <c r="AX119" i="2"/>
  <c r="AW119" i="2"/>
  <c r="AV119" i="2"/>
  <c r="AU119" i="2"/>
  <c r="AT119" i="2"/>
  <c r="AS119" i="2"/>
  <c r="AR119" i="2"/>
  <c r="CR118" i="2"/>
  <c r="CS118" i="2" s="1"/>
  <c r="AZ118" i="2"/>
  <c r="AY118" i="2"/>
  <c r="AX118" i="2"/>
  <c r="AW118" i="2"/>
  <c r="AV118" i="2"/>
  <c r="AU118" i="2"/>
  <c r="AT118" i="2"/>
  <c r="AS118" i="2"/>
  <c r="AR118" i="2"/>
  <c r="CR117" i="2"/>
  <c r="CS117" i="2" s="1"/>
  <c r="AZ117" i="2"/>
  <c r="AY117" i="2"/>
  <c r="AX117" i="2"/>
  <c r="AW117" i="2"/>
  <c r="AV117" i="2"/>
  <c r="AU117" i="2"/>
  <c r="AT117" i="2"/>
  <c r="AS117" i="2"/>
  <c r="AR117" i="2"/>
  <c r="CR116" i="2"/>
  <c r="CS116" i="2" s="1"/>
  <c r="AZ116" i="2"/>
  <c r="AY116" i="2"/>
  <c r="AX116" i="2"/>
  <c r="AW116" i="2"/>
  <c r="AV116" i="2"/>
  <c r="AU116" i="2"/>
  <c r="AT116" i="2"/>
  <c r="AS116" i="2"/>
  <c r="AR116" i="2"/>
  <c r="CS115" i="2"/>
  <c r="CR115" i="2"/>
  <c r="AZ115" i="2"/>
  <c r="AY115" i="2"/>
  <c r="AX115" i="2"/>
  <c r="AW115" i="2"/>
  <c r="AV115" i="2"/>
  <c r="AU115" i="2"/>
  <c r="AT115" i="2"/>
  <c r="AS115" i="2"/>
  <c r="AR115" i="2"/>
  <c r="CS114" i="2"/>
  <c r="CR114" i="2"/>
  <c r="AZ114" i="2"/>
  <c r="AY114" i="2"/>
  <c r="AX114" i="2"/>
  <c r="AW114" i="2"/>
  <c r="AV114" i="2"/>
  <c r="AU114" i="2"/>
  <c r="AT114" i="2"/>
  <c r="AS114" i="2"/>
  <c r="AR114" i="2"/>
  <c r="CR113" i="2"/>
  <c r="CS113" i="2" s="1"/>
  <c r="AZ113" i="2"/>
  <c r="AY113" i="2"/>
  <c r="AX113" i="2"/>
  <c r="AW113" i="2"/>
  <c r="AV113" i="2"/>
  <c r="AU113" i="2"/>
  <c r="AT113" i="2"/>
  <c r="AS113" i="2"/>
  <c r="AR113" i="2"/>
  <c r="CR112" i="2"/>
  <c r="CS112" i="2" s="1"/>
  <c r="AZ112" i="2"/>
  <c r="AY112" i="2"/>
  <c r="AX112" i="2"/>
  <c r="AW112" i="2"/>
  <c r="AV112" i="2"/>
  <c r="AU112" i="2"/>
  <c r="AT112" i="2"/>
  <c r="AS112" i="2"/>
  <c r="AR112" i="2"/>
  <c r="CR111" i="2"/>
  <c r="CS111" i="2" s="1"/>
  <c r="AZ111" i="2"/>
  <c r="AY111" i="2"/>
  <c r="AX111" i="2"/>
  <c r="AW111" i="2"/>
  <c r="AV111" i="2"/>
  <c r="AU111" i="2"/>
  <c r="AT111" i="2"/>
  <c r="AS111" i="2"/>
  <c r="AR111" i="2"/>
  <c r="CR110" i="2"/>
  <c r="CS110" i="2" s="1"/>
  <c r="AZ110" i="2"/>
  <c r="AY110" i="2"/>
  <c r="AX110" i="2"/>
  <c r="AW110" i="2"/>
  <c r="AV110" i="2"/>
  <c r="AU110" i="2"/>
  <c r="AT110" i="2"/>
  <c r="AS110" i="2"/>
  <c r="AR110" i="2"/>
  <c r="CS109" i="2"/>
  <c r="CR109" i="2"/>
  <c r="AZ109" i="2"/>
  <c r="AY109" i="2"/>
  <c r="AX109" i="2"/>
  <c r="AW109" i="2"/>
  <c r="AV109" i="2"/>
  <c r="AU109" i="2"/>
  <c r="AT109" i="2"/>
  <c r="AS109" i="2"/>
  <c r="AR109" i="2"/>
  <c r="CR108" i="2"/>
  <c r="CS108" i="2" s="1"/>
  <c r="AZ108" i="2"/>
  <c r="AY108" i="2"/>
  <c r="AX108" i="2"/>
  <c r="AW108" i="2"/>
  <c r="AV108" i="2"/>
  <c r="AU108" i="2"/>
  <c r="AT108" i="2"/>
  <c r="AS108" i="2"/>
  <c r="AR108" i="2"/>
  <c r="CR107" i="2"/>
  <c r="CS107" i="2" s="1"/>
  <c r="AZ107" i="2"/>
  <c r="AY107" i="2"/>
  <c r="AX107" i="2"/>
  <c r="AW107" i="2"/>
  <c r="AV107" i="2"/>
  <c r="AU107" i="2"/>
  <c r="AT107" i="2"/>
  <c r="AS107" i="2"/>
  <c r="AR107" i="2"/>
  <c r="CR106" i="2"/>
  <c r="CS106" i="2" s="1"/>
  <c r="AZ106" i="2"/>
  <c r="AY106" i="2"/>
  <c r="AX106" i="2"/>
  <c r="AW106" i="2"/>
  <c r="AV106" i="2"/>
  <c r="AU106" i="2"/>
  <c r="AT106" i="2"/>
  <c r="AS106" i="2"/>
  <c r="AR106" i="2"/>
  <c r="CR105" i="2"/>
  <c r="CS105" i="2" s="1"/>
  <c r="AZ105" i="2"/>
  <c r="AY105" i="2"/>
  <c r="AX105" i="2"/>
  <c r="AW105" i="2"/>
  <c r="AV105" i="2"/>
  <c r="AU105" i="2"/>
  <c r="AT105" i="2"/>
  <c r="AS105" i="2"/>
  <c r="AR105" i="2"/>
  <c r="CS104" i="2"/>
  <c r="CR104" i="2"/>
  <c r="AZ104" i="2"/>
  <c r="AY104" i="2"/>
  <c r="AX104" i="2"/>
  <c r="AW104" i="2"/>
  <c r="AV104" i="2"/>
  <c r="AU104" i="2"/>
  <c r="AT104" i="2"/>
  <c r="AS104" i="2"/>
  <c r="AR104" i="2"/>
  <c r="CR103" i="2"/>
  <c r="CS103" i="2" s="1"/>
  <c r="AZ103" i="2"/>
  <c r="AY103" i="2"/>
  <c r="AX103" i="2"/>
  <c r="AW103" i="2"/>
  <c r="AV103" i="2"/>
  <c r="AU103" i="2"/>
  <c r="AT103" i="2"/>
  <c r="AS103" i="2"/>
  <c r="AR103" i="2"/>
  <c r="CR102" i="2"/>
  <c r="CS102" i="2" s="1"/>
  <c r="AZ102" i="2"/>
  <c r="AY102" i="2"/>
  <c r="AX102" i="2"/>
  <c r="AW102" i="2"/>
  <c r="AV102" i="2"/>
  <c r="AU102" i="2"/>
  <c r="AT102" i="2"/>
  <c r="AS102" i="2"/>
  <c r="AR102" i="2"/>
  <c r="CR101" i="2"/>
  <c r="CS101" i="2" s="1"/>
  <c r="AZ101" i="2"/>
  <c r="AY101" i="2"/>
  <c r="AX101" i="2"/>
  <c r="AW101" i="2"/>
  <c r="AV101" i="2"/>
  <c r="AU101" i="2"/>
  <c r="AT101" i="2"/>
  <c r="AS101" i="2"/>
  <c r="AR101" i="2"/>
  <c r="CS100" i="2"/>
  <c r="CR100" i="2"/>
  <c r="AZ100" i="2"/>
  <c r="AY100" i="2"/>
  <c r="AX100" i="2"/>
  <c r="AW100" i="2"/>
  <c r="AV100" i="2"/>
  <c r="AU100" i="2"/>
  <c r="AT100" i="2"/>
  <c r="AS100" i="2"/>
  <c r="AR100" i="2"/>
  <c r="CR99" i="2"/>
  <c r="CS99" i="2" s="1"/>
  <c r="AZ99" i="2"/>
  <c r="AY99" i="2"/>
  <c r="AX99" i="2"/>
  <c r="AW99" i="2"/>
  <c r="AV99" i="2"/>
  <c r="AU99" i="2"/>
  <c r="AT99" i="2"/>
  <c r="AS99" i="2"/>
  <c r="AR99" i="2"/>
  <c r="CR98" i="2"/>
  <c r="CS98" i="2" s="1"/>
  <c r="AZ98" i="2"/>
  <c r="AY98" i="2"/>
  <c r="AX98" i="2"/>
  <c r="AW98" i="2"/>
  <c r="AV98" i="2"/>
  <c r="AU98" i="2"/>
  <c r="AT98" i="2"/>
  <c r="AS98" i="2"/>
  <c r="AR98" i="2"/>
  <c r="CR97" i="2"/>
  <c r="CS97" i="2" s="1"/>
  <c r="AZ97" i="2"/>
  <c r="AY97" i="2"/>
  <c r="AX97" i="2"/>
  <c r="AW97" i="2"/>
  <c r="AV97" i="2"/>
  <c r="AU97" i="2"/>
  <c r="AT97" i="2"/>
  <c r="AS97" i="2"/>
  <c r="AR97" i="2"/>
  <c r="CS96" i="2"/>
  <c r="CR96" i="2"/>
  <c r="AZ96" i="2"/>
  <c r="AY96" i="2"/>
  <c r="AX96" i="2"/>
  <c r="AW96" i="2"/>
  <c r="AV96" i="2"/>
  <c r="AU96" i="2"/>
  <c r="AT96" i="2"/>
  <c r="AS96" i="2"/>
  <c r="AR96" i="2"/>
  <c r="CR95" i="2"/>
  <c r="CS95" i="2" s="1"/>
  <c r="AZ95" i="2"/>
  <c r="AY95" i="2"/>
  <c r="AX95" i="2"/>
  <c r="AW95" i="2"/>
  <c r="AV95" i="2"/>
  <c r="AU95" i="2"/>
  <c r="AT95" i="2"/>
  <c r="AS95" i="2"/>
  <c r="AR95" i="2"/>
  <c r="CR94" i="2"/>
  <c r="CS94" i="2" s="1"/>
  <c r="AZ94" i="2"/>
  <c r="AY94" i="2"/>
  <c r="AX94" i="2"/>
  <c r="AW94" i="2"/>
  <c r="AV94" i="2"/>
  <c r="AU94" i="2"/>
  <c r="AT94" i="2"/>
  <c r="AS94" i="2"/>
  <c r="AR94" i="2"/>
  <c r="CR93" i="2"/>
  <c r="CS93" i="2" s="1"/>
  <c r="AZ93" i="2"/>
  <c r="AY93" i="2"/>
  <c r="AX93" i="2"/>
  <c r="AW93" i="2"/>
  <c r="AV93" i="2"/>
  <c r="AU93" i="2"/>
  <c r="AT93" i="2"/>
  <c r="AS93" i="2"/>
  <c r="AR93" i="2"/>
  <c r="CR92" i="2"/>
  <c r="CS92" i="2" s="1"/>
  <c r="AZ92" i="2"/>
  <c r="AY92" i="2"/>
  <c r="AX92" i="2"/>
  <c r="AW92" i="2"/>
  <c r="AV92" i="2"/>
  <c r="AU92" i="2"/>
  <c r="AT92" i="2"/>
  <c r="AS92" i="2"/>
  <c r="AR92" i="2"/>
  <c r="CR91" i="2"/>
  <c r="CS91" i="2" s="1"/>
  <c r="AZ91" i="2"/>
  <c r="AY91" i="2"/>
  <c r="AX91" i="2"/>
  <c r="AW91" i="2"/>
  <c r="AV91" i="2"/>
  <c r="AU91" i="2"/>
  <c r="AT91" i="2"/>
  <c r="AS91" i="2"/>
  <c r="AR91" i="2"/>
  <c r="CS90" i="2"/>
  <c r="CR90" i="2"/>
  <c r="AZ90" i="2"/>
  <c r="AY90" i="2"/>
  <c r="AX90" i="2"/>
  <c r="AW90" i="2"/>
  <c r="AV90" i="2"/>
  <c r="AU90" i="2"/>
  <c r="AT90" i="2"/>
  <c r="AS90" i="2"/>
  <c r="AR90" i="2"/>
  <c r="CR89" i="2"/>
  <c r="CS89" i="2" s="1"/>
  <c r="AZ89" i="2"/>
  <c r="AY89" i="2"/>
  <c r="AX89" i="2"/>
  <c r="AW89" i="2"/>
  <c r="AV89" i="2"/>
  <c r="AU89" i="2"/>
  <c r="AT89" i="2"/>
  <c r="AS89" i="2"/>
  <c r="AR89" i="2"/>
  <c r="CR88" i="2"/>
  <c r="CS88" i="2" s="1"/>
  <c r="AZ88" i="2"/>
  <c r="AY88" i="2"/>
  <c r="AX88" i="2"/>
  <c r="AW88" i="2"/>
  <c r="AV88" i="2"/>
  <c r="AU88" i="2"/>
  <c r="AT88" i="2"/>
  <c r="AS88" i="2"/>
  <c r="AR88" i="2"/>
  <c r="CR87" i="2"/>
  <c r="CS87" i="2" s="1"/>
  <c r="AZ87" i="2"/>
  <c r="AY87" i="2"/>
  <c r="AX87" i="2"/>
  <c r="AW87" i="2"/>
  <c r="AV87" i="2"/>
  <c r="AU87" i="2"/>
  <c r="AT87" i="2"/>
  <c r="AS87" i="2"/>
  <c r="AR87" i="2"/>
  <c r="CR86" i="2"/>
  <c r="CS86" i="2" s="1"/>
  <c r="AZ86" i="2"/>
  <c r="AY86" i="2"/>
  <c r="AX86" i="2"/>
  <c r="AW86" i="2"/>
  <c r="AV86" i="2"/>
  <c r="AU86" i="2"/>
  <c r="AT86" i="2"/>
  <c r="AS86" i="2"/>
  <c r="AR86" i="2"/>
  <c r="CR85" i="2"/>
  <c r="CS85" i="2" s="1"/>
  <c r="AZ85" i="2"/>
  <c r="AY85" i="2"/>
  <c r="AX85" i="2"/>
  <c r="AW85" i="2"/>
  <c r="AV85" i="2"/>
  <c r="AU85" i="2"/>
  <c r="AT85" i="2"/>
  <c r="AS85" i="2"/>
  <c r="AR85" i="2"/>
  <c r="CR84" i="2"/>
  <c r="CS84" i="2" s="1"/>
  <c r="AZ84" i="2"/>
  <c r="AY84" i="2"/>
  <c r="AX84" i="2"/>
  <c r="AW84" i="2"/>
  <c r="AV84" i="2"/>
  <c r="AU84" i="2"/>
  <c r="AT84" i="2"/>
  <c r="AS84" i="2"/>
  <c r="AR84" i="2"/>
  <c r="CR83" i="2"/>
  <c r="CS83" i="2" s="1"/>
  <c r="AZ83" i="2"/>
  <c r="AY83" i="2"/>
  <c r="AX83" i="2"/>
  <c r="AW83" i="2"/>
  <c r="AV83" i="2"/>
  <c r="AU83" i="2"/>
  <c r="AT83" i="2"/>
  <c r="AS83" i="2"/>
  <c r="AR83" i="2"/>
  <c r="CR82" i="2"/>
  <c r="CS82" i="2" s="1"/>
  <c r="AZ82" i="2"/>
  <c r="AY82" i="2"/>
  <c r="AX82" i="2"/>
  <c r="AW82" i="2"/>
  <c r="AV82" i="2"/>
  <c r="AU82" i="2"/>
  <c r="AT82" i="2"/>
  <c r="AS82" i="2"/>
  <c r="AR82" i="2"/>
  <c r="CR81" i="2"/>
  <c r="CS81" i="2" s="1"/>
  <c r="AZ81" i="2"/>
  <c r="AY81" i="2"/>
  <c r="AX81" i="2"/>
  <c r="AW81" i="2"/>
  <c r="AV81" i="2"/>
  <c r="AU81" i="2"/>
  <c r="AT81" i="2"/>
  <c r="AS81" i="2"/>
  <c r="AR81" i="2"/>
  <c r="CS80" i="2"/>
  <c r="CR80" i="2"/>
  <c r="AZ80" i="2"/>
  <c r="AY80" i="2"/>
  <c r="AX80" i="2"/>
  <c r="AW80" i="2"/>
  <c r="AV80" i="2"/>
  <c r="AU80" i="2"/>
  <c r="AT80" i="2"/>
  <c r="AS80" i="2"/>
  <c r="AR80" i="2"/>
  <c r="CR79" i="2"/>
  <c r="CS79" i="2" s="1"/>
  <c r="AZ79" i="2"/>
  <c r="AY79" i="2"/>
  <c r="AX79" i="2"/>
  <c r="AW79" i="2"/>
  <c r="AV79" i="2"/>
  <c r="AU79" i="2"/>
  <c r="AT79" i="2"/>
  <c r="AS79" i="2"/>
  <c r="AR79" i="2"/>
  <c r="CR78" i="2"/>
  <c r="CS78" i="2" s="1"/>
  <c r="AZ78" i="2"/>
  <c r="AY78" i="2"/>
  <c r="AX78" i="2"/>
  <c r="AW78" i="2"/>
  <c r="AV78" i="2"/>
  <c r="AU78" i="2"/>
  <c r="AT78" i="2"/>
  <c r="AS78" i="2"/>
  <c r="AR78" i="2"/>
  <c r="CR77" i="2"/>
  <c r="CS77" i="2" s="1"/>
  <c r="AZ77" i="2"/>
  <c r="AY77" i="2"/>
  <c r="AX77" i="2"/>
  <c r="AW77" i="2"/>
  <c r="AV77" i="2"/>
  <c r="AU77" i="2"/>
  <c r="AT77" i="2"/>
  <c r="AS77" i="2"/>
  <c r="AR77" i="2"/>
  <c r="CR76" i="2"/>
  <c r="CS76" i="2" s="1"/>
  <c r="AZ76" i="2"/>
  <c r="AY76" i="2"/>
  <c r="AX76" i="2"/>
  <c r="AW76" i="2"/>
  <c r="AV76" i="2"/>
  <c r="AU76" i="2"/>
  <c r="AT76" i="2"/>
  <c r="AS76" i="2"/>
  <c r="AR76" i="2"/>
  <c r="CS75" i="2"/>
  <c r="CR75" i="2"/>
  <c r="AZ75" i="2"/>
  <c r="AY75" i="2"/>
  <c r="AX75" i="2"/>
  <c r="AW75" i="2"/>
  <c r="AV75" i="2"/>
  <c r="AU75" i="2"/>
  <c r="AT75" i="2"/>
  <c r="AS75" i="2"/>
  <c r="AR75" i="2"/>
  <c r="CS74" i="2"/>
  <c r="CR74" i="2"/>
  <c r="AZ74" i="2"/>
  <c r="AY74" i="2"/>
  <c r="AX74" i="2"/>
  <c r="AW74" i="2"/>
  <c r="AV74" i="2"/>
  <c r="AU74" i="2"/>
  <c r="AT74" i="2"/>
  <c r="AS74" i="2"/>
  <c r="AR74" i="2"/>
  <c r="CR73" i="2"/>
  <c r="CS73" i="2" s="1"/>
  <c r="AZ73" i="2"/>
  <c r="AY73" i="2"/>
  <c r="AX73" i="2"/>
  <c r="AW73" i="2"/>
  <c r="AV73" i="2"/>
  <c r="AU73" i="2"/>
  <c r="AT73" i="2"/>
  <c r="AS73" i="2"/>
  <c r="AR73" i="2"/>
  <c r="CR72" i="2"/>
  <c r="CS72" i="2" s="1"/>
  <c r="AZ72" i="2"/>
  <c r="AY72" i="2"/>
  <c r="AX72" i="2"/>
  <c r="AW72" i="2"/>
  <c r="AV72" i="2"/>
  <c r="AU72" i="2"/>
  <c r="AT72" i="2"/>
  <c r="AS72" i="2"/>
  <c r="AR72" i="2"/>
  <c r="CR71" i="2"/>
  <c r="CS71" i="2" s="1"/>
  <c r="AZ71" i="2"/>
  <c r="AY71" i="2"/>
  <c r="AX71" i="2"/>
  <c r="AW71" i="2"/>
  <c r="AV71" i="2"/>
  <c r="AU71" i="2"/>
  <c r="AT71" i="2"/>
  <c r="AS71" i="2"/>
  <c r="AR71" i="2"/>
  <c r="CS70" i="2"/>
  <c r="CR70" i="2"/>
  <c r="AZ70" i="2"/>
  <c r="AY70" i="2"/>
  <c r="AX70" i="2"/>
  <c r="AW70" i="2"/>
  <c r="AV70" i="2"/>
  <c r="AU70" i="2"/>
  <c r="AT70" i="2"/>
  <c r="AS70" i="2"/>
  <c r="AR70" i="2"/>
  <c r="CR69" i="2"/>
  <c r="CS69" i="2" s="1"/>
  <c r="AZ69" i="2"/>
  <c r="AY69" i="2"/>
  <c r="AX69" i="2"/>
  <c r="AW69" i="2"/>
  <c r="AV69" i="2"/>
  <c r="AU69" i="2"/>
  <c r="AT69" i="2"/>
  <c r="AS69" i="2"/>
  <c r="AR69" i="2"/>
  <c r="CR68" i="2"/>
  <c r="CS68" i="2" s="1"/>
  <c r="AZ68" i="2"/>
  <c r="AY68" i="2"/>
  <c r="AX68" i="2"/>
  <c r="AW68" i="2"/>
  <c r="AV68" i="2"/>
  <c r="AU68" i="2"/>
  <c r="AT68" i="2"/>
  <c r="AS68" i="2"/>
  <c r="AR68" i="2"/>
  <c r="CR67" i="2"/>
  <c r="CS67" i="2" s="1"/>
  <c r="AZ67" i="2"/>
  <c r="AY67" i="2"/>
  <c r="AX67" i="2"/>
  <c r="AW67" i="2"/>
  <c r="AV67" i="2"/>
  <c r="AU67" i="2"/>
  <c r="AT67" i="2"/>
  <c r="AS67" i="2"/>
  <c r="AR67" i="2"/>
  <c r="CR66" i="2"/>
  <c r="CS66" i="2" s="1"/>
  <c r="AZ66" i="2"/>
  <c r="AY66" i="2"/>
  <c r="AX66" i="2"/>
  <c r="AW66" i="2"/>
  <c r="AV66" i="2"/>
  <c r="AU66" i="2"/>
  <c r="AT66" i="2"/>
  <c r="AS66" i="2"/>
  <c r="AR66" i="2"/>
  <c r="CR65" i="2"/>
  <c r="CS65" i="2" s="1"/>
  <c r="AZ65" i="2"/>
  <c r="AY65" i="2"/>
  <c r="AX65" i="2"/>
  <c r="AW65" i="2"/>
  <c r="AV65" i="2"/>
  <c r="AU65" i="2"/>
  <c r="AT65" i="2"/>
  <c r="AS65" i="2"/>
  <c r="AR65" i="2"/>
  <c r="CR64" i="2"/>
  <c r="CS64" i="2" s="1"/>
  <c r="AZ64" i="2"/>
  <c r="AY64" i="2"/>
  <c r="AX64" i="2"/>
  <c r="AW64" i="2"/>
  <c r="AV64" i="2"/>
  <c r="AU64" i="2"/>
  <c r="AT64" i="2"/>
  <c r="AS64" i="2"/>
  <c r="AR64" i="2"/>
  <c r="CR63" i="2"/>
  <c r="CS63" i="2" s="1"/>
  <c r="AZ63" i="2"/>
  <c r="AY63" i="2"/>
  <c r="AX63" i="2"/>
  <c r="AW63" i="2"/>
  <c r="AV63" i="2"/>
  <c r="AU63" i="2"/>
  <c r="AT63" i="2"/>
  <c r="AS63" i="2"/>
  <c r="AR63" i="2"/>
  <c r="CS62" i="2"/>
  <c r="CR62" i="2"/>
  <c r="AZ62" i="2"/>
  <c r="AY62" i="2"/>
  <c r="AX62" i="2"/>
  <c r="AW62" i="2"/>
  <c r="AV62" i="2"/>
  <c r="AU62" i="2"/>
  <c r="AT62" i="2"/>
  <c r="AS62" i="2"/>
  <c r="AR62" i="2"/>
  <c r="CR61" i="2"/>
  <c r="CS61" i="2" s="1"/>
  <c r="AZ61" i="2"/>
  <c r="AY61" i="2"/>
  <c r="AX61" i="2"/>
  <c r="AW61" i="2"/>
  <c r="AV61" i="2"/>
  <c r="AU61" i="2"/>
  <c r="AT61" i="2"/>
  <c r="AS61" i="2"/>
  <c r="AR61" i="2"/>
  <c r="CR60" i="2"/>
  <c r="CS60" i="2" s="1"/>
  <c r="AZ60" i="2"/>
  <c r="AY60" i="2"/>
  <c r="AX60" i="2"/>
  <c r="AW60" i="2"/>
  <c r="AV60" i="2"/>
  <c r="AU60" i="2"/>
  <c r="AT60" i="2"/>
  <c r="AS60" i="2"/>
  <c r="AR60" i="2"/>
  <c r="CR59" i="2"/>
  <c r="CS59" i="2" s="1"/>
  <c r="AZ59" i="2"/>
  <c r="AY59" i="2"/>
  <c r="AX59" i="2"/>
  <c r="AW59" i="2"/>
  <c r="AV59" i="2"/>
  <c r="AU59" i="2"/>
  <c r="AT59" i="2"/>
  <c r="AS59" i="2"/>
  <c r="AR59" i="2"/>
  <c r="CS58" i="2"/>
  <c r="CR58" i="2"/>
  <c r="AZ58" i="2"/>
  <c r="AY58" i="2"/>
  <c r="AX58" i="2"/>
  <c r="AW58" i="2"/>
  <c r="AV58" i="2"/>
  <c r="AU58" i="2"/>
  <c r="AT58" i="2"/>
  <c r="AS58" i="2"/>
  <c r="AR58" i="2"/>
  <c r="CR57" i="2"/>
  <c r="CS57" i="2" s="1"/>
  <c r="AZ57" i="2"/>
  <c r="AY57" i="2"/>
  <c r="AX57" i="2"/>
  <c r="AW57" i="2"/>
  <c r="AV57" i="2"/>
  <c r="AU57" i="2"/>
  <c r="AT57" i="2"/>
  <c r="AS57" i="2"/>
  <c r="AR57" i="2"/>
  <c r="CR56" i="2"/>
  <c r="CS56" i="2" s="1"/>
  <c r="AZ56" i="2"/>
  <c r="AY56" i="2"/>
  <c r="AX56" i="2"/>
  <c r="AW56" i="2"/>
  <c r="AV56" i="2"/>
  <c r="AU56" i="2"/>
  <c r="AT56" i="2"/>
  <c r="AS56" i="2"/>
  <c r="AR56" i="2"/>
  <c r="CR55" i="2"/>
  <c r="CS55" i="2" s="1"/>
  <c r="AZ55" i="2"/>
  <c r="AY55" i="2"/>
  <c r="AX55" i="2"/>
  <c r="AW55" i="2"/>
  <c r="AV55" i="2"/>
  <c r="AU55" i="2"/>
  <c r="AT55" i="2"/>
  <c r="AS55" i="2"/>
  <c r="AR55" i="2"/>
  <c r="CS54" i="2"/>
  <c r="CR54" i="2"/>
  <c r="AZ54" i="2"/>
  <c r="AY54" i="2"/>
  <c r="AX54" i="2"/>
  <c r="AW54" i="2"/>
  <c r="AV54" i="2"/>
  <c r="AU54" i="2"/>
  <c r="AT54" i="2"/>
  <c r="AS54" i="2"/>
  <c r="AR54" i="2"/>
  <c r="CR53" i="2"/>
  <c r="CS53" i="2" s="1"/>
  <c r="AZ53" i="2"/>
  <c r="AY53" i="2"/>
  <c r="AX53" i="2"/>
  <c r="AW53" i="2"/>
  <c r="AV53" i="2"/>
  <c r="AU53" i="2"/>
  <c r="AT53" i="2"/>
  <c r="AS53" i="2"/>
  <c r="AR53" i="2"/>
  <c r="CR52" i="2"/>
  <c r="CS52" i="2" s="1"/>
  <c r="AZ52" i="2"/>
  <c r="AY52" i="2"/>
  <c r="AX52" i="2"/>
  <c r="AW52" i="2"/>
  <c r="AV52" i="2"/>
  <c r="AU52" i="2"/>
  <c r="AT52" i="2"/>
  <c r="AS52" i="2"/>
  <c r="AR52" i="2"/>
  <c r="CR51" i="2"/>
  <c r="CS51" i="2" s="1"/>
  <c r="AZ51" i="2"/>
  <c r="AY51" i="2"/>
  <c r="AX51" i="2"/>
  <c r="AW51" i="2"/>
  <c r="AV51" i="2"/>
  <c r="AU51" i="2"/>
  <c r="AT51" i="2"/>
  <c r="AS51" i="2"/>
  <c r="AR51" i="2"/>
  <c r="CR50" i="2"/>
  <c r="CS50" i="2" s="1"/>
  <c r="AZ50" i="2"/>
  <c r="AY50" i="2"/>
  <c r="AX50" i="2"/>
  <c r="AW50" i="2"/>
  <c r="AV50" i="2"/>
  <c r="AU50" i="2"/>
  <c r="AT50" i="2"/>
  <c r="AS50" i="2"/>
  <c r="AR50" i="2"/>
  <c r="CR49" i="2"/>
  <c r="CS49" i="2" s="1"/>
  <c r="AZ49" i="2"/>
  <c r="AY49" i="2"/>
  <c r="AX49" i="2"/>
  <c r="AW49" i="2"/>
  <c r="AV49" i="2"/>
  <c r="AU49" i="2"/>
  <c r="AT49" i="2"/>
  <c r="AS49" i="2"/>
  <c r="AR49" i="2"/>
  <c r="CR48" i="2"/>
  <c r="CS48" i="2" s="1"/>
  <c r="AZ48" i="2"/>
  <c r="AY48" i="2"/>
  <c r="AX48" i="2"/>
  <c r="AW48" i="2"/>
  <c r="AV48" i="2"/>
  <c r="AU48" i="2"/>
  <c r="AT48" i="2"/>
  <c r="AS48" i="2"/>
  <c r="AR48" i="2"/>
  <c r="CR47" i="2"/>
  <c r="CS47" i="2" s="1"/>
  <c r="AZ47" i="2"/>
  <c r="AY47" i="2"/>
  <c r="AX47" i="2"/>
  <c r="AW47" i="2"/>
  <c r="AV47" i="2"/>
  <c r="AU47" i="2"/>
  <c r="AT47" i="2"/>
  <c r="AS47" i="2"/>
  <c r="AR47" i="2"/>
  <c r="CS46" i="2"/>
  <c r="CR46" i="2"/>
  <c r="AZ46" i="2"/>
  <c r="AY46" i="2"/>
  <c r="AX46" i="2"/>
  <c r="AW46" i="2"/>
  <c r="AV46" i="2"/>
  <c r="AU46" i="2"/>
  <c r="AT46" i="2"/>
  <c r="AS46" i="2"/>
  <c r="AR46" i="2"/>
  <c r="CR45" i="2"/>
  <c r="CS45" i="2" s="1"/>
  <c r="AZ45" i="2"/>
  <c r="AY45" i="2"/>
  <c r="AX45" i="2"/>
  <c r="AW45" i="2"/>
  <c r="AV45" i="2"/>
  <c r="AU45" i="2"/>
  <c r="AT45" i="2"/>
  <c r="AS45" i="2"/>
  <c r="AR45" i="2"/>
  <c r="CS44" i="2"/>
  <c r="CR44" i="2"/>
  <c r="AZ44" i="2"/>
  <c r="AY44" i="2"/>
  <c r="AX44" i="2"/>
  <c r="AW44" i="2"/>
  <c r="AV44" i="2"/>
  <c r="AU44" i="2"/>
  <c r="AT44" i="2"/>
  <c r="AS44" i="2"/>
  <c r="AR44" i="2"/>
  <c r="CR43" i="2"/>
  <c r="CS43" i="2" s="1"/>
  <c r="AZ43" i="2"/>
  <c r="AY43" i="2"/>
  <c r="AX43" i="2"/>
  <c r="AW43" i="2"/>
  <c r="AV43" i="2"/>
  <c r="AU43" i="2"/>
  <c r="AT43" i="2"/>
  <c r="AS43" i="2"/>
  <c r="AR43" i="2"/>
  <c r="CR42" i="2"/>
  <c r="CS42" i="2" s="1"/>
  <c r="AZ42" i="2"/>
  <c r="AY42" i="2"/>
  <c r="AX42" i="2"/>
  <c r="AW42" i="2"/>
  <c r="AV42" i="2"/>
  <c r="AU42" i="2"/>
  <c r="AT42" i="2"/>
  <c r="AS42" i="2"/>
  <c r="AR42" i="2"/>
  <c r="CR41" i="2"/>
  <c r="CS41" i="2" s="1"/>
  <c r="AZ41" i="2"/>
  <c r="AY41" i="2"/>
  <c r="AX41" i="2"/>
  <c r="AW41" i="2"/>
  <c r="AV41" i="2"/>
  <c r="AU41" i="2"/>
  <c r="AT41" i="2"/>
  <c r="AS41" i="2"/>
  <c r="AR41" i="2"/>
  <c r="CS40" i="2"/>
  <c r="CR40" i="2"/>
  <c r="AZ40" i="2"/>
  <c r="AY40" i="2"/>
  <c r="AX40" i="2"/>
  <c r="AW40" i="2"/>
  <c r="AV40" i="2"/>
  <c r="AU40" i="2"/>
  <c r="AT40" i="2"/>
  <c r="AS40" i="2"/>
  <c r="AR40" i="2"/>
  <c r="CR39" i="2"/>
  <c r="CS39" i="2" s="1"/>
  <c r="AZ39" i="2"/>
  <c r="AY39" i="2"/>
  <c r="AX39" i="2"/>
  <c r="AW39" i="2"/>
  <c r="AV39" i="2"/>
  <c r="AU39" i="2"/>
  <c r="AT39" i="2"/>
  <c r="AS39" i="2"/>
  <c r="AR39" i="2"/>
  <c r="CR38" i="2"/>
  <c r="CS38" i="2" s="1"/>
  <c r="AZ38" i="2"/>
  <c r="AY38" i="2"/>
  <c r="AX38" i="2"/>
  <c r="AW38" i="2"/>
  <c r="AV38" i="2"/>
  <c r="AU38" i="2"/>
  <c r="AT38" i="2"/>
  <c r="AS38" i="2"/>
  <c r="AR38" i="2"/>
  <c r="CR37" i="2"/>
  <c r="CS37" i="2" s="1"/>
  <c r="AZ37" i="2"/>
  <c r="AY37" i="2"/>
  <c r="AX37" i="2"/>
  <c r="AW37" i="2"/>
  <c r="AV37" i="2"/>
  <c r="AU37" i="2"/>
  <c r="AT37" i="2"/>
  <c r="AS37" i="2"/>
  <c r="AR37" i="2"/>
  <c r="CS36" i="2"/>
  <c r="CR36" i="2"/>
  <c r="AZ36" i="2"/>
  <c r="AY36" i="2"/>
  <c r="AX36" i="2"/>
  <c r="AW36" i="2"/>
  <c r="AV36" i="2"/>
  <c r="AU36" i="2"/>
  <c r="AT36" i="2"/>
  <c r="AS36" i="2"/>
  <c r="AR36" i="2"/>
  <c r="CS35" i="2"/>
  <c r="CR35" i="2"/>
  <c r="AZ35" i="2"/>
  <c r="AY35" i="2"/>
  <c r="AX35" i="2"/>
  <c r="AW35" i="2"/>
  <c r="AV35" i="2"/>
  <c r="AU35" i="2"/>
  <c r="AT35" i="2"/>
  <c r="AS35" i="2"/>
  <c r="AR35" i="2"/>
  <c r="CR34" i="2"/>
  <c r="CS34" i="2" s="1"/>
  <c r="AZ34" i="2"/>
  <c r="AY34" i="2"/>
  <c r="AX34" i="2"/>
  <c r="AW34" i="2"/>
  <c r="AV34" i="2"/>
  <c r="AU34" i="2"/>
  <c r="AT34" i="2"/>
  <c r="AS34" i="2"/>
  <c r="AR34" i="2"/>
  <c r="CR33" i="2"/>
  <c r="CS33" i="2" s="1"/>
  <c r="AZ33" i="2"/>
  <c r="AY33" i="2"/>
  <c r="AX33" i="2"/>
  <c r="AW33" i="2"/>
  <c r="AV33" i="2"/>
  <c r="AU33" i="2"/>
  <c r="AT33" i="2"/>
  <c r="AS33" i="2"/>
  <c r="AR33" i="2"/>
  <c r="CR32" i="2"/>
  <c r="CS32" i="2" s="1"/>
  <c r="AZ32" i="2"/>
  <c r="AY32" i="2"/>
  <c r="AX32" i="2"/>
  <c r="AW32" i="2"/>
  <c r="AV32" i="2"/>
  <c r="AU32" i="2"/>
  <c r="AT32" i="2"/>
  <c r="AS32" i="2"/>
  <c r="AR32" i="2"/>
  <c r="CR31" i="2"/>
  <c r="CS31" i="2" s="1"/>
  <c r="AZ31" i="2"/>
  <c r="AY31" i="2"/>
  <c r="AX31" i="2"/>
  <c r="AW31" i="2"/>
  <c r="AV31" i="2"/>
  <c r="AU31" i="2"/>
  <c r="AT31" i="2"/>
  <c r="AS31" i="2"/>
  <c r="AR31" i="2"/>
  <c r="CR30" i="2"/>
  <c r="CS30" i="2" s="1"/>
  <c r="AZ30" i="2"/>
  <c r="AY30" i="2"/>
  <c r="AX30" i="2"/>
  <c r="AW30" i="2"/>
  <c r="AV30" i="2"/>
  <c r="AU30" i="2"/>
  <c r="AT30" i="2"/>
  <c r="AS30" i="2"/>
  <c r="AR30" i="2"/>
  <c r="CR29" i="2"/>
  <c r="CS29" i="2" s="1"/>
  <c r="AZ29" i="2"/>
  <c r="AY29" i="2"/>
  <c r="AX29" i="2"/>
  <c r="AW29" i="2"/>
  <c r="AV29" i="2"/>
  <c r="AU29" i="2"/>
  <c r="AT29" i="2"/>
  <c r="AS29" i="2"/>
  <c r="AR29" i="2"/>
  <c r="CR28" i="2"/>
  <c r="CS28" i="2" s="1"/>
  <c r="AZ28" i="2"/>
  <c r="AY28" i="2"/>
  <c r="AX28" i="2"/>
  <c r="AW28" i="2"/>
  <c r="AV28" i="2"/>
  <c r="AU28" i="2"/>
  <c r="AT28" i="2"/>
  <c r="AS28" i="2"/>
  <c r="AR28" i="2"/>
  <c r="CR27" i="2"/>
  <c r="CS27" i="2" s="1"/>
  <c r="AZ27" i="2"/>
  <c r="AY27" i="2"/>
  <c r="AX27" i="2"/>
  <c r="AW27" i="2"/>
  <c r="AV27" i="2"/>
  <c r="AU27" i="2"/>
  <c r="AT27" i="2"/>
  <c r="AS27" i="2"/>
  <c r="AR27" i="2"/>
  <c r="CS26" i="2"/>
  <c r="CR26" i="2"/>
  <c r="AZ26" i="2"/>
  <c r="AY26" i="2"/>
  <c r="AX26" i="2"/>
  <c r="AW26" i="2"/>
  <c r="AV26" i="2"/>
  <c r="AU26" i="2"/>
  <c r="AT26" i="2"/>
  <c r="AS26" i="2"/>
  <c r="AR26" i="2"/>
  <c r="CR25" i="2"/>
  <c r="CS25" i="2" s="1"/>
  <c r="AZ25" i="2"/>
  <c r="AY25" i="2"/>
  <c r="AX25" i="2"/>
  <c r="AW25" i="2"/>
  <c r="AV25" i="2"/>
  <c r="AU25" i="2"/>
  <c r="AT25" i="2"/>
  <c r="AS25" i="2"/>
  <c r="AR25" i="2"/>
  <c r="CS24" i="2"/>
  <c r="CR24" i="2"/>
  <c r="AZ24" i="2"/>
  <c r="AY24" i="2"/>
  <c r="AX24" i="2"/>
  <c r="AW24" i="2"/>
  <c r="AV24" i="2"/>
  <c r="AU24" i="2"/>
  <c r="AT24" i="2"/>
  <c r="AS24" i="2"/>
  <c r="AR24" i="2"/>
  <c r="CR23" i="2"/>
  <c r="CS23" i="2" s="1"/>
  <c r="AZ23" i="2"/>
  <c r="AY23" i="2"/>
  <c r="AX23" i="2"/>
  <c r="AW23" i="2"/>
  <c r="AV23" i="2"/>
  <c r="AU23" i="2"/>
  <c r="AT23" i="2"/>
  <c r="AS23" i="2"/>
  <c r="AR23" i="2"/>
  <c r="CR22" i="2"/>
  <c r="CS22" i="2" s="1"/>
  <c r="AZ22" i="2"/>
  <c r="AY22" i="2"/>
  <c r="AX22" i="2"/>
  <c r="AW22" i="2"/>
  <c r="AV22" i="2"/>
  <c r="AU22" i="2"/>
  <c r="AT22" i="2"/>
  <c r="AS22" i="2"/>
  <c r="AR22" i="2"/>
  <c r="CR21" i="2"/>
  <c r="CS21" i="2" s="1"/>
  <c r="AZ21" i="2"/>
  <c r="AY21" i="2"/>
  <c r="AX21" i="2"/>
  <c r="AW21" i="2"/>
  <c r="AV21" i="2"/>
  <c r="AU21" i="2"/>
  <c r="AT21" i="2"/>
  <c r="AS21" i="2"/>
  <c r="AR21" i="2"/>
  <c r="CR20" i="2"/>
  <c r="CS20" i="2" s="1"/>
  <c r="AZ20" i="2"/>
  <c r="AY20" i="2"/>
  <c r="AX20" i="2"/>
  <c r="AW20" i="2"/>
  <c r="AV20" i="2"/>
  <c r="AU20" i="2"/>
  <c r="AT20" i="2"/>
  <c r="AS20" i="2"/>
  <c r="AR20" i="2"/>
  <c r="CR19" i="2"/>
  <c r="CS19" i="2" s="1"/>
  <c r="AZ19" i="2"/>
  <c r="AY19" i="2"/>
  <c r="AX19" i="2"/>
  <c r="AW19" i="2"/>
  <c r="AV19" i="2"/>
  <c r="AU19" i="2"/>
  <c r="AT19" i="2"/>
  <c r="AS19" i="2"/>
  <c r="AR19" i="2"/>
  <c r="CS18" i="2"/>
  <c r="CR18" i="2"/>
  <c r="AZ18" i="2"/>
  <c r="AY18" i="2"/>
  <c r="AX18" i="2"/>
  <c r="AW18" i="2"/>
  <c r="AV18" i="2"/>
  <c r="AU18" i="2"/>
  <c r="AT18" i="2"/>
  <c r="AS18" i="2"/>
  <c r="AR18" i="2"/>
  <c r="CR17" i="2"/>
  <c r="CS17" i="2" s="1"/>
  <c r="AZ17" i="2"/>
  <c r="AY17" i="2"/>
  <c r="AX17" i="2"/>
  <c r="AW17" i="2"/>
  <c r="AV17" i="2"/>
  <c r="AU17" i="2"/>
  <c r="AT17" i="2"/>
  <c r="AS17" i="2"/>
  <c r="AR17" i="2"/>
  <c r="CR16" i="2"/>
  <c r="CS16" i="2" s="1"/>
  <c r="AZ16" i="2"/>
  <c r="AY16" i="2"/>
  <c r="AX16" i="2"/>
  <c r="AW16" i="2"/>
  <c r="AV16" i="2"/>
  <c r="AU16" i="2"/>
  <c r="AT16" i="2"/>
  <c r="AS16" i="2"/>
  <c r="AR16" i="2"/>
  <c r="CS15" i="2"/>
  <c r="CR15" i="2"/>
  <c r="AZ15" i="2"/>
  <c r="AY15" i="2"/>
  <c r="AX15" i="2"/>
  <c r="AW15" i="2"/>
  <c r="AV15" i="2"/>
  <c r="AU15" i="2"/>
  <c r="AT15" i="2"/>
  <c r="AS15" i="2"/>
  <c r="AR15" i="2"/>
  <c r="CS14" i="2"/>
  <c r="CR14" i="2"/>
  <c r="AZ14" i="2"/>
  <c r="AY14" i="2"/>
  <c r="AX14" i="2"/>
  <c r="AW14" i="2"/>
  <c r="AV14" i="2"/>
  <c r="AU14" i="2"/>
  <c r="AT14" i="2"/>
  <c r="AS14" i="2"/>
  <c r="AR14" i="2"/>
  <c r="CR13" i="2"/>
  <c r="CS13" i="2" s="1"/>
  <c r="AZ13" i="2"/>
  <c r="AY13" i="2"/>
  <c r="AX13" i="2"/>
  <c r="AW13" i="2"/>
  <c r="AV13" i="2"/>
  <c r="AU13" i="2"/>
  <c r="AT13" i="2"/>
  <c r="AS13" i="2"/>
  <c r="AR13" i="2"/>
  <c r="CR12" i="2"/>
  <c r="CS12" i="2" s="1"/>
  <c r="AZ12" i="2"/>
  <c r="AY12" i="2"/>
  <c r="AX12" i="2"/>
  <c r="AW12" i="2"/>
  <c r="AV12" i="2"/>
  <c r="AU12" i="2"/>
  <c r="AT12" i="2"/>
  <c r="AS12" i="2"/>
  <c r="AR12" i="2"/>
  <c r="CR11" i="2"/>
  <c r="CS11" i="2" s="1"/>
  <c r="AZ11" i="2"/>
  <c r="AY11" i="2"/>
  <c r="AX11" i="2"/>
  <c r="AW11" i="2"/>
  <c r="AV11" i="2"/>
  <c r="AU11" i="2"/>
  <c r="AT11" i="2"/>
  <c r="AS11" i="2"/>
  <c r="AR11" i="2"/>
  <c r="CS10" i="2"/>
  <c r="CR10" i="2"/>
  <c r="AZ10" i="2"/>
  <c r="AY10" i="2"/>
  <c r="AX10" i="2"/>
  <c r="AW10" i="2"/>
  <c r="AV10" i="2"/>
  <c r="AU10" i="2"/>
  <c r="AT10" i="2"/>
  <c r="AS10" i="2"/>
  <c r="AR10" i="2"/>
  <c r="CR9" i="2"/>
  <c r="CS9" i="2" s="1"/>
  <c r="AZ9" i="2"/>
  <c r="AY9" i="2"/>
  <c r="AX9" i="2"/>
  <c r="AW9" i="2"/>
  <c r="AV9" i="2"/>
  <c r="AU9" i="2"/>
  <c r="AT9" i="2"/>
  <c r="AS9" i="2"/>
  <c r="AR9" i="2"/>
  <c r="CR8" i="2"/>
  <c r="CS8" i="2" s="1"/>
  <c r="AZ8" i="2"/>
  <c r="AY8" i="2"/>
  <c r="AX8" i="2"/>
  <c r="AW8" i="2"/>
  <c r="AV8" i="2"/>
  <c r="AU8" i="2"/>
  <c r="AT8" i="2"/>
  <c r="AS8" i="2"/>
  <c r="AR8" i="2"/>
  <c r="CR7" i="2"/>
  <c r="CS7" i="2" s="1"/>
  <c r="AZ7" i="2"/>
  <c r="AY7" i="2"/>
  <c r="AX7" i="2"/>
  <c r="AW7" i="2"/>
  <c r="AV7" i="2"/>
  <c r="AU7" i="2"/>
  <c r="AT7" i="2"/>
  <c r="AS7" i="2"/>
  <c r="AR7" i="2"/>
  <c r="CS6" i="2"/>
  <c r="CR6" i="2"/>
  <c r="AZ6" i="2"/>
  <c r="AY6" i="2"/>
  <c r="AX6" i="2"/>
  <c r="AW6" i="2"/>
  <c r="AV6" i="2"/>
  <c r="AU6" i="2"/>
  <c r="AT6" i="2"/>
  <c r="AS6" i="2"/>
  <c r="AR6" i="2"/>
  <c r="CR5" i="2"/>
  <c r="CS5" i="2" s="1"/>
  <c r="AZ5" i="2"/>
  <c r="AY5" i="2"/>
  <c r="AX5" i="2"/>
  <c r="AW5" i="2"/>
  <c r="AV5" i="2"/>
  <c r="AU5" i="2"/>
  <c r="AT5" i="2"/>
  <c r="AS5" i="2"/>
  <c r="AR5" i="2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Quoc-Hy Dao</author>
    <author>Hy Dao</author>
  </authors>
  <commentList>
    <comment ref="I4" authorId="0" shapeId="0" xr:uid="{30D21EF8-C37E-42C8-95D8-B8F179BE0C18}">
      <text>
        <r>
          <rPr>
            <b/>
            <sz val="9"/>
            <color indexed="81"/>
            <rFont val="Tahoma"/>
            <family val="2"/>
          </rPr>
          <t>Quoc-Hy Dao:</t>
        </r>
        <r>
          <rPr>
            <sz val="9"/>
            <color indexed="81"/>
            <rFont val="Tahoma"/>
            <family val="2"/>
          </rPr>
          <t xml:space="preserve">
issue du script terriscope</t>
        </r>
      </text>
    </comment>
    <comment ref="J4" authorId="0" shapeId="0" xr:uid="{C7746200-4263-4FA5-8C72-518A3E51EDA0}">
      <text>
        <r>
          <rPr>
            <b/>
            <sz val="9"/>
            <color indexed="81"/>
            <rFont val="Tahoma"/>
            <family val="2"/>
          </rPr>
          <t>Quoc-Hy Dao:</t>
        </r>
        <r>
          <rPr>
            <sz val="9"/>
            <color indexed="81"/>
            <rFont val="Tahoma"/>
            <family val="2"/>
          </rPr>
          <t xml:space="preserve">
de la couche </t>
        </r>
        <r>
          <rPr>
            <b/>
            <sz val="9"/>
            <color indexed="81"/>
            <rFont val="Tahoma"/>
            <family val="2"/>
          </rPr>
          <t>COMMUNES_GG_EV_FR_no_lake</t>
        </r>
      </text>
    </comment>
    <comment ref="X4" authorId="1" shapeId="0" xr:uid="{D9DD917E-5AEF-4359-A65E-0CEA9F3AF760}">
      <text>
        <r>
          <rPr>
            <b/>
            <sz val="9"/>
            <color indexed="81"/>
            <rFont val="Tahoma"/>
            <family val="2"/>
          </rPr>
          <t>Hy Dao:</t>
        </r>
        <r>
          <rPr>
            <sz val="9"/>
            <color indexed="81"/>
            <rFont val="Tahoma"/>
            <family val="2"/>
          </rPr>
          <t xml:space="preserve">
do not use these figures, they include lakes, area for Tafers is twice what it should be, ...</t>
        </r>
      </text>
    </comment>
  </commentList>
</comments>
</file>

<file path=xl/sharedStrings.xml><?xml version="1.0" encoding="utf-8"?>
<sst xmlns="http://schemas.openxmlformats.org/spreadsheetml/2006/main" count="8032" uniqueCount="1242">
  <si>
    <t>column_nr</t>
  </si>
  <si>
    <t>varname</t>
  </si>
  <si>
    <t>description</t>
  </si>
  <si>
    <t>source</t>
  </si>
  <si>
    <t>tunit_code</t>
  </si>
  <si>
    <t>TRACES unique identifier for territorial units</t>
  </si>
  <si>
    <t>code</t>
  </si>
  <si>
    <t>Official code in national systems (Switzerland: OFS, France: INSEE)</t>
  </si>
  <si>
    <t>name</t>
  </si>
  <si>
    <t>Territorial unit name</t>
  </si>
  <si>
    <t>study_area</t>
  </si>
  <si>
    <t>TRACES study area</t>
  </si>
  <si>
    <t>nuts3_name</t>
  </si>
  <si>
    <t>NUTS 3 name (Switzerland: canton, France: département)</t>
  </si>
  <si>
    <t>nuts0_name</t>
  </si>
  <si>
    <t>NUTS 0 name (country name)</t>
  </si>
  <si>
    <t>lau1_name</t>
  </si>
  <si>
    <t>Local administrative units (LAU) level 1 name  (Switzerland: disctrict, France: canton)</t>
  </si>
  <si>
    <t>area_m2</t>
  </si>
  <si>
    <t>Area, square meters</t>
  </si>
  <si>
    <t>?</t>
  </si>
  <si>
    <t>area_ha_terriscope</t>
  </si>
  <si>
    <t>Area, hectares (from Terriscope project)</t>
  </si>
  <si>
    <t>Terriscope project (area based on CORINE Land Cover cells)</t>
  </si>
  <si>
    <t>area_ha_no_lake</t>
  </si>
  <si>
    <t>Area, hectares</t>
  </si>
  <si>
    <t>GIS file "COMMUNES_GG_EV_FR_no_lake" (communes without lake areas, compiled from "AGGLO_COMMUNES" (SITG) and "swissBOUNDARIES3D_1_3_TLM_HOHEITSGEBIET"(swisstopo))</t>
  </si>
  <si>
    <t>elev_min</t>
  </si>
  <si>
    <t>Elevation, minimum</t>
  </si>
  <si>
    <t>The DEM used is the the ASTER Global Digital Elevation Map Announcement version 3 (https://asterweb.jpl.nasa.gov/GDEM.asp) available globally at 30 meter resolution, from which the slope were calculated and available on SDC under the product name astgtmv003.</t>
  </si>
  <si>
    <t>elev_max</t>
  </si>
  <si>
    <t>Elevation, maximum</t>
  </si>
  <si>
    <t>elev_mean</t>
  </si>
  <si>
    <t>Elevation, mean</t>
  </si>
  <si>
    <t>elev_std</t>
  </si>
  <si>
    <t>Elevation, standard deviation</t>
  </si>
  <si>
    <t>slp_min</t>
  </si>
  <si>
    <t>Slope, minimum</t>
  </si>
  <si>
    <t>slp_max</t>
  </si>
  <si>
    <t>Slope, maximum</t>
  </si>
  <si>
    <t>slp_mean</t>
  </si>
  <si>
    <t>Slope, mean</t>
  </si>
  <si>
    <t>slp_std</t>
  </si>
  <si>
    <t>Slope, standard deviation</t>
  </si>
  <si>
    <t>nuts_3_code</t>
  </si>
  <si>
    <t>NUTS 3 code</t>
  </si>
  <si>
    <t>Table de correspondance LAU - NUTS 2016, UE-28 et AELE / Pays candidats disponibles (fichier EU-28-LAU-2019-NUTS-2016.xlsx), Eurostat - Unités administratives locales, https://ec.europa.eu/eurostat/fr/web/nuts/local-administrative-units</t>
  </si>
  <si>
    <t>lau_code</t>
  </si>
  <si>
    <t>LAU code</t>
  </si>
  <si>
    <t>lau_name_national</t>
  </si>
  <si>
    <t>LAU name national</t>
  </si>
  <si>
    <t>lau_name_latin</t>
  </si>
  <si>
    <t>LAU name latin</t>
  </si>
  <si>
    <t>poplau2021</t>
  </si>
  <si>
    <t>Population, 2021</t>
  </si>
  <si>
    <t>total_area_m2</t>
  </si>
  <si>
    <t>Total area, square meter</t>
  </si>
  <si>
    <t>degurba</t>
  </si>
  <si>
    <t>"The degree of urbanisation (DEGURBA) is a classification that indicates the character of an area. It classifies the territory of a country on an urban-rural continuum. DEGURBA combines the population size and the population density thresholds to establish 3 mutually exclusive classes: cities, towns and suburbs, rural areas" https://ec.europa.eu/eurostat/web/degree-of-urbanisation/information-data</t>
  </si>
  <si>
    <t>pop1982</t>
  </si>
  <si>
    <t>Population, 1982</t>
  </si>
  <si>
    <t>France: INSEE (Historique des populations communales - Recensements de la population 1876-2019, https://www.insee.fr/fr/statistiques/3698339) / Switzerland: OFS (Bilan démographique selon le niveau géographique institutionnel, de 1981 à 2021, https://www.pxweb.bfs.admin.ch/pxweb/fr/px-x-0102020000_201/-/px-x-0102020000_201.px/)</t>
  </si>
  <si>
    <t>pop1990</t>
  </si>
  <si>
    <t>Population, 1990</t>
  </si>
  <si>
    <t>pop1999</t>
  </si>
  <si>
    <t>Population, 1999</t>
  </si>
  <si>
    <t>pop2006</t>
  </si>
  <si>
    <t>Population, 2006</t>
  </si>
  <si>
    <t>pop2007</t>
  </si>
  <si>
    <t>Population, 2007</t>
  </si>
  <si>
    <t>pop2008</t>
  </si>
  <si>
    <t>Population, 2008</t>
  </si>
  <si>
    <t>pop2009</t>
  </si>
  <si>
    <t>Population, 2009</t>
  </si>
  <si>
    <t>pop2010</t>
  </si>
  <si>
    <t>Population, 2010</t>
  </si>
  <si>
    <t>pop2011</t>
  </si>
  <si>
    <t>Population, 2011</t>
  </si>
  <si>
    <t>pop2012</t>
  </si>
  <si>
    <t>Population, 2012</t>
  </si>
  <si>
    <t>pop2013</t>
  </si>
  <si>
    <t>Population, 2013</t>
  </si>
  <si>
    <t>pop2014</t>
  </si>
  <si>
    <t>Population, 2014</t>
  </si>
  <si>
    <t>pop2015</t>
  </si>
  <si>
    <t>Population, 2015</t>
  </si>
  <si>
    <t>pop2016</t>
  </si>
  <si>
    <t>Population, 2016</t>
  </si>
  <si>
    <t>pop2017</t>
  </si>
  <si>
    <t>Population, 2017</t>
  </si>
  <si>
    <t>pop2018</t>
  </si>
  <si>
    <t>Population, 2018</t>
  </si>
  <si>
    <t>pop2019</t>
  </si>
  <si>
    <t>Population, 2019</t>
  </si>
  <si>
    <t>pop2021</t>
  </si>
  <si>
    <t>https://statistique.ge.ch/atlas/index.php#c=indicator&amp;i=ost_pop_tot.pop_tot_ost&amp;s=2021&amp;t=A02&amp;theme=trans_pop&amp;view=map5</t>
  </si>
  <si>
    <t>popdens2019</t>
  </si>
  <si>
    <t>Population density, 2019</t>
  </si>
  <si>
    <t>calculated : [pop2019]/([area_ha_no_lake]/100)</t>
  </si>
  <si>
    <t>evolpopan1982_1990</t>
  </si>
  <si>
    <t>evolpopan1990_1999</t>
  </si>
  <si>
    <t>evolpopan1999_2009</t>
  </si>
  <si>
    <t>evolpopan2009_2019</t>
  </si>
  <si>
    <t>evolpopan1982_1999</t>
  </si>
  <si>
    <t>evolpopan1999_2019</t>
  </si>
  <si>
    <t>evolpopan1982_2019</t>
  </si>
  <si>
    <t>CLC3_2018_TOT_HA</t>
  </si>
  <si>
    <t>CORINE Land Cover category level 3, 2018 (ha)</t>
  </si>
  <si>
    <t>CORINE Land Cover https://land.copernicus.eu/en/products/corine-land-cover</t>
  </si>
  <si>
    <t>CLC3_2018_1_HA</t>
  </si>
  <si>
    <t>CLC3_2018_2_HA</t>
  </si>
  <si>
    <t>CLC3_2018_3_HA</t>
  </si>
  <si>
    <t>CLC3_2018_4_HA</t>
  </si>
  <si>
    <t>CLC3_2018_5_HA</t>
  </si>
  <si>
    <t>CLC3_2018_6_HA</t>
  </si>
  <si>
    <t>CLC3_2018_7_HA</t>
  </si>
  <si>
    <t>CLC3_2018_10_HA</t>
  </si>
  <si>
    <t>CLC3_2018_11_HA</t>
  </si>
  <si>
    <t>CLC3_2018_12_HA</t>
  </si>
  <si>
    <t>CLC3_2018_15_HA</t>
  </si>
  <si>
    <t>CLC3_2018_16_HA</t>
  </si>
  <si>
    <t>CLC3_2018_18_HA</t>
  </si>
  <si>
    <t>CLC3_2018_20_HA</t>
  </si>
  <si>
    <t>CLC3_2018_21_HA</t>
  </si>
  <si>
    <t>CLC3_2018_23_HA</t>
  </si>
  <si>
    <t>CLC3_2018_24_HA</t>
  </si>
  <si>
    <t>CLC3_2018_25_HA</t>
  </si>
  <si>
    <t>CLC3_2018_26_HA</t>
  </si>
  <si>
    <t>CLC3_2018_27_HA</t>
  </si>
  <si>
    <t>CLC3_2018_29_HA</t>
  </si>
  <si>
    <t>CLC3_2018_30_HA</t>
  </si>
  <si>
    <t>CLC3_2018_31_HA</t>
  </si>
  <si>
    <t>CLC3_2018_32_HA</t>
  </si>
  <si>
    <t>CLC3_2018_35_HA</t>
  </si>
  <si>
    <t>CLC3_2018_40_HA</t>
  </si>
  <si>
    <t>CLC3_2018_41_HA</t>
  </si>
  <si>
    <t>noas04_4cat_1_1985_ha</t>
  </si>
  <si>
    <t>Surface NOAS04, 4 catégories, classe 1 (ha), 1985</t>
  </si>
  <si>
    <t>Swiss Land Use Statistics, Federal Statistical Office, https://www.bfs.admin.ch/bfs/en/home/services/geostat/swiss-federal-statistics-geodata/land-use-cover-suitability/swiss-land-use-statistics.html</t>
  </si>
  <si>
    <t>noas04_4cat_1_1997_ha</t>
  </si>
  <si>
    <t>Surface NOAS04, 4 catégories, classe 1 (ha), 1997</t>
  </si>
  <si>
    <t>noas04_4cat_1_2009_ha</t>
  </si>
  <si>
    <t>Surface NOAS04, 4 catégories, classe 1 (ha), 2009</t>
  </si>
  <si>
    <t>noas04_4cat_1_2018_ha</t>
  </si>
  <si>
    <t>Surface NOAS04, 4 catégories, classe 1 (ha), 2018</t>
  </si>
  <si>
    <t>noas04_4cat_1_1985_pc</t>
  </si>
  <si>
    <t>Surface NOAS04, 4 catégories, classe 1 (% de la suface communale), 1985</t>
  </si>
  <si>
    <t>noas04_4cat_1_1997_pc</t>
  </si>
  <si>
    <t>Surface NOAS04, 4 catégories, classe 1 (% de la suface communale), 1997</t>
  </si>
  <si>
    <t>noas04_4cat_1_2009_pc</t>
  </si>
  <si>
    <t>Surface NOAS04, 4 catégories, classe 1 (% de la suface communale), 2009</t>
  </si>
  <si>
    <t>noas04_4cat_1_2018_pc</t>
  </si>
  <si>
    <t>Surface NOAS04, 4 catégories, classe 1 (% de la suface communale), 2018</t>
  </si>
  <si>
    <t>i85_1985</t>
  </si>
  <si>
    <t>NOAS04, 4 catégories, classe 1, évolution par rapport à la valeur 1985 (index = 1), 1985</t>
  </si>
  <si>
    <t>i85_1997</t>
  </si>
  <si>
    <t>NOAS04, 4 catégories, classe 1, évolution par rapport à la valeur 1985 (index = 1), 1997</t>
  </si>
  <si>
    <t>i85_2009</t>
  </si>
  <si>
    <t>NOAS04, 4 catégories, classe 1, évolution par rapport à la valeur 1985 (index = 1), 2009</t>
  </si>
  <si>
    <t>i85_2018</t>
  </si>
  <si>
    <t>NOAS04, 4 catégories, classe 1, évolution par rapport à la valeur 1985 (index = 1), 2018</t>
  </si>
  <si>
    <t>evol85_1985_pc</t>
  </si>
  <si>
    <t>NOAS04, 4 catégories, classe 1, différence par rapport à 1985 divisée par la surface communale, 1985</t>
  </si>
  <si>
    <t>evol85_1997_pc</t>
  </si>
  <si>
    <t>NOAS04, 4 catégories, classe 1, différence par rapport à 1985 divisée par la surface communale, 1997</t>
  </si>
  <si>
    <t>evol85_2009_pc</t>
  </si>
  <si>
    <t>NOAS04, 4 catégories, classe 1, différence par rapport à 1985 divisée par la surface communale, 2009</t>
  </si>
  <si>
    <t>evol85_2018_pc</t>
  </si>
  <si>
    <t>NOAS04, 4 catégories, classe 1, différence par rapport à 1985 divisée par la surface communale, 2018</t>
  </si>
  <si>
    <t>i82_2016pop</t>
  </si>
  <si>
    <t>Evolution de la population depuis 1982 (index = 1), 2016 (pour se caler sur les séries NOAS04 1979-85 et 2013-18)</t>
  </si>
  <si>
    <t>own calculations</t>
  </si>
  <si>
    <t>etal1985_2018</t>
  </si>
  <si>
    <t>Etalement urbain 1985-2018 (rapport entre l'évolution de la population et l'évolution des surfaces d’habitat et d’infrastructure</t>
  </si>
  <si>
    <t>CLC1_1990_1_PC</t>
  </si>
  <si>
    <t>CORINE Land Cover category level 1, 1990 (% of total area)</t>
  </si>
  <si>
    <t>CLC1_1990_2_PC</t>
  </si>
  <si>
    <t>CLC1_1990_3_PC</t>
  </si>
  <si>
    <t>CLC1_1990_4_PC</t>
  </si>
  <si>
    <t>CLC1_1990_5_PC</t>
  </si>
  <si>
    <t>CLC1_2000_1_PC</t>
  </si>
  <si>
    <t>CORINE Land Cover category level 1, 2000 (% of total area)</t>
  </si>
  <si>
    <t>CLC1_2000_2_PC</t>
  </si>
  <si>
    <t>CLC1_2000_3_PC</t>
  </si>
  <si>
    <t>CLC1_2000_4_PC</t>
  </si>
  <si>
    <t>CLC1_2000_5_PC</t>
  </si>
  <si>
    <t>CLC1_2006_1_PC</t>
  </si>
  <si>
    <t>CORINE Land Cover category level 1, 2006 (% of total area)</t>
  </si>
  <si>
    <t>CLC1_2006_2_PC</t>
  </si>
  <si>
    <t>CLC1_2006_3_PC</t>
  </si>
  <si>
    <t>CLC1_2006_4_PC</t>
  </si>
  <si>
    <t>CLC1_2006_5_PC</t>
  </si>
  <si>
    <t>CLC1_2012_1_PC</t>
  </si>
  <si>
    <t>CORINE Land Cover category level 1, 2012 (% of total area)</t>
  </si>
  <si>
    <t>CLC1_2012_2_PC</t>
  </si>
  <si>
    <t>CLC1_2012_3_PC</t>
  </si>
  <si>
    <t>CLC1_2012_4_PC</t>
  </si>
  <si>
    <t>CLC1_2012_5_PC</t>
  </si>
  <si>
    <t>CLC1_2018_1_PC</t>
  </si>
  <si>
    <t>CORINE Land Cover category level 1, 2018 (% of total area)</t>
  </si>
  <si>
    <t>CLC1_2018_2_PC</t>
  </si>
  <si>
    <t>CLC1_2018_3_PC</t>
  </si>
  <si>
    <t>CLC1_2018_4_PC</t>
  </si>
  <si>
    <t>CLC1_2018_5_PC</t>
  </si>
  <si>
    <t>urban_space_cat</t>
  </si>
  <si>
    <t>Catégorie de commune de l'espace à caractère urbain</t>
  </si>
  <si>
    <t>Espace à caractère urbain 2010. Source: OFS – Niveaux géographiques de la Suisse. Dernière modification: 21.03.2024</t>
  </si>
  <si>
    <t>change_since2012</t>
  </si>
  <si>
    <t>Changement par rapport à 2012 (X = nouveau depuis 2020 ou code 2012 si changement)</t>
  </si>
  <si>
    <t>pop2022</t>
  </si>
  <si>
    <t>Population résidente permanente en 2022 (CH: STATPOP, 31.12.2022; Etranger: différents relevés des offices nationaux de statistiques (années: 2020))</t>
  </si>
  <si>
    <t>agglo_centre_code</t>
  </si>
  <si>
    <t>Code de l'agglomération (T_xxxx indique les agglomérations transfrontalières)</t>
  </si>
  <si>
    <t>agglo_centre_name</t>
  </si>
  <si>
    <t>Nom de l'agglomération ou du Centre hors agglomération</t>
  </si>
  <si>
    <t>agglo_centre_nb_comm_ch</t>
  </si>
  <si>
    <t>Nombre de communes suisses (état 01.01.2024)</t>
  </si>
  <si>
    <t>agglo_centre_nb_comm_notch</t>
  </si>
  <si>
    <t>Nombre de communes à l'étranger</t>
  </si>
  <si>
    <t>agglo_centre_nb_comm_tot</t>
  </si>
  <si>
    <t>Nombre de commune total</t>
  </si>
  <si>
    <t>agglo_centre_popinch2022</t>
  </si>
  <si>
    <t>Population résidante permanente en Suisse en 2022 (Source des données de la population: STATPOP, 31.12.2022)</t>
  </si>
  <si>
    <t>agglo_centre_popnotinch2022</t>
  </si>
  <si>
    <t>Population résidante permanente à l'étranger (Différents relevés des offices nationaux de statistiques (année: 2020))</t>
  </si>
  <si>
    <t>agglo_centre_pop2022</t>
  </si>
  <si>
    <t>Population résidante permanente totale (Source des données de la population: STATPOP, 31.12.2022)</t>
  </si>
  <si>
    <t>UU2020</t>
  </si>
  <si>
    <t>Unité urbaine 2020</t>
  </si>
  <si>
    <t>Unités urbaines 2020. France - Composition communale. Mise en ligne le 18/03/2024. Géographie au 01/01/2024. Source(s) : Insee, Code officiel géographique. https://www.insee.fr/fr/information/4802589</t>
  </si>
  <si>
    <t>LIBUU2020</t>
  </si>
  <si>
    <t>Libellé géographique de l'unité urbaine 2020</t>
  </si>
  <si>
    <t>TYPE_COMMUNE_UU</t>
  </si>
  <si>
    <t>Type de commune (1 - Ville isolée ou unité urbaine monocommunale, 2 - Agglomération intra-départementale, 3 - Agglomération inter-départementale, 4 - Agglomération inter-régionale, 5 - Agglomération internationale)</t>
  </si>
  <si>
    <t>STATUT_COM_UU</t>
  </si>
  <si>
    <t>Statut de la commune dans l'unité urbaine 2017(H - Hors unité urbaine, C - Ville-centre, B - Banlieue, I - Ville isolée)</t>
  </si>
  <si>
    <t>1.1.1 Continuous urban fabric</t>
  </si>
  <si>
    <t>1.1.2 Discontinuous urban fabric</t>
  </si>
  <si>
    <t>1.2.1 Industrial or commercial units</t>
  </si>
  <si>
    <t>1.2.2 Road and rail networks and associated land</t>
  </si>
  <si>
    <t>1.2.3 Port areas</t>
  </si>
  <si>
    <t>1.2.4 Airports</t>
  </si>
  <si>
    <t>1.3.1 Mineral extraction sites</t>
  </si>
  <si>
    <t>1.4.1 Green urban areas</t>
  </si>
  <si>
    <t>1.4.2 Sport and leisure facilities</t>
  </si>
  <si>
    <t>2.1.1 Non-irrigated arable land</t>
  </si>
  <si>
    <t>2.2.1 Vineyards</t>
  </si>
  <si>
    <t>2.2.2 Fruit trees and berry plantations</t>
  </si>
  <si>
    <t>2.3.1 Pastures</t>
  </si>
  <si>
    <t>2.4.2 Complex cultivation patterns</t>
  </si>
  <si>
    <t>2.4.3 Land principally occupied by agriculture, with significant areas of natural vegetation</t>
  </si>
  <si>
    <t>3.1.1 Broad-leaved forest</t>
  </si>
  <si>
    <t>3.1.2 Coniferous forest</t>
  </si>
  <si>
    <t>3.1.3 Mixed forest</t>
  </si>
  <si>
    <t>3.2.1 Natural grasslands</t>
  </si>
  <si>
    <t>3.2.2 Moors and heathland</t>
  </si>
  <si>
    <t>3.2.4 Transitional woodland-shrub</t>
  </si>
  <si>
    <t>3.3.1 Beaches, dunes, sands</t>
  </si>
  <si>
    <t>3.3.2 Bare rocks</t>
  </si>
  <si>
    <t>3.3.3 Sparsely vegetated areas</t>
  </si>
  <si>
    <t>4.1.1 Inland marshes</t>
  </si>
  <si>
    <t>5.1.1 Water courses</t>
  </si>
  <si>
    <t>5.1.2 Water bodies</t>
  </si>
  <si>
    <t>Surfaces d’habitat et d’infrastructure</t>
  </si>
  <si>
    <t>EU-28-LAU-2019-NUTS-2016.xlsx</t>
  </si>
  <si>
    <t>calculated</t>
  </si>
  <si>
    <t>Espace à caractère urbain 2020 (OFS, https://www.bfs.admin.ch/asset/en/30665940)</t>
  </si>
  <si>
    <t>CH2008</t>
  </si>
  <si>
    <t>Châtillon (FR)</t>
  </si>
  <si>
    <t>Fribourg</t>
  </si>
  <si>
    <t>Suisse</t>
  </si>
  <si>
    <t>District de la Broye</t>
  </si>
  <si>
    <t>CH022</t>
  </si>
  <si>
    <t>Commune rurale sans caractère urbain</t>
  </si>
  <si>
    <t>Commune suisse</t>
  </si>
  <si>
    <t>CH2011</t>
  </si>
  <si>
    <t>Cugy (FR)</t>
  </si>
  <si>
    <t>CH2016</t>
  </si>
  <si>
    <t>Fétigny</t>
  </si>
  <si>
    <t>CH2022</t>
  </si>
  <si>
    <t>Gletterens</t>
  </si>
  <si>
    <t>CH2025</t>
  </si>
  <si>
    <t>Lully (FR)</t>
  </si>
  <si>
    <t>CH2027</t>
  </si>
  <si>
    <t>Ménières</t>
  </si>
  <si>
    <t>CH2029</t>
  </si>
  <si>
    <t>Montagny (FR)</t>
  </si>
  <si>
    <t>CH2035</t>
  </si>
  <si>
    <t>Nuvilly</t>
  </si>
  <si>
    <t>CH2038</t>
  </si>
  <si>
    <t>Prévondavaux</t>
  </si>
  <si>
    <t>CH2041</t>
  </si>
  <si>
    <t>Saint-Aubin (FR)</t>
  </si>
  <si>
    <t>CH2043</t>
  </si>
  <si>
    <t>Sévaz</t>
  </si>
  <si>
    <t>CH2044</t>
  </si>
  <si>
    <t>Surpierre</t>
  </si>
  <si>
    <t>CH2045</t>
  </si>
  <si>
    <t>Vallon</t>
  </si>
  <si>
    <t>CH2050</t>
  </si>
  <si>
    <t>Les Montets</t>
  </si>
  <si>
    <t>CH2051</t>
  </si>
  <si>
    <t>Delley-Portalban</t>
  </si>
  <si>
    <t>CH2053</t>
  </si>
  <si>
    <t>Belmont-Broye</t>
  </si>
  <si>
    <t>CH2054</t>
  </si>
  <si>
    <t>Estavayer</t>
  </si>
  <si>
    <t>CH2055</t>
  </si>
  <si>
    <t>Cheyres-Châbles</t>
  </si>
  <si>
    <t>CH2061</t>
  </si>
  <si>
    <t>Auboranges</t>
  </si>
  <si>
    <t>District de la Glâne</t>
  </si>
  <si>
    <t>Commune de la couronne d‘agglomération</t>
  </si>
  <si>
    <t/>
  </si>
  <si>
    <t>Lausanne</t>
  </si>
  <si>
    <t>CH2063</t>
  </si>
  <si>
    <t>Billens-Hennens</t>
  </si>
  <si>
    <t>CH2066</t>
  </si>
  <si>
    <t>Chapelle (Glâne)</t>
  </si>
  <si>
    <t>CH2067</t>
  </si>
  <si>
    <t>Le Châtelard</t>
  </si>
  <si>
    <t>CH2068</t>
  </si>
  <si>
    <t>Châtonnaye</t>
  </si>
  <si>
    <t>CH2072</t>
  </si>
  <si>
    <t>Ecublens (FR)</t>
  </si>
  <si>
    <t>CH2079</t>
  </si>
  <si>
    <t>Grangettes</t>
  </si>
  <si>
    <t>CH2086</t>
  </si>
  <si>
    <t>Massonnens</t>
  </si>
  <si>
    <t>CH2087</t>
  </si>
  <si>
    <t>Mézières (FR)</t>
  </si>
  <si>
    <t>CH2089</t>
  </si>
  <si>
    <t>Montet (Glâne)</t>
  </si>
  <si>
    <t>CH2096</t>
  </si>
  <si>
    <t>Romont (FR)</t>
  </si>
  <si>
    <t>CH2097</t>
  </si>
  <si>
    <t>Rue</t>
  </si>
  <si>
    <t>X</t>
  </si>
  <si>
    <t>CH2099</t>
  </si>
  <si>
    <t>Siviriez</t>
  </si>
  <si>
    <t>CH2102</t>
  </si>
  <si>
    <t>Ursy</t>
  </si>
  <si>
    <t>CH2113</t>
  </si>
  <si>
    <t>Vuisternens-devant-Romont</t>
  </si>
  <si>
    <t>CH2114</t>
  </si>
  <si>
    <t>Villorsonnens</t>
  </si>
  <si>
    <t>CH2115</t>
  </si>
  <si>
    <t>Torny</t>
  </si>
  <si>
    <t>CH2117</t>
  </si>
  <si>
    <t>Villaz</t>
  </si>
  <si>
    <t>CH2121</t>
  </si>
  <si>
    <t>Haut-Intyamon</t>
  </si>
  <si>
    <t>District de la Gruyère</t>
  </si>
  <si>
    <t>CH2122</t>
  </si>
  <si>
    <t>Pont-en-Ogoz</t>
  </si>
  <si>
    <t>Commune multi-orientée</t>
  </si>
  <si>
    <t>CH2123</t>
  </si>
  <si>
    <t>Botterens</t>
  </si>
  <si>
    <t>CH2124</t>
  </si>
  <si>
    <t>Broc</t>
  </si>
  <si>
    <t>Bulle</t>
  </si>
  <si>
    <t>CH2125</t>
  </si>
  <si>
    <t>Commune-centre d‘agglomération (ville-centre)</t>
  </si>
  <si>
    <t>CH2128</t>
  </si>
  <si>
    <t>Châtel-sur-Montsalvens</t>
  </si>
  <si>
    <t>CH2129</t>
  </si>
  <si>
    <t>Corbières</t>
  </si>
  <si>
    <t>CH2130</t>
  </si>
  <si>
    <t>Crésuz</t>
  </si>
  <si>
    <t>CH2131</t>
  </si>
  <si>
    <t>Echarlens</t>
  </si>
  <si>
    <t>Commune-centre d‘agglomération (centre principal)</t>
  </si>
  <si>
    <t>CH2134</t>
  </si>
  <si>
    <t>Grandvillard</t>
  </si>
  <si>
    <t>CH2135</t>
  </si>
  <si>
    <t>Gruyères</t>
  </si>
  <si>
    <t>CH2137</t>
  </si>
  <si>
    <t>Hauteville</t>
  </si>
  <si>
    <t>CH2138</t>
  </si>
  <si>
    <t>Jaun</t>
  </si>
  <si>
    <t>CH2140</t>
  </si>
  <si>
    <t>Marsens</t>
  </si>
  <si>
    <t>CH2143</t>
  </si>
  <si>
    <t>Morlon</t>
  </si>
  <si>
    <t>CH2145</t>
  </si>
  <si>
    <t>Le Pâquier (FR)</t>
  </si>
  <si>
    <t>CH2147</t>
  </si>
  <si>
    <t>Pont-la-Ville</t>
  </si>
  <si>
    <t>CH2148</t>
  </si>
  <si>
    <t>Riaz</t>
  </si>
  <si>
    <t>CH2149</t>
  </si>
  <si>
    <t>La Roche</t>
  </si>
  <si>
    <t>CH2152</t>
  </si>
  <si>
    <t>Sâles</t>
  </si>
  <si>
    <t>CH2153</t>
  </si>
  <si>
    <t>Sorens</t>
  </si>
  <si>
    <t>CH2155</t>
  </si>
  <si>
    <t>Vaulruz</t>
  </si>
  <si>
    <t>CH2160</t>
  </si>
  <si>
    <t>Vuadens</t>
  </si>
  <si>
    <t>CH2162</t>
  </si>
  <si>
    <t>Bas-Intyamon</t>
  </si>
  <si>
    <t>CH2163</t>
  </si>
  <si>
    <t>Val-de-Charmey</t>
  </si>
  <si>
    <t>CH2173</t>
  </si>
  <si>
    <t>Autigny</t>
  </si>
  <si>
    <t>District de la Sarine</t>
  </si>
  <si>
    <t>CH2174</t>
  </si>
  <si>
    <t>Avry</t>
  </si>
  <si>
    <t>CH2175</t>
  </si>
  <si>
    <t>Belfaux</t>
  </si>
  <si>
    <t>CH2177</t>
  </si>
  <si>
    <t>Chénens</t>
  </si>
  <si>
    <t>CH2183</t>
  </si>
  <si>
    <t>Corminboeuf</t>
  </si>
  <si>
    <t>CH2186</t>
  </si>
  <si>
    <t>Cottens (FR)</t>
  </si>
  <si>
    <t>CH2194</t>
  </si>
  <si>
    <t>Ferpicloz</t>
  </si>
  <si>
    <t>CH2196</t>
  </si>
  <si>
    <t>CH2197</t>
  </si>
  <si>
    <t>Givisiez</t>
  </si>
  <si>
    <t>CH2198</t>
  </si>
  <si>
    <t>Granges-Paccot</t>
  </si>
  <si>
    <t>CH2200</t>
  </si>
  <si>
    <t>Grolley</t>
  </si>
  <si>
    <t>CH2206</t>
  </si>
  <si>
    <t>Marly</t>
  </si>
  <si>
    <t>CH2208</t>
  </si>
  <si>
    <t>Matran</t>
  </si>
  <si>
    <t>CH2211</t>
  </si>
  <si>
    <t>Neyruz (FR)</t>
  </si>
  <si>
    <t>CH2216</t>
  </si>
  <si>
    <t>Pierrafortscha</t>
  </si>
  <si>
    <t>CH2217</t>
  </si>
  <si>
    <t>Ponthaux</t>
  </si>
  <si>
    <t>CH2220</t>
  </si>
  <si>
    <t>Le Mouret</t>
  </si>
  <si>
    <t>CH2226</t>
  </si>
  <si>
    <t>Treyvaux</t>
  </si>
  <si>
    <t>CH2228</t>
  </si>
  <si>
    <t>Villars-sur-Glâne</t>
  </si>
  <si>
    <t>CH2230</t>
  </si>
  <si>
    <t>Villarsel-sur-Marly</t>
  </si>
  <si>
    <t>CH2233</t>
  </si>
  <si>
    <t>Hauterive (FR)</t>
  </si>
  <si>
    <t>CH2234</t>
  </si>
  <si>
    <t>La Brillaz</t>
  </si>
  <si>
    <t>CH2235</t>
  </si>
  <si>
    <t>La Sonnaz</t>
  </si>
  <si>
    <t>CH2236</t>
  </si>
  <si>
    <t>Gibloux</t>
  </si>
  <si>
    <t>CH2237</t>
  </si>
  <si>
    <t>Prez</t>
  </si>
  <si>
    <t>CH2238</t>
  </si>
  <si>
    <t>Bois-d'Amont</t>
  </si>
  <si>
    <t>CH2250</t>
  </si>
  <si>
    <t>Courgevaux</t>
  </si>
  <si>
    <t>Bezirk See / District du Lac</t>
  </si>
  <si>
    <t>Centre hors agglomération</t>
  </si>
  <si>
    <t>CH2254</t>
  </si>
  <si>
    <t>Courtepin</t>
  </si>
  <si>
    <t>CH2257</t>
  </si>
  <si>
    <t>Cressier (FR)</t>
  </si>
  <si>
    <t>CH2258</t>
  </si>
  <si>
    <t>Fräschels</t>
  </si>
  <si>
    <t>CH2261</t>
  </si>
  <si>
    <t>Greng</t>
  </si>
  <si>
    <t>CH2262</t>
  </si>
  <si>
    <t>Gurmels</t>
  </si>
  <si>
    <t>CH2265</t>
  </si>
  <si>
    <t>Kerzers</t>
  </si>
  <si>
    <t>CH2266</t>
  </si>
  <si>
    <t>Kleinbösingen</t>
  </si>
  <si>
    <t>Bern</t>
  </si>
  <si>
    <t>CH2271</t>
  </si>
  <si>
    <t>Meyriez</t>
  </si>
  <si>
    <t>CH2272</t>
  </si>
  <si>
    <t>Misery-Courtion</t>
  </si>
  <si>
    <t>CH2274</t>
  </si>
  <si>
    <t>Muntelier</t>
  </si>
  <si>
    <t>CH2275</t>
  </si>
  <si>
    <t>Murten</t>
  </si>
  <si>
    <t>CH2276</t>
  </si>
  <si>
    <t>Ried bei Kerzers</t>
  </si>
  <si>
    <t>CH2278</t>
  </si>
  <si>
    <t>Ulmiz</t>
  </si>
  <si>
    <t>CH2284</t>
  </si>
  <si>
    <t>Mont-Vully</t>
  </si>
  <si>
    <t>CH2292</t>
  </si>
  <si>
    <t>Brünisried</t>
  </si>
  <si>
    <t>Bezirk Sense</t>
  </si>
  <si>
    <t>CH2293</t>
  </si>
  <si>
    <t>Düdingen</t>
  </si>
  <si>
    <t>CH2294</t>
  </si>
  <si>
    <t>Giffers</t>
  </si>
  <si>
    <t>CH2295</t>
  </si>
  <si>
    <t>Bösingen</t>
  </si>
  <si>
    <t>CH2296</t>
  </si>
  <si>
    <t>Heitenried</t>
  </si>
  <si>
    <t>CH2299</t>
  </si>
  <si>
    <t>Plaffeien</t>
  </si>
  <si>
    <t>CH2300</t>
  </si>
  <si>
    <t>Plasselb</t>
  </si>
  <si>
    <t>CH2301</t>
  </si>
  <si>
    <t>Rechthalten</t>
  </si>
  <si>
    <t>CH2303</t>
  </si>
  <si>
    <t>St. Silvester</t>
  </si>
  <si>
    <t>CH2304</t>
  </si>
  <si>
    <t>St. Ursen</t>
  </si>
  <si>
    <t>CH2305</t>
  </si>
  <si>
    <t>Schmitten (FR)</t>
  </si>
  <si>
    <t>CH2306</t>
  </si>
  <si>
    <t>Tafers</t>
  </si>
  <si>
    <t>CH2307</t>
  </si>
  <si>
    <t>Tentlingen</t>
  </si>
  <si>
    <t>CH2308</t>
  </si>
  <si>
    <t>Ueberstorf</t>
  </si>
  <si>
    <t>CH2309</t>
  </si>
  <si>
    <t>Wünnewil-Flamatt</t>
  </si>
  <si>
    <t>CH2321</t>
  </si>
  <si>
    <t>Attalens</t>
  </si>
  <si>
    <t>District de la Veveyse</t>
  </si>
  <si>
    <t>CH2323</t>
  </si>
  <si>
    <t>Bossonnens</t>
  </si>
  <si>
    <t>CH2325</t>
  </si>
  <si>
    <t>Châtel-Saint-Denis</t>
  </si>
  <si>
    <t>CH2328</t>
  </si>
  <si>
    <t>Granges (Veveyse)</t>
  </si>
  <si>
    <t>CH2333</t>
  </si>
  <si>
    <t>Remaufens</t>
  </si>
  <si>
    <t>CH2335</t>
  </si>
  <si>
    <t>Saint-Martin (FR)</t>
  </si>
  <si>
    <t>CH2336</t>
  </si>
  <si>
    <t>Semsales</t>
  </si>
  <si>
    <t>CH2337</t>
  </si>
  <si>
    <t>Le Flon</t>
  </si>
  <si>
    <t>CH2338</t>
  </si>
  <si>
    <t>La Verrerie</t>
  </si>
  <si>
    <t>CH2391</t>
  </si>
  <si>
    <t>Staatswald Galm</t>
  </si>
  <si>
    <t>CH5429</t>
  </si>
  <si>
    <t>Longirod</t>
  </si>
  <si>
    <t>Grand-Genève</t>
  </si>
  <si>
    <t>Vaud</t>
  </si>
  <si>
    <t>District de Nyon</t>
  </si>
  <si>
    <t>CH011</t>
  </si>
  <si>
    <t>T_6621</t>
  </si>
  <si>
    <t>Genève (CH/FR)</t>
  </si>
  <si>
    <t>CH5430</t>
  </si>
  <si>
    <t>Marchissy</t>
  </si>
  <si>
    <t>CH5434</t>
  </si>
  <si>
    <t>Saint-George</t>
  </si>
  <si>
    <t>CH5701</t>
  </si>
  <si>
    <t>Arnex-sur-Nyon</t>
  </si>
  <si>
    <t>CH5702</t>
  </si>
  <si>
    <t>Arzier</t>
  </si>
  <si>
    <t>Arzier-Le Muids</t>
  </si>
  <si>
    <t>CH5703</t>
  </si>
  <si>
    <t>Bassins</t>
  </si>
  <si>
    <t>CH5704</t>
  </si>
  <si>
    <t>Begnins</t>
  </si>
  <si>
    <t>CH5705</t>
  </si>
  <si>
    <t>Bogis-Bossey</t>
  </si>
  <si>
    <t>Commune-centre d‘agglomération (centre secondaire)</t>
  </si>
  <si>
    <t>CH5706</t>
  </si>
  <si>
    <t>Borex</t>
  </si>
  <si>
    <t>CH5707</t>
  </si>
  <si>
    <t>Chavannes-de-Bogis</t>
  </si>
  <si>
    <t>CH5708</t>
  </si>
  <si>
    <t>Chavannes-des-Bois</t>
  </si>
  <si>
    <t>CH5709</t>
  </si>
  <si>
    <t>Chéserex</t>
  </si>
  <si>
    <t>CH5710</t>
  </si>
  <si>
    <t>Coinsins</t>
  </si>
  <si>
    <t>CH5711</t>
  </si>
  <si>
    <t>Commugny</t>
  </si>
  <si>
    <t>CH5712</t>
  </si>
  <si>
    <t>Coppet</t>
  </si>
  <si>
    <t>CH5713</t>
  </si>
  <si>
    <t>Crans-près-Céligny</t>
  </si>
  <si>
    <t>CH5714</t>
  </si>
  <si>
    <t>Crassier</t>
  </si>
  <si>
    <t>CH5715</t>
  </si>
  <si>
    <t>Duillier</t>
  </si>
  <si>
    <t>CH5716</t>
  </si>
  <si>
    <t>Eysins</t>
  </si>
  <si>
    <t>CH5717</t>
  </si>
  <si>
    <t>Founex</t>
  </si>
  <si>
    <t>CH5718</t>
  </si>
  <si>
    <t>Genolier</t>
  </si>
  <si>
    <t>CH5719</t>
  </si>
  <si>
    <t>Gingins</t>
  </si>
  <si>
    <t>CH5720</t>
  </si>
  <si>
    <t>Givrins</t>
  </si>
  <si>
    <t>CH5721</t>
  </si>
  <si>
    <t>Gland</t>
  </si>
  <si>
    <t>CH5722</t>
  </si>
  <si>
    <t>Grens</t>
  </si>
  <si>
    <t>CH5723</t>
  </si>
  <si>
    <t>Mies</t>
  </si>
  <si>
    <t>CH5724</t>
  </si>
  <si>
    <t>Nyon</t>
  </si>
  <si>
    <t>CH5725</t>
  </si>
  <si>
    <t>Prangins</t>
  </si>
  <si>
    <t>CH5726</t>
  </si>
  <si>
    <t>La Rippe</t>
  </si>
  <si>
    <t>CH5727</t>
  </si>
  <si>
    <t>Saint-Cergue</t>
  </si>
  <si>
    <t>CH5728</t>
  </si>
  <si>
    <t>Signy-Avenex</t>
  </si>
  <si>
    <t>CH5729</t>
  </si>
  <si>
    <t>Tannay</t>
  </si>
  <si>
    <t>CH5730</t>
  </si>
  <si>
    <t>Trélex</t>
  </si>
  <si>
    <t>CH5731</t>
  </si>
  <si>
    <t>Le Vaud</t>
  </si>
  <si>
    <t>CH5732</t>
  </si>
  <si>
    <t>Vich</t>
  </si>
  <si>
    <t>CH5852</t>
  </si>
  <si>
    <t>Bursinel</t>
  </si>
  <si>
    <t>CH5853</t>
  </si>
  <si>
    <t>Bursins</t>
  </si>
  <si>
    <t>CH5854</t>
  </si>
  <si>
    <t>Burtigny</t>
  </si>
  <si>
    <t>CH5855</t>
  </si>
  <si>
    <t>Dully</t>
  </si>
  <si>
    <t>CH5856</t>
  </si>
  <si>
    <t>Essertines-sur-Rolle</t>
  </si>
  <si>
    <t>CH5857</t>
  </si>
  <si>
    <t>Gilly</t>
  </si>
  <si>
    <t>CH5858</t>
  </si>
  <si>
    <t>Luins</t>
  </si>
  <si>
    <t>CH5859</t>
  </si>
  <si>
    <t>Mont-sur-Rolle</t>
  </si>
  <si>
    <t>CH5860</t>
  </si>
  <si>
    <t>Perroy</t>
  </si>
  <si>
    <t>CH5861</t>
  </si>
  <si>
    <t>Rolle</t>
  </si>
  <si>
    <t>CH5862</t>
  </si>
  <si>
    <t>Tartegnin</t>
  </si>
  <si>
    <t>CH5863</t>
  </si>
  <si>
    <t>Vinzel</t>
  </si>
  <si>
    <t>CH6601</t>
  </si>
  <si>
    <t>Aire-la-Ville</t>
  </si>
  <si>
    <t>Genève</t>
  </si>
  <si>
    <t>Genève (CT)</t>
  </si>
  <si>
    <t>CH013</t>
  </si>
  <si>
    <t>CH6602</t>
  </si>
  <si>
    <t>Anières</t>
  </si>
  <si>
    <t>CH6603</t>
  </si>
  <si>
    <t>Avully</t>
  </si>
  <si>
    <t>CH6604</t>
  </si>
  <si>
    <t>Avusy</t>
  </si>
  <si>
    <t>CH6605</t>
  </si>
  <si>
    <t>Bardonnex</t>
  </si>
  <si>
    <t>CH6606</t>
  </si>
  <si>
    <t>Bellevue</t>
  </si>
  <si>
    <t>CH6607</t>
  </si>
  <si>
    <t>Bernex</t>
  </si>
  <si>
    <t>CH6608</t>
  </si>
  <si>
    <t>Carouge</t>
  </si>
  <si>
    <t>Carouge (GE)</t>
  </si>
  <si>
    <t>CH6609</t>
  </si>
  <si>
    <t>Cartigny</t>
  </si>
  <si>
    <t>CH6610</t>
  </si>
  <si>
    <t>Céligny</t>
  </si>
  <si>
    <t>CH6611</t>
  </si>
  <si>
    <t>Chancy</t>
  </si>
  <si>
    <t>CH6612</t>
  </si>
  <si>
    <t>Chêne-Bougeries</t>
  </si>
  <si>
    <t>CH6613</t>
  </si>
  <si>
    <t>Chêne-Bourg</t>
  </si>
  <si>
    <t>CH6614</t>
  </si>
  <si>
    <t>Choulex</t>
  </si>
  <si>
    <t>CH6615</t>
  </si>
  <si>
    <t>Collex-Bossy</t>
  </si>
  <si>
    <t>CH6616</t>
  </si>
  <si>
    <t>Collonge-Bellerive</t>
  </si>
  <si>
    <t>CH6617</t>
  </si>
  <si>
    <t>Cologny</t>
  </si>
  <si>
    <t>CH6618</t>
  </si>
  <si>
    <t>Confignon</t>
  </si>
  <si>
    <t>CH6619</t>
  </si>
  <si>
    <t>Corsier</t>
  </si>
  <si>
    <t>Corsier (GE)</t>
  </si>
  <si>
    <t>CH6620</t>
  </si>
  <si>
    <t>Dardagny</t>
  </si>
  <si>
    <t>CH6621</t>
  </si>
  <si>
    <t>Genève (Ville)</t>
  </si>
  <si>
    <t>CH6622</t>
  </si>
  <si>
    <t>Genthod</t>
  </si>
  <si>
    <t>CH6623</t>
  </si>
  <si>
    <t>Grand-Saconnex</t>
  </si>
  <si>
    <t>Le Grand-Saconnex</t>
  </si>
  <si>
    <t>CH6624</t>
  </si>
  <si>
    <t>Gy</t>
  </si>
  <si>
    <t>CH6625</t>
  </si>
  <si>
    <t>Hermance</t>
  </si>
  <si>
    <t>CH6626</t>
  </si>
  <si>
    <t>Jussy</t>
  </si>
  <si>
    <t>CH6627</t>
  </si>
  <si>
    <t>Laconnex</t>
  </si>
  <si>
    <t>CH6628</t>
  </si>
  <si>
    <t>Lancy</t>
  </si>
  <si>
    <t>CH6629</t>
  </si>
  <si>
    <t>Meinier</t>
  </si>
  <si>
    <t>CH6630</t>
  </si>
  <si>
    <t>Meyrin</t>
  </si>
  <si>
    <t>CH6631</t>
  </si>
  <si>
    <t>Onex</t>
  </si>
  <si>
    <t>CH6632</t>
  </si>
  <si>
    <t>Perly-Certoux</t>
  </si>
  <si>
    <t>CH6633</t>
  </si>
  <si>
    <t>Plan-les-Ouates</t>
  </si>
  <si>
    <t>CH6634</t>
  </si>
  <si>
    <t>Pregny-Chambésy</t>
  </si>
  <si>
    <t>CH6635</t>
  </si>
  <si>
    <t>Presinge</t>
  </si>
  <si>
    <t>CH6636</t>
  </si>
  <si>
    <t>Puplinge</t>
  </si>
  <si>
    <t>CH6637</t>
  </si>
  <si>
    <t>Russin</t>
  </si>
  <si>
    <t>CH6638</t>
  </si>
  <si>
    <t>Satigny</t>
  </si>
  <si>
    <t>CH6639</t>
  </si>
  <si>
    <t>Soral</t>
  </si>
  <si>
    <t>CH6640</t>
  </si>
  <si>
    <t>Thônex</t>
  </si>
  <si>
    <t>CH6641</t>
  </si>
  <si>
    <t>Troinex</t>
  </si>
  <si>
    <t>CH6642</t>
  </si>
  <si>
    <t>Vandoeuvres</t>
  </si>
  <si>
    <t>CH6643</t>
  </si>
  <si>
    <t>Vernier</t>
  </si>
  <si>
    <t>CH6644</t>
  </si>
  <si>
    <t>Versoix</t>
  </si>
  <si>
    <t>CH6645</t>
  </si>
  <si>
    <t>Veyrier</t>
  </si>
  <si>
    <t>FR01033</t>
  </si>
  <si>
    <t>Valserhône</t>
  </si>
  <si>
    <t>Ain</t>
  </si>
  <si>
    <t>France</t>
  </si>
  <si>
    <t>FRK21</t>
  </si>
  <si>
    <t>01033</t>
  </si>
  <si>
    <t>00360</t>
  </si>
  <si>
    <t>Unité urbaine</t>
  </si>
  <si>
    <t>C</t>
  </si>
  <si>
    <t>FR01044</t>
  </si>
  <si>
    <t>Billiat</t>
  </si>
  <si>
    <t>01044</t>
  </si>
  <si>
    <t>01000</t>
  </si>
  <si>
    <t>Communes hors unité urbaine du département 01</t>
  </si>
  <si>
    <t>Hors unité urbaine</t>
  </si>
  <si>
    <t>H</t>
  </si>
  <si>
    <t>FR01071</t>
  </si>
  <si>
    <t>Cessy</t>
  </si>
  <si>
    <t>Gex</t>
  </si>
  <si>
    <t>01071</t>
  </si>
  <si>
    <t>01401</t>
  </si>
  <si>
    <t>B</t>
  </si>
  <si>
    <t>FR01078</t>
  </si>
  <si>
    <t>Challex</t>
  </si>
  <si>
    <t>Thoiry</t>
  </si>
  <si>
    <t>01078</t>
  </si>
  <si>
    <t>FR01081</t>
  </si>
  <si>
    <t>Champfromier</t>
  </si>
  <si>
    <t>01081</t>
  </si>
  <si>
    <t>Commune française hors agglomération suisse</t>
  </si>
  <si>
    <t>FR01082</t>
  </si>
  <si>
    <t>Chanay</t>
  </si>
  <si>
    <t>01082</t>
  </si>
  <si>
    <t>FR01103</t>
  </si>
  <si>
    <t>Chevry</t>
  </si>
  <si>
    <t>01103</t>
  </si>
  <si>
    <t>01122</t>
  </si>
  <si>
    <t>Crozet</t>
  </si>
  <si>
    <t>FR01104</t>
  </si>
  <si>
    <t>Chézery-Forens</t>
  </si>
  <si>
    <t>01104</t>
  </si>
  <si>
    <t>FR01109</t>
  </si>
  <si>
    <t>Collonges</t>
  </si>
  <si>
    <t>01109</t>
  </si>
  <si>
    <t>FR01114</t>
  </si>
  <si>
    <t>Confort</t>
  </si>
  <si>
    <t>01114</t>
  </si>
  <si>
    <t>FR01135</t>
  </si>
  <si>
    <t>01135</t>
  </si>
  <si>
    <t>FR01143</t>
  </si>
  <si>
    <t>Divonne-les-Bains</t>
  </si>
  <si>
    <t>01143</t>
  </si>
  <si>
    <t>01205</t>
  </si>
  <si>
    <t>Divonne-les-Bains (partie française)</t>
  </si>
  <si>
    <t>I</t>
  </si>
  <si>
    <t>FR01153</t>
  </si>
  <si>
    <t>Échenevex</t>
  </si>
  <si>
    <t>01153</t>
  </si>
  <si>
    <t>01102</t>
  </si>
  <si>
    <t>FR01158</t>
  </si>
  <si>
    <t>Farges</t>
  </si>
  <si>
    <t>01158</t>
  </si>
  <si>
    <t>01118</t>
  </si>
  <si>
    <t>Péron</t>
  </si>
  <si>
    <t>FR01160</t>
  </si>
  <si>
    <t>Ferney-Voltaire</t>
  </si>
  <si>
    <t>Saint-Genis-Pouilly</t>
  </si>
  <si>
    <t>01160</t>
  </si>
  <si>
    <t>00653</t>
  </si>
  <si>
    <t>Genève (SUI)-Annemasse (partie française)</t>
  </si>
  <si>
    <t>FR01173</t>
  </si>
  <si>
    <t>01173</t>
  </si>
  <si>
    <t>FR01174</t>
  </si>
  <si>
    <t>Giron</t>
  </si>
  <si>
    <t>01174</t>
  </si>
  <si>
    <t>FR01180</t>
  </si>
  <si>
    <t>Grilly</t>
  </si>
  <si>
    <t>01180</t>
  </si>
  <si>
    <t>FR01189</t>
  </si>
  <si>
    <t>Injoux-Génissiat</t>
  </si>
  <si>
    <t>01189</t>
  </si>
  <si>
    <t>FR01209</t>
  </si>
  <si>
    <t>Léaz</t>
  </si>
  <si>
    <t>01209</t>
  </si>
  <si>
    <t>FR01210</t>
  </si>
  <si>
    <t>Lélex</t>
  </si>
  <si>
    <t>01210</t>
  </si>
  <si>
    <t>FR01215</t>
  </si>
  <si>
    <t>Surjoux-Lhopital</t>
  </si>
  <si>
    <t>01215</t>
  </si>
  <si>
    <t>FR01247</t>
  </si>
  <si>
    <t>Mijoux</t>
  </si>
  <si>
    <t>01247</t>
  </si>
  <si>
    <t>FR01257</t>
  </si>
  <si>
    <t>Montanges</t>
  </si>
  <si>
    <t>01257</t>
  </si>
  <si>
    <t>FR01281</t>
  </si>
  <si>
    <t>Ornex</t>
  </si>
  <si>
    <t>01281</t>
  </si>
  <si>
    <t>FR01288</t>
  </si>
  <si>
    <t>01288</t>
  </si>
  <si>
    <t>FR01298</t>
  </si>
  <si>
    <t>Plagne</t>
  </si>
  <si>
    <t>01298</t>
  </si>
  <si>
    <t>FR01308</t>
  </si>
  <si>
    <t>Pougny</t>
  </si>
  <si>
    <t>01308</t>
  </si>
  <si>
    <t>FR01313</t>
  </si>
  <si>
    <t>Prévessin-Moëns</t>
  </si>
  <si>
    <t>01313</t>
  </si>
  <si>
    <t>FR01354</t>
  </si>
  <si>
    <t>01354</t>
  </si>
  <si>
    <t>FR01357</t>
  </si>
  <si>
    <t>Saint-Germain-de-Joux</t>
  </si>
  <si>
    <t>01357</t>
  </si>
  <si>
    <t>FR01360</t>
  </si>
  <si>
    <t>Saint-Jean-de-Gonville</t>
  </si>
  <si>
    <t>01360</t>
  </si>
  <si>
    <t>FR01397</t>
  </si>
  <si>
    <t>Sauverny</t>
  </si>
  <si>
    <t>01397</t>
  </si>
  <si>
    <t>FR01399</t>
  </si>
  <si>
    <t>Ségny</t>
  </si>
  <si>
    <t>01399</t>
  </si>
  <si>
    <t>FR01401</t>
  </si>
  <si>
    <t>Sergy</t>
  </si>
  <si>
    <t>FR01419</t>
  </si>
  <si>
    <t>01419</t>
  </si>
  <si>
    <t>FR01435</t>
  </si>
  <si>
    <t>Versonnex</t>
  </si>
  <si>
    <t>01435</t>
  </si>
  <si>
    <t>FR01436</t>
  </si>
  <si>
    <t>Vesancy</t>
  </si>
  <si>
    <t>01436</t>
  </si>
  <si>
    <t>FR01448</t>
  </si>
  <si>
    <t>Villes</t>
  </si>
  <si>
    <t>01448</t>
  </si>
  <si>
    <t>FR74001</t>
  </si>
  <si>
    <t>Abondance</t>
  </si>
  <si>
    <t>Evian</t>
  </si>
  <si>
    <t>Haute-Savoie</t>
  </si>
  <si>
    <t>Évian-les-Bains</t>
  </si>
  <si>
    <t>FRK28</t>
  </si>
  <si>
    <t>74001</t>
  </si>
  <si>
    <t>74107</t>
  </si>
  <si>
    <t>FR74005</t>
  </si>
  <si>
    <t>Allinges</t>
  </si>
  <si>
    <t>Grand-Genève et Evian</t>
  </si>
  <si>
    <t>Thonon-les-Bains</t>
  </si>
  <si>
    <t>74005</t>
  </si>
  <si>
    <t>74501</t>
  </si>
  <si>
    <t>FR74007</t>
  </si>
  <si>
    <t>Amancy</t>
  </si>
  <si>
    <t>La Roche-sur-Foron</t>
  </si>
  <si>
    <t>74007</t>
  </si>
  <si>
    <t>74502</t>
  </si>
  <si>
    <t>Cluses</t>
  </si>
  <si>
    <t>FR74008</t>
  </si>
  <si>
    <t>Ambilly</t>
  </si>
  <si>
    <t>Annemasse</t>
  </si>
  <si>
    <t>74008</t>
  </si>
  <si>
    <t>FR74012</t>
  </si>
  <si>
    <t>74012</t>
  </si>
  <si>
    <t>FR74013</t>
  </si>
  <si>
    <t>Anthy-sur-Léman</t>
  </si>
  <si>
    <t>Sciez</t>
  </si>
  <si>
    <t>74013</t>
  </si>
  <si>
    <t>FR74015</t>
  </si>
  <si>
    <t>Arbusigny</t>
  </si>
  <si>
    <t>74015</t>
  </si>
  <si>
    <t>74000</t>
  </si>
  <si>
    <t>Communes hors unité urbaine du département 74</t>
  </si>
  <si>
    <t>FR74016</t>
  </si>
  <si>
    <t>Archamps</t>
  </si>
  <si>
    <t>Saint-Julien-en-Genevois</t>
  </si>
  <si>
    <t>74016</t>
  </si>
  <si>
    <t>FR74018</t>
  </si>
  <si>
    <t>Arenthon</t>
  </si>
  <si>
    <t>Bonneville</t>
  </si>
  <si>
    <t>74018</t>
  </si>
  <si>
    <t>FR74020</t>
  </si>
  <si>
    <t>Armoy</t>
  </si>
  <si>
    <t>74020</t>
  </si>
  <si>
    <t>FR74021</t>
  </si>
  <si>
    <t>Arthaz-Pont-Notre-Dame</t>
  </si>
  <si>
    <t>Gaillard</t>
  </si>
  <si>
    <t>74021</t>
  </si>
  <si>
    <t>FR74024</t>
  </si>
  <si>
    <t>Ayse</t>
  </si>
  <si>
    <t>74024</t>
  </si>
  <si>
    <t>FR74025</t>
  </si>
  <si>
    <t>Ballaison</t>
  </si>
  <si>
    <t>74025</t>
  </si>
  <si>
    <t>FR74030</t>
  </si>
  <si>
    <t>La Baume</t>
  </si>
  <si>
    <t>74030</t>
  </si>
  <si>
    <t>FR74031</t>
  </si>
  <si>
    <t>Beaumont</t>
  </si>
  <si>
    <t>74031</t>
  </si>
  <si>
    <t>74104</t>
  </si>
  <si>
    <t>FR74032</t>
  </si>
  <si>
    <t>Bellevaux</t>
  </si>
  <si>
    <t>74032</t>
  </si>
  <si>
    <t>FR74033</t>
  </si>
  <si>
    <t>74033</t>
  </si>
  <si>
    <t>74110</t>
  </si>
  <si>
    <t>Saint-Paul-en-Chablais</t>
  </si>
  <si>
    <t>FR74034</t>
  </si>
  <si>
    <t>Le Biot</t>
  </si>
  <si>
    <t>74034</t>
  </si>
  <si>
    <t>FR74040</t>
  </si>
  <si>
    <t>Bonne</t>
  </si>
  <si>
    <t>74040</t>
  </si>
  <si>
    <t>FR74041</t>
  </si>
  <si>
    <t>Bonnevaux</t>
  </si>
  <si>
    <t>74041</t>
  </si>
  <si>
    <t>FR74042</t>
  </si>
  <si>
    <t>74042</t>
  </si>
  <si>
    <t>FR74043</t>
  </si>
  <si>
    <t>Bons-en-Chablais</t>
  </si>
  <si>
    <t>74043</t>
  </si>
  <si>
    <t>74208</t>
  </si>
  <si>
    <t>FR74044</t>
  </si>
  <si>
    <t>Bossey</t>
  </si>
  <si>
    <t>74044</t>
  </si>
  <si>
    <t>FR74048</t>
  </si>
  <si>
    <t>Brenthonne</t>
  </si>
  <si>
    <t>74048</t>
  </si>
  <si>
    <t>FR74049</t>
  </si>
  <si>
    <t>Brizon</t>
  </si>
  <si>
    <t>74049</t>
  </si>
  <si>
    <t>FR74053</t>
  </si>
  <si>
    <t>Cervens</t>
  </si>
  <si>
    <t>74053</t>
  </si>
  <si>
    <t>74204</t>
  </si>
  <si>
    <t>Perrignier</t>
  </si>
  <si>
    <t>FR74057</t>
  </si>
  <si>
    <t>Champanges</t>
  </si>
  <si>
    <t>74057</t>
  </si>
  <si>
    <t>FR74058</t>
  </si>
  <si>
    <t>La Chapelle-d'Abondance</t>
  </si>
  <si>
    <t>74058</t>
  </si>
  <si>
    <t>FR74059</t>
  </si>
  <si>
    <t>La Chapelle-Rambaud</t>
  </si>
  <si>
    <t>74059</t>
  </si>
  <si>
    <t>FR74063</t>
  </si>
  <si>
    <t>Châtel</t>
  </si>
  <si>
    <t>74063</t>
  </si>
  <si>
    <t>FR74069</t>
  </si>
  <si>
    <t>Chênex</t>
  </si>
  <si>
    <t>74069</t>
  </si>
  <si>
    <t>FR74070</t>
  </si>
  <si>
    <t>Chens-sur-Léman</t>
  </si>
  <si>
    <t>74070</t>
  </si>
  <si>
    <t>74207</t>
  </si>
  <si>
    <t>Messery</t>
  </si>
  <si>
    <t>FR74073</t>
  </si>
  <si>
    <t>Chevenoz</t>
  </si>
  <si>
    <t>74073</t>
  </si>
  <si>
    <t>FR74074</t>
  </si>
  <si>
    <t>Chevrier</t>
  </si>
  <si>
    <t>74074</t>
  </si>
  <si>
    <t>74102</t>
  </si>
  <si>
    <t>Vulbens</t>
  </si>
  <si>
    <t>FR74082</t>
  </si>
  <si>
    <t>Collonges-sous-Salève</t>
  </si>
  <si>
    <t>74082</t>
  </si>
  <si>
    <t>FR74087</t>
  </si>
  <si>
    <t>Contamine-sur-Arve</t>
  </si>
  <si>
    <t>74087</t>
  </si>
  <si>
    <t>FR74090</t>
  </si>
  <si>
    <t>Cornier</t>
  </si>
  <si>
    <t>74090</t>
  </si>
  <si>
    <t>FR74091</t>
  </si>
  <si>
    <t>La Côte-d'Arbroz</t>
  </si>
  <si>
    <t>74091</t>
  </si>
  <si>
    <t>74113</t>
  </si>
  <si>
    <t>Morzine</t>
  </si>
  <si>
    <t>FR74094</t>
  </si>
  <si>
    <t>Cranves-Sales</t>
  </si>
  <si>
    <t>74094</t>
  </si>
  <si>
    <t>FR74101</t>
  </si>
  <si>
    <t>Dingy-en-Vuache</t>
  </si>
  <si>
    <t>74101</t>
  </si>
  <si>
    <t>FR74105</t>
  </si>
  <si>
    <t>Douvaine</t>
  </si>
  <si>
    <t>74105</t>
  </si>
  <si>
    <t>74205</t>
  </si>
  <si>
    <t>FR74106</t>
  </si>
  <si>
    <t>Draillant</t>
  </si>
  <si>
    <t>74106</t>
  </si>
  <si>
    <t>FR74114</t>
  </si>
  <si>
    <t>Essert-Romand</t>
  </si>
  <si>
    <t>74114</t>
  </si>
  <si>
    <t>FR74116</t>
  </si>
  <si>
    <t>Etaux</t>
  </si>
  <si>
    <t>74116</t>
  </si>
  <si>
    <t>FR74118</t>
  </si>
  <si>
    <t>Étrembières</t>
  </si>
  <si>
    <t>74118</t>
  </si>
  <si>
    <t>FR74119</t>
  </si>
  <si>
    <t>74119</t>
  </si>
  <si>
    <t>FR74121</t>
  </si>
  <si>
    <t>Excenevex</t>
  </si>
  <si>
    <t>74121</t>
  </si>
  <si>
    <t>FR74124</t>
  </si>
  <si>
    <t>Feigères</t>
  </si>
  <si>
    <t>74124</t>
  </si>
  <si>
    <t>FR74126</t>
  </si>
  <si>
    <t>Fessy</t>
  </si>
  <si>
    <t>74126</t>
  </si>
  <si>
    <t>FR74127</t>
  </si>
  <si>
    <t>Féternes</t>
  </si>
  <si>
    <t>74127</t>
  </si>
  <si>
    <t>FR74129</t>
  </si>
  <si>
    <t>La Forclaz</t>
  </si>
  <si>
    <t>74129</t>
  </si>
  <si>
    <t>FR74133</t>
  </si>
  <si>
    <t>74133</t>
  </si>
  <si>
    <t>FR74134</t>
  </si>
  <si>
    <t>Les Gets</t>
  </si>
  <si>
    <t>74134</t>
  </si>
  <si>
    <t>FR74144</t>
  </si>
  <si>
    <t>Jonzier-Épagny</t>
  </si>
  <si>
    <t>74144</t>
  </si>
  <si>
    <t>FR74145</t>
  </si>
  <si>
    <t>Juvigny</t>
  </si>
  <si>
    <t>74145</t>
  </si>
  <si>
    <t>74203</t>
  </si>
  <si>
    <t>Saint-Cergues</t>
  </si>
  <si>
    <t>FR74146</t>
  </si>
  <si>
    <t>Larringes</t>
  </si>
  <si>
    <t>74146</t>
  </si>
  <si>
    <t>FR74150</t>
  </si>
  <si>
    <t>Loisin</t>
  </si>
  <si>
    <t>74150</t>
  </si>
  <si>
    <t>FR74153</t>
  </si>
  <si>
    <t>Lucinges</t>
  </si>
  <si>
    <t>74153</t>
  </si>
  <si>
    <t>FR74154</t>
  </si>
  <si>
    <t>Lugrin</t>
  </si>
  <si>
    <t>74154</t>
  </si>
  <si>
    <t>FR74155</t>
  </si>
  <si>
    <t>Lullin</t>
  </si>
  <si>
    <t>74155</t>
  </si>
  <si>
    <t>FR74156</t>
  </si>
  <si>
    <t>Lully</t>
  </si>
  <si>
    <t>74156</t>
  </si>
  <si>
    <t>FR74157</t>
  </si>
  <si>
    <t>Lyaud</t>
  </si>
  <si>
    <t>74157</t>
  </si>
  <si>
    <t>FR74158</t>
  </si>
  <si>
    <t>Machilly</t>
  </si>
  <si>
    <t>74158</t>
  </si>
  <si>
    <t>FR74163</t>
  </si>
  <si>
    <t>Margencel</t>
  </si>
  <si>
    <t>74163</t>
  </si>
  <si>
    <t>FR74164</t>
  </si>
  <si>
    <t>Marignier</t>
  </si>
  <si>
    <t>74164</t>
  </si>
  <si>
    <t>FR74166</t>
  </si>
  <si>
    <t>Marin</t>
  </si>
  <si>
    <t>74166</t>
  </si>
  <si>
    <t>FR74171</t>
  </si>
  <si>
    <t>Massongy</t>
  </si>
  <si>
    <t>74171</t>
  </si>
  <si>
    <t>FR74172</t>
  </si>
  <si>
    <t>Maxilly-sur-Léman</t>
  </si>
  <si>
    <t>74172</t>
  </si>
  <si>
    <t>FR74175</t>
  </si>
  <si>
    <t>Meillerie</t>
  </si>
  <si>
    <t>74175</t>
  </si>
  <si>
    <t>FR74180</t>
  </si>
  <si>
    <t>74180</t>
  </si>
  <si>
    <t>FR74185</t>
  </si>
  <si>
    <t>Monnetier-Mornex</t>
  </si>
  <si>
    <t>74185</t>
  </si>
  <si>
    <t>FR74188</t>
  </si>
  <si>
    <t>Montriond</t>
  </si>
  <si>
    <t>74188</t>
  </si>
  <si>
    <t>FR74191</t>
  </si>
  <si>
    <t>74191</t>
  </si>
  <si>
    <t>FR74193</t>
  </si>
  <si>
    <t>La Muraz</t>
  </si>
  <si>
    <t>74193</t>
  </si>
  <si>
    <t>FR74197</t>
  </si>
  <si>
    <t>Nangy</t>
  </si>
  <si>
    <t>74197</t>
  </si>
  <si>
    <t>FR74199</t>
  </si>
  <si>
    <t>Nernier</t>
  </si>
  <si>
    <t>74199</t>
  </si>
  <si>
    <t>FR74200</t>
  </si>
  <si>
    <t>Neuvecelle</t>
  </si>
  <si>
    <t>74200</t>
  </si>
  <si>
    <t>FR74201</t>
  </si>
  <si>
    <t>Neydens</t>
  </si>
  <si>
    <t>74201</t>
  </si>
  <si>
    <t>FR74203</t>
  </si>
  <si>
    <t>Novel</t>
  </si>
  <si>
    <t>FR74206</t>
  </si>
  <si>
    <t>Orcier</t>
  </si>
  <si>
    <t>74206</t>
  </si>
  <si>
    <t>FR74210</t>
  </si>
  <si>
    <t>74210</t>
  </si>
  <si>
    <t>FR74211</t>
  </si>
  <si>
    <t>Pers-Jussy</t>
  </si>
  <si>
    <t>74211</t>
  </si>
  <si>
    <t>FR74212</t>
  </si>
  <si>
    <t>Glières-Val-de-Borne</t>
  </si>
  <si>
    <t>74212</t>
  </si>
  <si>
    <t>FR74216</t>
  </si>
  <si>
    <t>Présilly</t>
  </si>
  <si>
    <t>74216</t>
  </si>
  <si>
    <t>FR74218</t>
  </si>
  <si>
    <t>Publier</t>
  </si>
  <si>
    <t>74218</t>
  </si>
  <si>
    <t>FR74220</t>
  </si>
  <si>
    <t>Reignier-Ésery</t>
  </si>
  <si>
    <t>74220</t>
  </si>
  <si>
    <t>FR74222</t>
  </si>
  <si>
    <t>Reyvroz</t>
  </si>
  <si>
    <t>74222</t>
  </si>
  <si>
    <t>FR74224</t>
  </si>
  <si>
    <t>74224</t>
  </si>
  <si>
    <t>FR74229</t>
  </si>
  <si>
    <t>74229</t>
  </si>
  <si>
    <t>FR74237</t>
  </si>
  <si>
    <t>Saint-Gingolph</t>
  </si>
  <si>
    <t>74237</t>
  </si>
  <si>
    <t>FR74238</t>
  </si>
  <si>
    <t>Saint-Jean-d'Aulps</t>
  </si>
  <si>
    <t>74238</t>
  </si>
  <si>
    <t>FR74243</t>
  </si>
  <si>
    <t>74243</t>
  </si>
  <si>
    <t>FR74244</t>
  </si>
  <si>
    <t>Saint-Laurent</t>
  </si>
  <si>
    <t>74244</t>
  </si>
  <si>
    <t>FR74249</t>
  </si>
  <si>
    <t>74249</t>
  </si>
  <si>
    <t>FR74250</t>
  </si>
  <si>
    <t>Saint-Pierre-en-Faucigny</t>
  </si>
  <si>
    <t>74250</t>
  </si>
  <si>
    <t>FR74253</t>
  </si>
  <si>
    <t>Saint-Sixt</t>
  </si>
  <si>
    <t>74253</t>
  </si>
  <si>
    <t>FR74260</t>
  </si>
  <si>
    <t>Savigny</t>
  </si>
  <si>
    <t>74260</t>
  </si>
  <si>
    <t>FR74262</t>
  </si>
  <si>
    <t>Scientrier</t>
  </si>
  <si>
    <t>74262</t>
  </si>
  <si>
    <t>FR74263</t>
  </si>
  <si>
    <t>74263</t>
  </si>
  <si>
    <t>FR74271</t>
  </si>
  <si>
    <t>Seytroux</t>
  </si>
  <si>
    <t>74271</t>
  </si>
  <si>
    <t>FR74279</t>
  </si>
  <si>
    <t>Thollon-les-Mémises</t>
  </si>
  <si>
    <t>74279</t>
  </si>
  <si>
    <t>FR74281</t>
  </si>
  <si>
    <t>74281</t>
  </si>
  <si>
    <t>FR74286</t>
  </si>
  <si>
    <t>Vacheresse</t>
  </si>
  <si>
    <t>74286</t>
  </si>
  <si>
    <t>FR74287</t>
  </si>
  <si>
    <t>Vailly</t>
  </si>
  <si>
    <t>74287</t>
  </si>
  <si>
    <t>FR74288</t>
  </si>
  <si>
    <t>Valleiry</t>
  </si>
  <si>
    <t>74288</t>
  </si>
  <si>
    <t>74115</t>
  </si>
  <si>
    <t>FR74293</t>
  </si>
  <si>
    <t>Veigy-Foncenex</t>
  </si>
  <si>
    <t>74293</t>
  </si>
  <si>
    <t>74109</t>
  </si>
  <si>
    <t>FR74295</t>
  </si>
  <si>
    <t>La Vernaz</t>
  </si>
  <si>
    <t>74295</t>
  </si>
  <si>
    <t>FR74296</t>
  </si>
  <si>
    <t>Vers</t>
  </si>
  <si>
    <t>74296</t>
  </si>
  <si>
    <t>FR74298</t>
  </si>
  <si>
    <t>Vétraz-Monthoux</t>
  </si>
  <si>
    <t>74298</t>
  </si>
  <si>
    <t>FR74305</t>
  </si>
  <si>
    <t>Ville-la-Grand</t>
  </si>
  <si>
    <t>74305</t>
  </si>
  <si>
    <t>FR74308</t>
  </si>
  <si>
    <t>Vinzier</t>
  </si>
  <si>
    <t>74308</t>
  </si>
  <si>
    <t>FR74309</t>
  </si>
  <si>
    <t>Viry</t>
  </si>
  <si>
    <t>74309</t>
  </si>
  <si>
    <t>74202</t>
  </si>
  <si>
    <t>FR74312</t>
  </si>
  <si>
    <t>Vougy</t>
  </si>
  <si>
    <t>74312</t>
  </si>
  <si>
    <t>FR74314</t>
  </si>
  <si>
    <t>74314</t>
  </si>
  <si>
    <t>FR74315</t>
  </si>
  <si>
    <t>Yvoire</t>
  </si>
  <si>
    <t>74315</t>
  </si>
  <si>
    <t>Data for all 373 communes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</si>
</sst>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6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0" fontId="1" fillId="2" borderId="0" xfId="0" applyFont="1" applyFill="1"/>
    <xf numFmtId="0" fontId="0" fillId="2" borderId="0" xfId="0" applyFill="1"/>
    <xf numFmtId="3" fontId="0" fillId="2" borderId="0" xfId="0" applyNumberFormat="1" applyFill="1"/>
    <xf numFmtId="164" fontId="0" fillId="2" borderId="0" xfId="0" applyNumberFormat="1" applyFill="1"/>
    <xf numFmtId="4" fontId="0" fillId="2" borderId="0" xfId="0" applyNumberFormat="1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165" fontId="0" fillId="0" borderId="0" xfId="0" applyNumberFormat="1"/>
    <xf numFmtId="2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data!$CR$4</c:f>
              <c:strCache>
                <c:ptCount val="1"/>
                <c:pt idx="0">
                  <c:v>i82_2016pop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A2E9BBB-FA92-41AE-90D4-11E00B2D726D}" type="CELLRANGE">
                      <a:rPr lang="en-US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7D5-4832-9BD2-0C5D7D0B62B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B81A877-71B2-4641-B757-226026112194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7D5-4832-9BD2-0C5D7D0B62B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8D4C512-6B97-4677-89BB-2A468F06E38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7D5-4832-9BD2-0C5D7D0B62B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1D90B3E-2D2A-429B-8C81-18C3E66068D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7D5-4832-9BD2-0C5D7D0B62B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2278CB6-9076-42BD-A34A-3ACFF3D8694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7D5-4832-9BD2-0C5D7D0B62B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24DB461-56E8-45EB-B240-6D1D6AF5E1D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7D5-4832-9BD2-0C5D7D0B62B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6BAC661-DB7A-43B4-83AC-CCFBAFC1023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7D5-4832-9BD2-0C5D7D0B62B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F558A58-CE7E-4085-AEEB-36C2A37DA72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7D5-4832-9BD2-0C5D7D0B62B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2C02F6B-BFD5-49EA-A676-9A037489AABD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7D5-4832-9BD2-0C5D7D0B62B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B822503-61A0-4E47-86BC-FD833EFE38A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7D5-4832-9BD2-0C5D7D0B62B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FAA8284-CEBB-402E-803D-DA055C03524B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7D5-4832-9BD2-0C5D7D0B62B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FD1AE1F-FB08-4586-A395-AC85EAAA613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7D5-4832-9BD2-0C5D7D0B62B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4010302-7F04-445E-A8A1-BE3E0145D26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7D5-4832-9BD2-0C5D7D0B62B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87CE9EE-B939-47DF-BFD1-AABCCE1E5CC4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7D5-4832-9BD2-0C5D7D0B62B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B146A45-E426-4338-AB89-6AD12EB296F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7D5-4832-9BD2-0C5D7D0B62B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2A1518D-F08C-4D46-BCFA-968CEF62CC2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7D5-4832-9BD2-0C5D7D0B62B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CB7C5AC-EAD1-49B8-89D0-062D63F3F9E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7D5-4832-9BD2-0C5D7D0B62B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2CFBC90-62A5-4D82-8667-010D4191D25F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7D5-4832-9BD2-0C5D7D0B62B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F0EAAC5-9547-4230-98EB-0C8FA7B9767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7D5-4832-9BD2-0C5D7D0B62B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3FBEDB7-ABA4-4596-A7EE-3815F14E46E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7D5-4832-9BD2-0C5D7D0B62B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A8FCAF9-CA26-4780-A586-759283FBC3E9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7D5-4832-9BD2-0C5D7D0B62B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4902116-55E8-4228-81DC-A68FBDDDAE8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7D5-4832-9BD2-0C5D7D0B62B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941EA73-7FFE-4911-972D-CBFB73D2860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7D5-4832-9BD2-0C5D7D0B62B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E611A18-6008-44EA-9237-F9870067E6A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7D5-4832-9BD2-0C5D7D0B62B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AA2854A-D77F-4CC4-BA35-D37D01582CD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7D5-4832-9BD2-0C5D7D0B62B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A36A4C9-0DE8-4296-BD03-AC5E0DB5E59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7D5-4832-9BD2-0C5D7D0B62B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D1525A6-C59F-4EEE-B817-20369373210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7D5-4832-9BD2-0C5D7D0B62B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E1625ED-0D50-468B-BCA7-FBE5C4F3205D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7D5-4832-9BD2-0C5D7D0B62B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E7C8973-8621-4A84-880A-CEB4BF83CD1C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7D5-4832-9BD2-0C5D7D0B62B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A87D2FC-8B1D-4276-BD65-8300175306F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7D5-4832-9BD2-0C5D7D0B62B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A0ECD4B-CFFD-469D-9165-7DE418A6EB3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7D5-4832-9BD2-0C5D7D0B62B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F82A8B0-6B94-4F48-AB54-EA91ACC477C4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7D5-4832-9BD2-0C5D7D0B62B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9AE4FCC3-6830-46F6-81B8-C0DF8972496C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7D5-4832-9BD2-0C5D7D0B62B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D724B04A-E7EC-4C2A-B6DC-4CF770B3CBB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7D5-4832-9BD2-0C5D7D0B62B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C2F6075-A069-42D6-8166-6808BB2A565B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7D5-4832-9BD2-0C5D7D0B62B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741C63B7-07F3-439A-A4B8-C2E813D1D1F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7D5-4832-9BD2-0C5D7D0B62B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FD44CABF-5310-41B8-943E-75A31D970FA4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7D5-4832-9BD2-0C5D7D0B62B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5384D0CB-625E-46B8-B726-434C62AAFC2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7D5-4832-9BD2-0C5D7D0B62B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C6D2010B-D0E9-4778-8899-3ACF72B5424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7D5-4832-9BD2-0C5D7D0B62B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24D977E9-C52B-40CD-AC2F-7D6AE523D39C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7D5-4832-9BD2-0C5D7D0B62B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E230D623-0708-4718-B17A-9A99E87E997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7D5-4832-9BD2-0C5D7D0B62B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B4538342-B960-4C2D-A435-6259B6297F6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7D5-4832-9BD2-0C5D7D0B62B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77A077A7-FD26-4C5F-91AA-2B0FFE241E54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7D5-4832-9BD2-0C5D7D0B62B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AED5DCCA-898D-44C2-AA1C-08558E917A3F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7D5-4832-9BD2-0C5D7D0B62B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F90ED58D-15B4-4713-9F6D-7BFED5B4A80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7D5-4832-9BD2-0C5D7D0B62B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9A5C231-903E-4E61-A7A8-9D9EA32A007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7D5-4832-9BD2-0C5D7D0B62B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A940B2F4-CA47-4D45-B874-51B56D1173B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7D5-4832-9BD2-0C5D7D0B62B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BC7CA50D-07C3-43F3-AD8B-3E316ACACB0B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7D5-4832-9BD2-0C5D7D0B62B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C36B4F8C-EF36-47C0-9C7C-9B317EFE76D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7D5-4832-9BD2-0C5D7D0B62B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CA0651E3-9D69-49B1-BF76-8138BE73A68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7D5-4832-9BD2-0C5D7D0B62B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E31D9D4D-32FB-4CE3-A5B7-71B149A9AE04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7D5-4832-9BD2-0C5D7D0B62B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E068DF7-267D-4E94-B2D3-8EFEB86A8E7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7D5-4832-9BD2-0C5D7D0B62B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9178BF5D-DD50-4592-B7D4-25D9B0BE246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7D5-4832-9BD2-0C5D7D0B62B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99B7806B-C415-4E23-8302-367B3241AE6D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7D5-4832-9BD2-0C5D7D0B62B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921441F0-D65D-47BC-95D6-200287D0F44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7D5-4832-9BD2-0C5D7D0B62B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4FFC7FDC-D79E-4A82-A47C-8100A632607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7D5-4832-9BD2-0C5D7D0B62B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F63C3317-C44F-4AB6-98FE-1A5A1E96793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7D5-4832-9BD2-0C5D7D0B62B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CD2E9B21-0D82-4549-97FF-959E42609F19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C7D5-4832-9BD2-0C5D7D0B62B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BCEEB707-C9F6-4F63-8755-6E4414613DE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C7D5-4832-9BD2-0C5D7D0B62B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7FFB28AB-221E-4495-A70E-A6D73D2AD93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C7D5-4832-9BD2-0C5D7D0B62B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BCBF4F22-382C-46D7-B688-11F66BEE967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C7D5-4832-9BD2-0C5D7D0B62B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42963C8B-F09E-4403-B3FC-6FC6DFAD498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C7D5-4832-9BD2-0C5D7D0B62B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012FD492-44B2-4545-A5B5-73CB814C08A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C7D5-4832-9BD2-0C5D7D0B62B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05D6795B-5AAB-4917-8492-CC2E0369D5E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C7D5-4832-9BD2-0C5D7D0B62B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24C048F7-7800-4DF3-98ED-68BC3BD2AAE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C7D5-4832-9BD2-0C5D7D0B62B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629F20E9-275F-438D-B1D9-CD19F2CB36B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C7D5-4832-9BD2-0C5D7D0B62B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6BAEEF8A-9F3F-4386-A2F2-9E33824ACC0F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C7D5-4832-9BD2-0C5D7D0B62B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B6EC963D-78C9-45F0-BD93-0F8D43A6A43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C7D5-4832-9BD2-0C5D7D0B62B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AA9CCD3B-0D03-46D7-8E8A-F2FBBCC37039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C7D5-4832-9BD2-0C5D7D0B62B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1253D112-BCED-4982-AC75-BC899B22071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C7D5-4832-9BD2-0C5D7D0B62B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AF26E10E-8E0A-4EEF-AE68-976396A99FFD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7D5-4832-9BD2-0C5D7D0B62B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B8DACD7D-C5EB-401B-B2F3-D7EEE1C44F99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C7D5-4832-9BD2-0C5D7D0B62B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5BAE024D-F339-488F-AB33-771D843F349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C7D5-4832-9BD2-0C5D7D0B62B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70CB265C-4AA8-4E14-8998-A6A189D431F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C7D5-4832-9BD2-0C5D7D0B62B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E0204CD0-6E69-46A4-97EF-D6EE07989AA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C7D5-4832-9BD2-0C5D7D0B62B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95C0F8B5-64E8-4D84-A2D3-A2CD1E006F4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C7D5-4832-9BD2-0C5D7D0B62B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060F57AA-5693-4380-A50E-910DCD07DFC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C7D5-4832-9BD2-0C5D7D0B62B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4860A252-F11A-4468-AEC3-5C1FDA2BAE9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C7D5-4832-9BD2-0C5D7D0B62B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370113B9-4449-40F5-89AD-44350D822EE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C7D5-4832-9BD2-0C5D7D0B62B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55F9F89B-22D6-441C-831C-82CCA859EFD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C7D5-4832-9BD2-0C5D7D0B62B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8AE055EB-C4D7-4F82-A153-6188060B0BA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C7D5-4832-9BD2-0C5D7D0B62B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8184232A-DBC7-48D8-B7C9-86C34F39B0A4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C7D5-4832-9BD2-0C5D7D0B62B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A4D1B54A-D795-4F4F-B86B-60B144DDBE3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C7D5-4832-9BD2-0C5D7D0B62B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A41C95D0-2A9B-4D35-9EE8-4726B786419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C7D5-4832-9BD2-0C5D7D0B62B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61C8F35E-CF5D-4098-8BE3-FC71585A354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C7D5-4832-9BD2-0C5D7D0B62B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DBB888FA-AAC6-4451-BC78-6171000096C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C7D5-4832-9BD2-0C5D7D0B62B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EBBAA6B6-1135-4776-A5AA-F21AB328879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C7D5-4832-9BD2-0C5D7D0B62B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FDCE05DF-4232-4E0D-B4E4-753F47F4E66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C7D5-4832-9BD2-0C5D7D0B62B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CC7173A9-8817-4AC5-B42D-C4FBDA5664E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C7D5-4832-9BD2-0C5D7D0B62B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7011C8AB-C2F3-4254-B539-B4FDDFC0678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C7D5-4832-9BD2-0C5D7D0B62B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A7518D9D-3E62-43F4-B6C4-61BD554B339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C7D5-4832-9BD2-0C5D7D0B62B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93FE688C-8FC8-407B-9834-0FC48DEFB9B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C7D5-4832-9BD2-0C5D7D0B62B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50D40DA6-7A9F-4FF0-B3D6-DDBB0697184F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C7D5-4832-9BD2-0C5D7D0B62B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14F2C72F-FCAD-40F3-A420-D14489D2DC8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C7D5-4832-9BD2-0C5D7D0B62B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C637CD5B-FAD3-4827-931A-83AA0D8B745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C7D5-4832-9BD2-0C5D7D0B62B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2F21AA83-1B08-4EF5-B18C-AD5D839BC7B4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C7D5-4832-9BD2-0C5D7D0B62B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515F6936-6CBA-4389-A25C-BDB99510439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C7D5-4832-9BD2-0C5D7D0B62B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196F4A35-4EA4-4CFF-866F-D2D2C3ABE54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C7D5-4832-9BD2-0C5D7D0B62B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21033A86-11CE-474C-A0DE-24A48E76A04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C7D5-4832-9BD2-0C5D7D0B62B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B07AEE6C-045E-45F7-B20D-4C9643CD928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C7D5-4832-9BD2-0C5D7D0B62B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E7B4F8E7-58B3-46C3-A6FA-33243F5810F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C7D5-4832-9BD2-0C5D7D0B62B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0F049CD1-E9F3-4520-802A-2DCEC5A04F3F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C7D5-4832-9BD2-0C5D7D0B62B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45EC9C81-4BA0-4E58-ADD3-4CF3749B4B99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C7D5-4832-9BD2-0C5D7D0B62B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6A6FD4CF-761D-41B1-8617-945A7DC374B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C7D5-4832-9BD2-0C5D7D0B62B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C58568A4-FF1A-4E2A-8065-D0BFCCE51E7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C7D5-4832-9BD2-0C5D7D0B62B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245F86E4-1FDC-4F90-9E17-4C13C89EE56B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C7D5-4832-9BD2-0C5D7D0B62B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7DA61C33-F018-4CB8-96ED-67C165C4C95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C7D5-4832-9BD2-0C5D7D0B62B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27377403-3175-4C04-94AA-898837089AE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C7D5-4832-9BD2-0C5D7D0B62B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6ADDF1AC-1177-4EF8-A61D-9D459B4FB3D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C7D5-4832-9BD2-0C5D7D0B62B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EC8F6F24-FE4C-41E4-A435-9C9682154274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C7D5-4832-9BD2-0C5D7D0B62B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3F29DAF8-DBC5-4149-8A75-BD976C55F4D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C7D5-4832-9BD2-0C5D7D0B62B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59D30CBD-2388-449C-9E37-46746F64481C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C7D5-4832-9BD2-0C5D7D0B62B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124342BA-EB53-4F9F-922E-A2FFCA75EDBD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C7D5-4832-9BD2-0C5D7D0B62B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3F68733C-89DA-48D4-A337-32F32627163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C7D5-4832-9BD2-0C5D7D0B62B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0080E0B1-2A42-4C4B-9A55-8D47C1DF4D1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C7D5-4832-9BD2-0C5D7D0B62B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22E99BF4-AE83-43B3-91A4-318C68D670DB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C7D5-4832-9BD2-0C5D7D0B62B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A7687DC7-1E88-49D8-8D7D-65C91A60964B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C7D5-4832-9BD2-0C5D7D0B62B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041675A8-A867-43C7-9773-072C868F9B7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C7D5-4832-9BD2-0C5D7D0B62B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10F8FAEE-D502-4D99-AA73-A13CD5E9995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C7D5-4832-9BD2-0C5D7D0B62B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D44B1BD8-DDBB-46E3-B2E9-86C9849B637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C7D5-4832-9BD2-0C5D7D0B62B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CA827341-077C-4F03-BC60-F33D1857342D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C7D5-4832-9BD2-0C5D7D0B62B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C28C7BEF-3ADA-44F2-A4C7-5917CDD514A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C7D5-4832-9BD2-0C5D7D0B62B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DABD8B4D-6079-4C5A-B64D-980388B426ED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C7D5-4832-9BD2-0C5D7D0B62B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60A46F1C-AFC5-4AA0-AAE0-38EF757D139C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C7D5-4832-9BD2-0C5D7D0B62B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71945E50-35D5-4DF1-864B-30D849C3E27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C7D5-4832-9BD2-0C5D7D0B62B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1BE2702B-E8B6-4031-B645-2448C836200D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C7D5-4832-9BD2-0C5D7D0B62B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B416CC24-662D-492B-AF9C-C2A908C1143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C7D5-4832-9BD2-0C5D7D0B62B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B01CAF18-3065-47B6-85FD-A7A72ABDA1D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C7D5-4832-9BD2-0C5D7D0B62B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387C782E-8C63-4A72-A384-743EF960BD4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C7D5-4832-9BD2-0C5D7D0B62B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BD9A0FCD-124F-465B-BE16-5B53B45B82F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C7D5-4832-9BD2-0C5D7D0B62B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E1CC4364-2E53-47E2-A8D1-3104E4E8B38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C7D5-4832-9BD2-0C5D7D0B62B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F7D37AA1-F12F-43E4-A56E-99ADEACB470B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C7D5-4832-9BD2-0C5D7D0B62B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5CFB0B12-A8C6-4F3E-877B-74B7BA9415B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C7D5-4832-9BD2-0C5D7D0B62B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E2B8E406-9C85-4E20-9D40-1A385250FCF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C7D5-4832-9BD2-0C5D7D0B62B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0D975DD4-13BB-43EF-80E8-668070A0EFD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C7D5-4832-9BD2-0C5D7D0B62B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08C77732-78A5-418A-AAA8-35E53D30E3AC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C7D5-4832-9BD2-0C5D7D0B62B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DDE4AEE7-7AE7-459F-B84B-A9F22583371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C7D5-4832-9BD2-0C5D7D0B62B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F68493BA-8200-4524-8A39-9FC28553789F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C7D5-4832-9BD2-0C5D7D0B62B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88F49D98-3047-4B29-A8F2-71F8C066C00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C7D5-4832-9BD2-0C5D7D0B62B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E223C321-63F7-4D4E-B130-1A915ADB89C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C7D5-4832-9BD2-0C5D7D0B62B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2473EE2F-CA83-413C-88E1-4409B72521F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C7D5-4832-9BD2-0C5D7D0B62B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C37063DA-54BF-4C14-97B1-358809872FE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C7D5-4832-9BD2-0C5D7D0B62B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7D03AE69-9CF0-4CDC-A6AE-604E228732E9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C7D5-4832-9BD2-0C5D7D0B62B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F800BE91-E204-41C0-9264-FD2D254B926B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C7D5-4832-9BD2-0C5D7D0B62B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91458252-1A07-442B-9D11-E062046E3CF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C7D5-4832-9BD2-0C5D7D0B62B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A95AAD56-0A55-428A-A303-282FCD67233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C7D5-4832-9BD2-0C5D7D0B62B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38F50ACB-216F-460C-ACB3-127432CBA1B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C7D5-4832-9BD2-0C5D7D0B62B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F58E34FC-4CDA-4F63-8A08-948B52EA75D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C7D5-4832-9BD2-0C5D7D0B62B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7389A3C4-B098-447F-A77F-E4B006C2DE8D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C7D5-4832-9BD2-0C5D7D0B62B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0EC3BAC4-0B22-49D2-90D3-041CF6015019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C7D5-4832-9BD2-0C5D7D0B62B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E40FCF9B-32D5-42D5-87ED-5BA209DDF70F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C7D5-4832-9BD2-0C5D7D0B62B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D7928750-BF19-4ED8-871D-AC167E5F2CA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C7D5-4832-9BD2-0C5D7D0B62B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7B3907A4-FC32-41DA-AE58-BBF250FB4A1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C7D5-4832-9BD2-0C5D7D0B62B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59B699A8-13E6-40EF-93D3-59ED014F7449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C7D5-4832-9BD2-0C5D7D0B62B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F771D4C9-BF49-4F3C-AA1A-2CA760C9716F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C7D5-4832-9BD2-0C5D7D0B62B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F2B62C7E-FC50-476F-A898-75EB0ECF0A9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C7D5-4832-9BD2-0C5D7D0B62B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4DE69C69-C670-43C9-8A55-F7511E31523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C7D5-4832-9BD2-0C5D7D0B62B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5280B3FC-955F-49B2-8608-A8C4D7615DC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C7D5-4832-9BD2-0C5D7D0B62B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748F03D2-B2BB-4123-A6E4-500026701EB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C7D5-4832-9BD2-0C5D7D0B62B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95AC4CE4-57D9-48BD-94B0-4B6C6810477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C7D5-4832-9BD2-0C5D7D0B62B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1F5A144A-D1CE-4387-940A-B47380C035D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C7D5-4832-9BD2-0C5D7D0B62B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3855D7CA-802A-4E0D-A178-3AF421A864C4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C7D5-4832-9BD2-0C5D7D0B62B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3448AFDC-DA2B-4F11-878A-812C2D95C87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C7D5-4832-9BD2-0C5D7D0B62B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D4BC318A-958A-4222-9723-02E200F3744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C7D5-4832-9BD2-0C5D7D0B62B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3A25532E-4D9A-46ED-BE85-8612A82D15D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C7D5-4832-9BD2-0C5D7D0B62B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88A6685E-09AB-4CB3-B5A9-5A632AD44619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C7D5-4832-9BD2-0C5D7D0B62B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3FA36766-19B2-4DCC-A43F-2966DA6B054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C7D5-4832-9BD2-0C5D7D0B62B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D55E3F04-983E-4DE1-9D68-C399DF98E4D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C7D5-4832-9BD2-0C5D7D0B62B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2A9192FB-D360-4C3F-BBF0-182C3DECF6D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C7D5-4832-9BD2-0C5D7D0B62B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29573073-2AC3-44BA-8A8C-E781221BE0ED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C7D5-4832-9BD2-0C5D7D0B62B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790AD7C2-4EBE-4C51-800A-9CDD4ADC477B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C7D5-4832-9BD2-0C5D7D0B62B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28D649AB-D0F6-41DD-AF6D-2F3261D085C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C7D5-4832-9BD2-0C5D7D0B62B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775A64BB-B4AB-467D-81FF-0ECC733AB88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C7D5-4832-9BD2-0C5D7D0B62B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A3B5FD28-1C98-49AF-A33A-BCCE7AFD0B7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C7D5-4832-9BD2-0C5D7D0B62B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41041DA0-E659-4A64-955F-C73C40280A8C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C7D5-4832-9BD2-0C5D7D0B62B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44913C98-ED08-4119-9A8D-A909C9924F4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C7D5-4832-9BD2-0C5D7D0B62B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6CD15EF6-8E90-462A-96BB-8B156CEE96C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C7D5-4832-9BD2-0C5D7D0B62B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9AE7B88A-33E4-4BAB-B244-562C00C198A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C7D5-4832-9BD2-0C5D7D0B62B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19F9617B-DE3F-4BD4-81EA-6301B49BF47F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C7D5-4832-9BD2-0C5D7D0B62B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5CD922A3-5DF9-4EEA-9E4E-69973D224D1B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C7D5-4832-9BD2-0C5D7D0B62B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BC262F9D-4364-47B2-9724-F15E9C9E090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C7D5-4832-9BD2-0C5D7D0B62B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A6556F6F-B43C-41B9-AAE6-1476543E9D3B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C7D5-4832-9BD2-0C5D7D0B62B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A4E89C5E-94CA-4E58-A7A5-D6C5118E46A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C7D5-4832-9BD2-0C5D7D0B62B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7E0305F9-FA09-4026-88CD-C601E42D827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C7D5-4832-9BD2-0C5D7D0B62B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7A567775-A874-4FEB-AC90-399D584BC8E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C7D5-4832-9BD2-0C5D7D0B62B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53BEFE3A-AE55-4B40-AE56-ADB7DF2FA6E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C7D5-4832-9BD2-0C5D7D0B62B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3C86CF8F-E78F-4D16-885B-A8DDA981BCAF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C7D5-4832-9BD2-0C5D7D0B62B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9050D5F6-DB04-4CC2-9213-95113EE8F96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C7D5-4832-9BD2-0C5D7D0B62B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8B301B21-347A-4B2C-81E0-DA03FE55934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C7D5-4832-9BD2-0C5D7D0B62B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70239FB2-4458-4C0C-B1DE-1B7C28BCA5F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C7D5-4832-9BD2-0C5D7D0B62B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2C493A8B-00EF-4967-9D24-E66449FAE28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C7D5-4832-9BD2-0C5D7D0B62B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EE7C0C0F-8AE0-4AFA-AB13-A58C37E591B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C7D5-4832-9BD2-0C5D7D0B62B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60886AB1-E028-431D-9459-47BF5CD243C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C7D5-4832-9BD2-0C5D7D0B62B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387D88AD-960D-490C-B2E3-618E54A300D6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C7D5-4832-9BD2-0C5D7D0B62B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CF8FBDFC-FD84-4FB6-B83B-5CC7D9C1429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C7D5-4832-9BD2-0C5D7D0B62B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5FF26F09-1307-46D1-AC21-D78F7D9C27E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C7D5-4832-9BD2-0C5D7D0B62B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3B8C833E-5125-4211-B7F5-176589F9456F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C7D5-4832-9BD2-0C5D7D0B62B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5C91C2B4-921D-4717-B834-539A3182D51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C7D5-4832-9BD2-0C5D7D0B62B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EF80111B-A7B2-45A9-8C5C-849C3907C76C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C7D5-4832-9BD2-0C5D7D0B62B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4E4135DE-C3BE-4496-B224-8D0EB5D5EEE7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C7D5-4832-9BD2-0C5D7D0B62B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07B16435-1AE1-44F6-98E2-4D0A088F54A9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C7D5-4832-9BD2-0C5D7D0B62B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B0876543-D353-42B7-94F5-B7A59AF5AE0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C7D5-4832-9BD2-0C5D7D0B62B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15020501-8906-4215-8D36-98F47D37F96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C7D5-4832-9BD2-0C5D7D0B62B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E5E16A6C-27A3-4F13-8EDF-6C3697EFBDCE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C7D5-4832-9BD2-0C5D7D0B62B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3CF1201E-8E2A-45A7-B688-D2F68899728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C7D5-4832-9BD2-0C5D7D0B62B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FBE109B1-A528-4404-ADCF-73BB4886C55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C7D5-4832-9BD2-0C5D7D0B62B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8DEB1586-2F0C-4E11-8A2A-4DAAD4A06FAD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C7D5-4832-9BD2-0C5D7D0B62B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AF419772-66BC-441A-AE75-A43A5862F02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C7D5-4832-9BD2-0C5D7D0B62B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F1746EC1-A5FB-4AAD-8D4E-F3A09ACCD791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C7D5-4832-9BD2-0C5D7D0B62B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08735CCE-AAA9-4E9C-A6F2-0E087A1CD7B5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C7D5-4832-9BD2-0C5D7D0B62B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AA22C761-4D00-4AB0-86B9-6433D115A12D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C7D5-4832-9BD2-0C5D7D0B62B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939B8D2E-D349-4D48-8D82-FA845E875263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C7D5-4832-9BD2-0C5D7D0B62B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D87D4CE7-CB9C-4D20-9D90-B138BF79F904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C7D5-4832-9BD2-0C5D7D0B62B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5340BF42-B9D1-4316-BD70-73CD3DEB54A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C7D5-4832-9BD2-0C5D7D0B62B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17ACD362-00B9-4665-9B5B-64BE4DD247FA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C7D5-4832-9BD2-0C5D7D0B62B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27D3727B-715D-40BD-AC9A-B72D9F0DB938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C7D5-4832-9BD2-0C5D7D0B62B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A14F964D-4544-49E0-BFDE-58CF39F5CB02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C7D5-4832-9BD2-0C5D7D0B62B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9C212E32-413F-4720-BFB6-DBB265ED0830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C7D5-4832-9BD2-0C5D7D0B62B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B3A0E66D-715D-4D4E-80D3-DB49036ECF0B}" type="CELLRANGE">
                      <a:rPr lang="fr-CH"/>
                      <a:pPr/>
                      <a:t>[PLAGECELL]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C7D5-4832-9BD2-0C5D7D0B62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data!$CM$5:$CM$223</c:f>
              <c:numCache>
                <c:formatCode>0.00</c:formatCode>
                <c:ptCount val="219"/>
                <c:pt idx="0">
                  <c:v>1.8666666666666667</c:v>
                </c:pt>
                <c:pt idx="1">
                  <c:v>1.5833333333333333</c:v>
                </c:pt>
                <c:pt idx="2">
                  <c:v>1.425</c:v>
                </c:pt>
                <c:pt idx="3">
                  <c:v>1.5813953488372092</c:v>
                </c:pt>
                <c:pt idx="4">
                  <c:v>2.1764705882352939</c:v>
                </c:pt>
                <c:pt idx="5">
                  <c:v>1.8148148148148149</c:v>
                </c:pt>
                <c:pt idx="6">
                  <c:v>1.5185185185185186</c:v>
                </c:pt>
                <c:pt idx="7">
                  <c:v>2.2307692307692308</c:v>
                </c:pt>
                <c:pt idx="8">
                  <c:v>2.75</c:v>
                </c:pt>
                <c:pt idx="9">
                  <c:v>1.4375</c:v>
                </c:pt>
                <c:pt idx="10">
                  <c:v>2.2999999999999998</c:v>
                </c:pt>
                <c:pt idx="11">
                  <c:v>1.4166666666666667</c:v>
                </c:pt>
                <c:pt idx="12">
                  <c:v>1.4166666666666667</c:v>
                </c:pt>
                <c:pt idx="13">
                  <c:v>1.6533333333333333</c:v>
                </c:pt>
                <c:pt idx="14">
                  <c:v>1.4461538461538461</c:v>
                </c:pt>
                <c:pt idx="15">
                  <c:v>1.7377049180327868</c:v>
                </c:pt>
                <c:pt idx="16">
                  <c:v>1.5798969072164948</c:v>
                </c:pt>
                <c:pt idx="17">
                  <c:v>1.5</c:v>
                </c:pt>
                <c:pt idx="18">
                  <c:v>1.5</c:v>
                </c:pt>
                <c:pt idx="19">
                  <c:v>1.8947368421052631</c:v>
                </c:pt>
                <c:pt idx="20">
                  <c:v>1.4285714285714286</c:v>
                </c:pt>
                <c:pt idx="21">
                  <c:v>1.6875</c:v>
                </c:pt>
                <c:pt idx="22">
                  <c:v>1.8</c:v>
                </c:pt>
                <c:pt idx="23">
                  <c:v>1.3793103448275863</c:v>
                </c:pt>
                <c:pt idx="24">
                  <c:v>1.3846153846153846</c:v>
                </c:pt>
                <c:pt idx="25">
                  <c:v>1.8125</c:v>
                </c:pt>
                <c:pt idx="26">
                  <c:v>1.5116279069767442</c:v>
                </c:pt>
                <c:pt idx="27">
                  <c:v>2.7777777777777777</c:v>
                </c:pt>
                <c:pt idx="28">
                  <c:v>1.5354838709677419</c:v>
                </c:pt>
                <c:pt idx="29">
                  <c:v>1.518987341772152</c:v>
                </c:pt>
                <c:pt idx="30">
                  <c:v>1.4135338345864661</c:v>
                </c:pt>
                <c:pt idx="31">
                  <c:v>1.8625</c:v>
                </c:pt>
                <c:pt idx="32">
                  <c:v>1.5514018691588785</c:v>
                </c:pt>
                <c:pt idx="33">
                  <c:v>1.4202898550724639</c:v>
                </c:pt>
                <c:pt idx="34">
                  <c:v>1.5</c:v>
                </c:pt>
                <c:pt idx="35">
                  <c:v>1.4423076923076923</c:v>
                </c:pt>
                <c:pt idx="36">
                  <c:v>1.5686274509803921</c:v>
                </c:pt>
                <c:pt idx="37">
                  <c:v>1.139344262295082</c:v>
                </c:pt>
                <c:pt idx="38">
                  <c:v>1.1764705882352942</c:v>
                </c:pt>
                <c:pt idx="39">
                  <c:v>1.2911392405063291</c:v>
                </c:pt>
                <c:pt idx="40">
                  <c:v>1.8138138138138138</c:v>
                </c:pt>
                <c:pt idx="41">
                  <c:v>1.5454545454545454</c:v>
                </c:pt>
                <c:pt idx="42">
                  <c:v>1.8787878787878789</c:v>
                </c:pt>
                <c:pt idx="43">
                  <c:v>1.1891891891891893</c:v>
                </c:pt>
                <c:pt idx="44">
                  <c:v>1.3611111111111112</c:v>
                </c:pt>
                <c:pt idx="45">
                  <c:v>1.125</c:v>
                </c:pt>
                <c:pt idx="46">
                  <c:v>1.4754098360655739</c:v>
                </c:pt>
                <c:pt idx="47">
                  <c:v>1.9259259259259258</c:v>
                </c:pt>
                <c:pt idx="48">
                  <c:v>1.3947368421052631</c:v>
                </c:pt>
                <c:pt idx="49">
                  <c:v>1.603448275862069</c:v>
                </c:pt>
                <c:pt idx="50">
                  <c:v>1.4444444444444444</c:v>
                </c:pt>
                <c:pt idx="51">
                  <c:v>1.7714285714285714</c:v>
                </c:pt>
                <c:pt idx="52">
                  <c:v>2</c:v>
                </c:pt>
                <c:pt idx="53">
                  <c:v>1.536231884057971</c:v>
                </c:pt>
                <c:pt idx="54">
                  <c:v>1.5890410958904109</c:v>
                </c:pt>
                <c:pt idx="55">
                  <c:v>1.4382022471910112</c:v>
                </c:pt>
                <c:pt idx="56">
                  <c:v>1.5</c:v>
                </c:pt>
                <c:pt idx="57">
                  <c:v>1.32</c:v>
                </c:pt>
                <c:pt idx="58">
                  <c:v>1.7236842105263157</c:v>
                </c:pt>
                <c:pt idx="59">
                  <c:v>1.2933333333333332</c:v>
                </c:pt>
                <c:pt idx="60">
                  <c:v>1.5057471264367817</c:v>
                </c:pt>
                <c:pt idx="61">
                  <c:v>1.6176470588235294</c:v>
                </c:pt>
                <c:pt idx="62">
                  <c:v>1.546875</c:v>
                </c:pt>
                <c:pt idx="63">
                  <c:v>1.3580246913580247</c:v>
                </c:pt>
                <c:pt idx="64">
                  <c:v>1.9166666666666667</c:v>
                </c:pt>
                <c:pt idx="65">
                  <c:v>1.7301587301587302</c:v>
                </c:pt>
                <c:pt idx="66">
                  <c:v>1.5813953488372092</c:v>
                </c:pt>
                <c:pt idx="67">
                  <c:v>1.1333333333333333</c:v>
                </c:pt>
                <c:pt idx="68">
                  <c:v>1.0869565217391304</c:v>
                </c:pt>
                <c:pt idx="69">
                  <c:v>1.9090909090909092</c:v>
                </c:pt>
                <c:pt idx="70">
                  <c:v>1.9078947368421053</c:v>
                </c:pt>
                <c:pt idx="71">
                  <c:v>1.5238095238095237</c:v>
                </c:pt>
                <c:pt idx="72">
                  <c:v>1.4651162790697674</c:v>
                </c:pt>
                <c:pt idx="73">
                  <c:v>1.4</c:v>
                </c:pt>
                <c:pt idx="74">
                  <c:v>1.6551724137931034</c:v>
                </c:pt>
                <c:pt idx="75">
                  <c:v>1.2068965517241379</c:v>
                </c:pt>
                <c:pt idx="76">
                  <c:v>1.6206896551724137</c:v>
                </c:pt>
                <c:pt idx="77">
                  <c:v>1.5963302752293578</c:v>
                </c:pt>
                <c:pt idx="78">
                  <c:v>1.8372093023255813</c:v>
                </c:pt>
                <c:pt idx="79">
                  <c:v>1.5153061224489797</c:v>
                </c:pt>
                <c:pt idx="80">
                  <c:v>1.75</c:v>
                </c:pt>
                <c:pt idx="81">
                  <c:v>1.4852941176470589</c:v>
                </c:pt>
                <c:pt idx="82">
                  <c:v>2.0217391304347827</c:v>
                </c:pt>
                <c:pt idx="83">
                  <c:v>1.6052631578947369</c:v>
                </c:pt>
                <c:pt idx="84">
                  <c:v>1.5544554455445545</c:v>
                </c:pt>
                <c:pt idx="85">
                  <c:v>1.641025641025641</c:v>
                </c:pt>
                <c:pt idx="86">
                  <c:v>1.2315789473684211</c:v>
                </c:pt>
                <c:pt idx="87">
                  <c:v>1.903225806451613</c:v>
                </c:pt>
                <c:pt idx="88">
                  <c:v>1.8650306748466257</c:v>
                </c:pt>
                <c:pt idx="89">
                  <c:v>1.65625</c:v>
                </c:pt>
                <c:pt idx="90">
                  <c:v>1.4</c:v>
                </c:pt>
                <c:pt idx="91">
                  <c:v>1.7</c:v>
                </c:pt>
                <c:pt idx="92">
                  <c:v>1.8141592920353982</c:v>
                </c:pt>
                <c:pt idx="93">
                  <c:v>1.3959731543624161</c:v>
                </c:pt>
                <c:pt idx="94">
                  <c:v>1</c:v>
                </c:pt>
                <c:pt idx="95">
                  <c:v>1.1481481481481481</c:v>
                </c:pt>
                <c:pt idx="96">
                  <c:v>1.564516129032258</c:v>
                </c:pt>
                <c:pt idx="97">
                  <c:v>1.3548387096774193</c:v>
                </c:pt>
                <c:pt idx="98">
                  <c:v>1.6050420168067228</c:v>
                </c:pt>
                <c:pt idx="99">
                  <c:v>1.4931506849315068</c:v>
                </c:pt>
                <c:pt idx="100">
                  <c:v>1.25</c:v>
                </c:pt>
                <c:pt idx="101">
                  <c:v>1.5232558139534884</c:v>
                </c:pt>
                <c:pt idx="102">
                  <c:v>1.3809523809523809</c:v>
                </c:pt>
                <c:pt idx="103">
                  <c:v>1.2598187311178248</c:v>
                </c:pt>
                <c:pt idx="104">
                  <c:v>1.368421052631579</c:v>
                </c:pt>
                <c:pt idx="105">
                  <c:v>1.5257731958762886</c:v>
                </c:pt>
                <c:pt idx="106">
                  <c:v>1.48</c:v>
                </c:pt>
                <c:pt idx="107">
                  <c:v>1.5357142857142858</c:v>
                </c:pt>
                <c:pt idx="108">
                  <c:v>1.3</c:v>
                </c:pt>
                <c:pt idx="109">
                  <c:v>1.5384615384615385</c:v>
                </c:pt>
                <c:pt idx="110">
                  <c:v>1.3953488372093024</c:v>
                </c:pt>
                <c:pt idx="111">
                  <c:v>1.1938775510204083</c:v>
                </c:pt>
                <c:pt idx="112">
                  <c:v>1.3868613138686132</c:v>
                </c:pt>
                <c:pt idx="113">
                  <c:v>1.4432234432234432</c:v>
                </c:pt>
                <c:pt idx="114">
                  <c:v>1.3555555555555556</c:v>
                </c:pt>
                <c:pt idx="115">
                  <c:v>1.3125</c:v>
                </c:pt>
                <c:pt idx="116">
                  <c:v>1.2347417840375587</c:v>
                </c:pt>
                <c:pt idx="117">
                  <c:v>1.8875</c:v>
                </c:pt>
                <c:pt idx="118">
                  <c:v>2.2068965517241379</c:v>
                </c:pt>
                <c:pt idx="119">
                  <c:v>1.3591549295774648</c:v>
                </c:pt>
                <c:pt idx="120">
                  <c:v>1.5405405405405406</c:v>
                </c:pt>
                <c:pt idx="121">
                  <c:v>1.5172413793103448</c:v>
                </c:pt>
                <c:pt idx="122">
                  <c:v>1.4523809523809523</c:v>
                </c:pt>
                <c:pt idx="123">
                  <c:v>1.3333333333333333</c:v>
                </c:pt>
                <c:pt idx="124">
                  <c:v>1.7179487179487178</c:v>
                </c:pt>
                <c:pt idx="125">
                  <c:v>1.2749999999999999</c:v>
                </c:pt>
                <c:pt idx="126">
                  <c:v>0</c:v>
                </c:pt>
                <c:pt idx="127">
                  <c:v>1.24</c:v>
                </c:pt>
                <c:pt idx="128">
                  <c:v>1.5416666666666667</c:v>
                </c:pt>
                <c:pt idx="129">
                  <c:v>1.4905660377358489</c:v>
                </c:pt>
                <c:pt idx="130">
                  <c:v>1.6666666666666667</c:v>
                </c:pt>
                <c:pt idx="131">
                  <c:v>1.3565891472868217</c:v>
                </c:pt>
                <c:pt idx="132">
                  <c:v>1.5714285714285714</c:v>
                </c:pt>
                <c:pt idx="133">
                  <c:v>1.2456140350877194</c:v>
                </c:pt>
                <c:pt idx="134">
                  <c:v>1.4166666666666667</c:v>
                </c:pt>
                <c:pt idx="135">
                  <c:v>1.5714285714285714</c:v>
                </c:pt>
                <c:pt idx="136">
                  <c:v>1.5652173913043479</c:v>
                </c:pt>
                <c:pt idx="137">
                  <c:v>1.5263157894736843</c:v>
                </c:pt>
                <c:pt idx="138">
                  <c:v>2.5925925925925926</c:v>
                </c:pt>
                <c:pt idx="139">
                  <c:v>1.1388888888888888</c:v>
                </c:pt>
                <c:pt idx="140">
                  <c:v>1.4105263157894736</c:v>
                </c:pt>
                <c:pt idx="141">
                  <c:v>1.5</c:v>
                </c:pt>
                <c:pt idx="142">
                  <c:v>1.4065934065934067</c:v>
                </c:pt>
                <c:pt idx="143">
                  <c:v>1.3125</c:v>
                </c:pt>
                <c:pt idx="144">
                  <c:v>1.2407407407407407</c:v>
                </c:pt>
                <c:pt idx="145">
                  <c:v>1.3095238095238095</c:v>
                </c:pt>
                <c:pt idx="146">
                  <c:v>1.4297520661157024</c:v>
                </c:pt>
                <c:pt idx="147">
                  <c:v>1.5</c:v>
                </c:pt>
                <c:pt idx="148">
                  <c:v>1.393939393939394</c:v>
                </c:pt>
                <c:pt idx="149">
                  <c:v>1.2765957446808511</c:v>
                </c:pt>
                <c:pt idx="150">
                  <c:v>1.7696078431372548</c:v>
                </c:pt>
                <c:pt idx="151">
                  <c:v>1.7692307692307692</c:v>
                </c:pt>
                <c:pt idx="152">
                  <c:v>1.4712643678160919</c:v>
                </c:pt>
                <c:pt idx="153">
                  <c:v>1.2491803278688525</c:v>
                </c:pt>
                <c:pt idx="154">
                  <c:v>1.3888888888888888</c:v>
                </c:pt>
                <c:pt idx="155">
                  <c:v>1.5116279069767442</c:v>
                </c:pt>
                <c:pt idx="156">
                  <c:v>1.3771929824561404</c:v>
                </c:pt>
                <c:pt idx="157">
                  <c:v>1.25</c:v>
                </c:pt>
                <c:pt idx="158">
                  <c:v>1.5306122448979591</c:v>
                </c:pt>
                <c:pt idx="159">
                  <c:v>1.2898550724637681</c:v>
                </c:pt>
                <c:pt idx="160">
                  <c:v>1.3877551020408163</c:v>
                </c:pt>
                <c:pt idx="161">
                  <c:v>1.5333333333333334</c:v>
                </c:pt>
                <c:pt idx="162">
                  <c:v>1.8</c:v>
                </c:pt>
                <c:pt idx="163">
                  <c:v>1.3142857142857143</c:v>
                </c:pt>
                <c:pt idx="164">
                  <c:v>1.3846153846153846</c:v>
                </c:pt>
                <c:pt idx="165">
                  <c:v>1.65625</c:v>
                </c:pt>
                <c:pt idx="166">
                  <c:v>1.9666666666666666</c:v>
                </c:pt>
                <c:pt idx="167">
                  <c:v>1.1857142857142857</c:v>
                </c:pt>
                <c:pt idx="168">
                  <c:v>1.4074074074074074</c:v>
                </c:pt>
                <c:pt idx="169">
                  <c:v>1.8983050847457628</c:v>
                </c:pt>
                <c:pt idx="170">
                  <c:v>1.28</c:v>
                </c:pt>
                <c:pt idx="171">
                  <c:v>1.2905405405405406</c:v>
                </c:pt>
                <c:pt idx="172">
                  <c:v>1.1428571428571428</c:v>
                </c:pt>
                <c:pt idx="173">
                  <c:v>1.7777777777777777</c:v>
                </c:pt>
                <c:pt idx="174">
                  <c:v>1.173913043478261</c:v>
                </c:pt>
                <c:pt idx="175">
                  <c:v>1.1296296296296295</c:v>
                </c:pt>
                <c:pt idx="176">
                  <c:v>1.0441176470588236</c:v>
                </c:pt>
                <c:pt idx="177">
                  <c:v>1.5176470588235293</c:v>
                </c:pt>
                <c:pt idx="178">
                  <c:v>1.3870967741935485</c:v>
                </c:pt>
                <c:pt idx="179">
                  <c:v>1.3630136986301369</c:v>
                </c:pt>
                <c:pt idx="180">
                  <c:v>1.4195121951219511</c:v>
                </c:pt>
                <c:pt idx="181">
                  <c:v>1.1032863849765258</c:v>
                </c:pt>
                <c:pt idx="182">
                  <c:v>0.94444444444444442</c:v>
                </c:pt>
                <c:pt idx="183">
                  <c:v>1.328125</c:v>
                </c:pt>
                <c:pt idx="184">
                  <c:v>1.4130434782608696</c:v>
                </c:pt>
                <c:pt idx="185">
                  <c:v>1.0953846153846154</c:v>
                </c:pt>
                <c:pt idx="186">
                  <c:v>1.1414141414141414</c:v>
                </c:pt>
                <c:pt idx="187">
                  <c:v>1.4230769230769231</c:v>
                </c:pt>
                <c:pt idx="188">
                  <c:v>1.5918367346938775</c:v>
                </c:pt>
                <c:pt idx="189">
                  <c:v>1.27</c:v>
                </c:pt>
                <c:pt idx="190">
                  <c:v>1.1865079365079365</c:v>
                </c:pt>
                <c:pt idx="191">
                  <c:v>1.4597701149425288</c:v>
                </c:pt>
                <c:pt idx="192">
                  <c:v>1.3580246913580247</c:v>
                </c:pt>
                <c:pt idx="193">
                  <c:v>1.2352941176470589</c:v>
                </c:pt>
                <c:pt idx="194">
                  <c:v>1.0152460152460152</c:v>
                </c:pt>
                <c:pt idx="195">
                  <c:v>1.2857142857142858</c:v>
                </c:pt>
                <c:pt idx="196">
                  <c:v>1.3529411764705883</c:v>
                </c:pt>
                <c:pt idx="197">
                  <c:v>1.4</c:v>
                </c:pt>
                <c:pt idx="198">
                  <c:v>1.4193548387096775</c:v>
                </c:pt>
                <c:pt idx="199">
                  <c:v>1.4189189189189189</c:v>
                </c:pt>
                <c:pt idx="200">
                  <c:v>0.97959183673469385</c:v>
                </c:pt>
                <c:pt idx="201">
                  <c:v>1.0909090909090908</c:v>
                </c:pt>
                <c:pt idx="202">
                  <c:v>1.25</c:v>
                </c:pt>
                <c:pt idx="203">
                  <c:v>1.2455795677799608</c:v>
                </c:pt>
                <c:pt idx="204">
                  <c:v>1.1458333333333333</c:v>
                </c:pt>
                <c:pt idx="205">
                  <c:v>1.2586206896551724</c:v>
                </c:pt>
                <c:pt idx="206">
                  <c:v>1.6735751295336787</c:v>
                </c:pt>
                <c:pt idx="207">
                  <c:v>1.268041237113402</c:v>
                </c:pt>
                <c:pt idx="208">
                  <c:v>1.3673469387755102</c:v>
                </c:pt>
                <c:pt idx="209">
                  <c:v>1.4705882352941178</c:v>
                </c:pt>
                <c:pt idx="210">
                  <c:v>0.47115384615384615</c:v>
                </c:pt>
                <c:pt idx="211">
                  <c:v>1.3310810810810811</c:v>
                </c:pt>
                <c:pt idx="212">
                  <c:v>1.9130434782608696</c:v>
                </c:pt>
                <c:pt idx="213">
                  <c:v>1.1735537190082646</c:v>
                </c:pt>
                <c:pt idx="214">
                  <c:v>1.2531645569620253</c:v>
                </c:pt>
                <c:pt idx="215">
                  <c:v>1.2572815533980584</c:v>
                </c:pt>
                <c:pt idx="216">
                  <c:v>1.1707317073170731</c:v>
                </c:pt>
                <c:pt idx="217">
                  <c:v>1.1946308724832215</c:v>
                </c:pt>
                <c:pt idx="218">
                  <c:v>1.2961538461538462</c:v>
                </c:pt>
              </c:numCache>
            </c:numRef>
          </c:xVal>
          <c:yVal>
            <c:numRef>
              <c:f>data!$CR$5:$CR$223</c:f>
              <c:numCache>
                <c:formatCode>0.00</c:formatCode>
                <c:ptCount val="219"/>
                <c:pt idx="0">
                  <c:v>2.6842105263157894</c:v>
                </c:pt>
                <c:pt idx="1">
                  <c:v>1.7696335078534031</c:v>
                </c:pt>
                <c:pt idx="2">
                  <c:v>2.1830357142857144</c:v>
                </c:pt>
                <c:pt idx="3">
                  <c:v>4.8271028037383177</c:v>
                </c:pt>
                <c:pt idx="4">
                  <c:v>2.7822966507177034</c:v>
                </c:pt>
                <c:pt idx="5">
                  <c:v>1.653225806451613</c:v>
                </c:pt>
                <c:pt idx="6">
                  <c:v>1.5509677419354839</c:v>
                </c:pt>
                <c:pt idx="7">
                  <c:v>1.7029288702928871</c:v>
                </c:pt>
                <c:pt idx="8">
                  <c:v>1.5333333333333334</c:v>
                </c:pt>
                <c:pt idx="9">
                  <c:v>2.0070588235294116</c:v>
                </c:pt>
                <c:pt idx="10">
                  <c:v>3.3095238095238093</c:v>
                </c:pt>
                <c:pt idx="11">
                  <c:v>1.4473684210526316</c:v>
                </c:pt>
                <c:pt idx="12">
                  <c:v>1.9903381642512077</c:v>
                </c:pt>
                <c:pt idx="13">
                  <c:v>1.5534934497816595</c:v>
                </c:pt>
                <c:pt idx="14">
                  <c:v>2.2299794661190964</c:v>
                </c:pt>
                <c:pt idx="15">
                  <c:v>2.0841049382716048</c:v>
                </c:pt>
                <c:pt idx="16">
                  <c:v>1.7351480595916866</c:v>
                </c:pt>
                <c:pt idx="17">
                  <c:v>3.1428571428571428</c:v>
                </c:pt>
                <c:pt idx="18">
                  <c:v>1.9183673469387754</c:v>
                </c:pt>
                <c:pt idx="19">
                  <c:v>1.4294117647058824</c:v>
                </c:pt>
                <c:pt idx="20">
                  <c:v>2.0984848484848486</c:v>
                </c:pt>
                <c:pt idx="21">
                  <c:v>1.1596385542168675</c:v>
                </c:pt>
                <c:pt idx="22">
                  <c:v>2.3514285714285714</c:v>
                </c:pt>
                <c:pt idx="23">
                  <c:v>1.6852791878172588</c:v>
                </c:pt>
                <c:pt idx="24">
                  <c:v>1.712962962962963</c:v>
                </c:pt>
                <c:pt idx="25">
                  <c:v>1.5269461077844311</c:v>
                </c:pt>
                <c:pt idx="26">
                  <c:v>1.5741324921135647</c:v>
                </c:pt>
                <c:pt idx="27">
                  <c:v>2.9469696969696968</c:v>
                </c:pt>
                <c:pt idx="28">
                  <c:v>1.4729691480328333</c:v>
                </c:pt>
                <c:pt idx="29">
                  <c:v>1.8987341772151898</c:v>
                </c:pt>
                <c:pt idx="30">
                  <c:v>1.455621301775148</c:v>
                </c:pt>
                <c:pt idx="31">
                  <c:v>2.5166112956810633</c:v>
                </c:pt>
                <c:pt idx="32">
                  <c:v>1.6909903201787044</c:v>
                </c:pt>
                <c:pt idx="33">
                  <c:v>1.6406820950060901</c:v>
                </c:pt>
                <c:pt idx="34">
                  <c:v>1.7230769230769232</c:v>
                </c:pt>
                <c:pt idx="35">
                  <c:v>1.724770642201835</c:v>
                </c:pt>
                <c:pt idx="36">
                  <c:v>1.2497972424979724</c:v>
                </c:pt>
                <c:pt idx="37">
                  <c:v>1.9812981298129813</c:v>
                </c:pt>
                <c:pt idx="38">
                  <c:v>2.1074074074074076</c:v>
                </c:pt>
                <c:pt idx="39">
                  <c:v>1.4477447744774476</c:v>
                </c:pt>
                <c:pt idx="40">
                  <c:v>2.2020922956589755</c:v>
                </c:pt>
                <c:pt idx="41">
                  <c:v>2.1068702290076335</c:v>
                </c:pt>
                <c:pt idx="42">
                  <c:v>1.9837962962962963</c:v>
                </c:pt>
                <c:pt idx="43">
                  <c:v>2.1483870967741936</c:v>
                </c:pt>
                <c:pt idx="44">
                  <c:v>2.3313953488372094</c:v>
                </c:pt>
                <c:pt idx="45">
                  <c:v>1.543726235741445</c:v>
                </c:pt>
                <c:pt idx="46">
                  <c:v>1.7154026583268178</c:v>
                </c:pt>
                <c:pt idx="47">
                  <c:v>2.0590062111801242</c:v>
                </c:pt>
                <c:pt idx="48">
                  <c:v>0.9838709677419355</c:v>
                </c:pt>
                <c:pt idx="49">
                  <c:v>1.5411861614497528</c:v>
                </c:pt>
                <c:pt idx="50">
                  <c:v>1.5864864864864865</c:v>
                </c:pt>
                <c:pt idx="51">
                  <c:v>2.0242634315424608</c:v>
                </c:pt>
                <c:pt idx="52">
                  <c:v>2.1007194244604315</c:v>
                </c:pt>
                <c:pt idx="53">
                  <c:v>2.1629116117850953</c:v>
                </c:pt>
                <c:pt idx="54">
                  <c:v>1.597667638483965</c:v>
                </c:pt>
                <c:pt idx="55">
                  <c:v>1.5548387096774194</c:v>
                </c:pt>
                <c:pt idx="56">
                  <c:v>1.7174603174603174</c:v>
                </c:pt>
                <c:pt idx="57">
                  <c:v>1.497134670487106</c:v>
                </c:pt>
                <c:pt idx="58">
                  <c:v>1.9793103448275862</c:v>
                </c:pt>
                <c:pt idx="59">
                  <c:v>1.786774628879892</c:v>
                </c:pt>
                <c:pt idx="60">
                  <c:v>1.5873533246414602</c:v>
                </c:pt>
                <c:pt idx="61">
                  <c:v>1.7444933920704846</c:v>
                </c:pt>
                <c:pt idx="62">
                  <c:v>2.0238870792616721</c:v>
                </c:pt>
                <c:pt idx="63">
                  <c:v>1.8968838526912182</c:v>
                </c:pt>
                <c:pt idx="64">
                  <c:v>2.4183381088825215</c:v>
                </c:pt>
                <c:pt idx="65">
                  <c:v>2.4321110009910805</c:v>
                </c:pt>
                <c:pt idx="66">
                  <c:v>2.2318181818181819</c:v>
                </c:pt>
                <c:pt idx="67">
                  <c:v>1.8972602739726028</c:v>
                </c:pt>
                <c:pt idx="68">
                  <c:v>1.0655890666593486</c:v>
                </c:pt>
                <c:pt idx="69">
                  <c:v>2.7349397590361444</c:v>
                </c:pt>
                <c:pt idx="70">
                  <c:v>3.3544186046511628</c:v>
                </c:pt>
                <c:pt idx="71">
                  <c:v>2.3633049817739975</c:v>
                </c:pt>
                <c:pt idx="72">
                  <c:v>1.550776809397499</c:v>
                </c:pt>
                <c:pt idx="73">
                  <c:v>2.4410828025477707</c:v>
                </c:pt>
                <c:pt idx="74">
                  <c:v>2.7032392894461861</c:v>
                </c:pt>
                <c:pt idx="75">
                  <c:v>0.91925465838509313</c:v>
                </c:pt>
                <c:pt idx="76">
                  <c:v>1.7940446650124069</c:v>
                </c:pt>
                <c:pt idx="77">
                  <c:v>1.7087168381158635</c:v>
                </c:pt>
                <c:pt idx="78">
                  <c:v>1.581877729257642</c:v>
                </c:pt>
                <c:pt idx="79">
                  <c:v>1.9650032404406998</c:v>
                </c:pt>
                <c:pt idx="80">
                  <c:v>1.7555555555555555</c:v>
                </c:pt>
                <c:pt idx="81">
                  <c:v>1.9007036747458952</c:v>
                </c:pt>
                <c:pt idx="82">
                  <c:v>2.2662857142857145</c:v>
                </c:pt>
                <c:pt idx="83">
                  <c:v>2.3333333333333335</c:v>
                </c:pt>
                <c:pt idx="84">
                  <c:v>2.1677651288196524</c:v>
                </c:pt>
                <c:pt idx="85">
                  <c:v>1.8504837291116973</c:v>
                </c:pt>
                <c:pt idx="86">
                  <c:v>1.6631178707224334</c:v>
                </c:pt>
                <c:pt idx="87">
                  <c:v>2.0346820809248554</c:v>
                </c:pt>
                <c:pt idx="88">
                  <c:v>1.7652060170045782</c:v>
                </c:pt>
                <c:pt idx="89">
                  <c:v>2.1755196304849886</c:v>
                </c:pt>
                <c:pt idx="90">
                  <c:v>1.7011070110701108</c:v>
                </c:pt>
                <c:pt idx="91">
                  <c:v>3.2407407407407409</c:v>
                </c:pt>
                <c:pt idx="92">
                  <c:v>1.9843379212149976</c:v>
                </c:pt>
                <c:pt idx="93">
                  <c:v>1.7897230320699709</c:v>
                </c:pt>
                <c:pt idx="94">
                  <c:v>2.5436507936507935</c:v>
                </c:pt>
                <c:pt idx="95">
                  <c:v>1.8354430379746836</c:v>
                </c:pt>
                <c:pt idx="96">
                  <c:v>2.050483351235231</c:v>
                </c:pt>
                <c:pt idx="97">
                  <c:v>1.5936454849498327</c:v>
                </c:pt>
                <c:pt idx="98">
                  <c:v>1.4837420526793823</c:v>
                </c:pt>
                <c:pt idx="99">
                  <c:v>1.8907014681892333</c:v>
                </c:pt>
                <c:pt idx="100">
                  <c:v>1.5306859205776173</c:v>
                </c:pt>
                <c:pt idx="101">
                  <c:v>2.0979351032448377</c:v>
                </c:pt>
                <c:pt idx="102">
                  <c:v>1.4760820045558087</c:v>
                </c:pt>
                <c:pt idx="103">
                  <c:v>1.337378225944283</c:v>
                </c:pt>
                <c:pt idx="104">
                  <c:v>1.2508012820512822</c:v>
                </c:pt>
                <c:pt idx="105">
                  <c:v>1.8934517203107659</c:v>
                </c:pt>
                <c:pt idx="106">
                  <c:v>1.7019950124688279</c:v>
                </c:pt>
                <c:pt idx="107">
                  <c:v>1.4614754098360656</c:v>
                </c:pt>
                <c:pt idx="108">
                  <c:v>1.3524057217165149</c:v>
                </c:pt>
                <c:pt idx="109">
                  <c:v>1.2122587968217935</c:v>
                </c:pt>
                <c:pt idx="110">
                  <c:v>1.2560509554140127</c:v>
                </c:pt>
                <c:pt idx="111">
                  <c:v>1.3203203203203204</c:v>
                </c:pt>
                <c:pt idx="112">
                  <c:v>1.610759493670886</c:v>
                </c:pt>
                <c:pt idx="113">
                  <c:v>1.3764858841010401</c:v>
                </c:pt>
                <c:pt idx="114">
                  <c:v>1.7734584450402144</c:v>
                </c:pt>
                <c:pt idx="115">
                  <c:v>1.4225865209471766</c:v>
                </c:pt>
                <c:pt idx="116">
                  <c:v>1.4255929111284857</c:v>
                </c:pt>
                <c:pt idx="117">
                  <c:v>2.4510233918128654</c:v>
                </c:pt>
                <c:pt idx="118">
                  <c:v>2.7830188679245285</c:v>
                </c:pt>
                <c:pt idx="119">
                  <c:v>2.0943214629451394</c:v>
                </c:pt>
                <c:pt idx="120">
                  <c:v>1.8822222222222222</c:v>
                </c:pt>
                <c:pt idx="121">
                  <c:v>2.0375234521575987</c:v>
                </c:pt>
                <c:pt idx="122">
                  <c:v>1.6666666666666667</c:v>
                </c:pt>
                <c:pt idx="123">
                  <c:v>1.6724941724941724</c:v>
                </c:pt>
                <c:pt idx="124">
                  <c:v>1.8976</c:v>
                </c:pt>
                <c:pt idx="125">
                  <c:v>1.6218487394957983</c:v>
                </c:pt>
                <c:pt idx="126">
                  <c:v>0</c:v>
                </c:pt>
                <c:pt idx="127">
                  <c:v>2.2450980392156863</c:v>
                </c:pt>
                <c:pt idx="128">
                  <c:v>2.2081218274111674</c:v>
                </c:pt>
                <c:pt idx="129">
                  <c:v>2.8670520231213872</c:v>
                </c:pt>
                <c:pt idx="130">
                  <c:v>3.7166666666666668</c:v>
                </c:pt>
                <c:pt idx="131">
                  <c:v>2.8483206933911158</c:v>
                </c:pt>
                <c:pt idx="132">
                  <c:v>2.7843551797040167</c:v>
                </c:pt>
                <c:pt idx="133">
                  <c:v>1.83984375</c:v>
                </c:pt>
                <c:pt idx="134">
                  <c:v>2.5069637883008355</c:v>
                </c:pt>
                <c:pt idx="135">
                  <c:v>1.9529616724738676</c:v>
                </c:pt>
                <c:pt idx="136">
                  <c:v>3.4893048128342246</c:v>
                </c:pt>
                <c:pt idx="137">
                  <c:v>4.3027522935779814</c:v>
                </c:pt>
                <c:pt idx="138">
                  <c:v>2.5244897959183672</c:v>
                </c:pt>
                <c:pt idx="139">
                  <c:v>2.0893617021276594</c:v>
                </c:pt>
                <c:pt idx="140">
                  <c:v>1.6920311563810666</c:v>
                </c:pt>
                <c:pt idx="141">
                  <c:v>1.9571428571428571</c:v>
                </c:pt>
                <c:pt idx="142">
                  <c:v>1.6136865342163356</c:v>
                </c:pt>
                <c:pt idx="143">
                  <c:v>2.5178197064989516</c:v>
                </c:pt>
                <c:pt idx="144">
                  <c:v>2.4485125858123569</c:v>
                </c:pt>
                <c:pt idx="145">
                  <c:v>2.7704918032786887</c:v>
                </c:pt>
                <c:pt idx="146">
                  <c:v>2.5567010309278349</c:v>
                </c:pt>
                <c:pt idx="147">
                  <c:v>2.0167189132706373</c:v>
                </c:pt>
                <c:pt idx="148">
                  <c:v>1.6946778711484594</c:v>
                </c:pt>
                <c:pt idx="149">
                  <c:v>1.871559633027523</c:v>
                </c:pt>
                <c:pt idx="150">
                  <c:v>2.6114124974884469</c:v>
                </c:pt>
                <c:pt idx="151">
                  <c:v>2.0320855614973263</c:v>
                </c:pt>
                <c:pt idx="152">
                  <c:v>2.0505154639175256</c:v>
                </c:pt>
                <c:pt idx="153">
                  <c:v>1.5553168635875403</c:v>
                </c:pt>
                <c:pt idx="154">
                  <c:v>1.8805555555555555</c:v>
                </c:pt>
                <c:pt idx="155">
                  <c:v>2.8382352941176472</c:v>
                </c:pt>
                <c:pt idx="156">
                  <c:v>4.0535714285714288</c:v>
                </c:pt>
                <c:pt idx="157">
                  <c:v>1.7597402597402598</c:v>
                </c:pt>
                <c:pt idx="158">
                  <c:v>1.8576555023923444</c:v>
                </c:pt>
                <c:pt idx="159">
                  <c:v>1.8828125</c:v>
                </c:pt>
                <c:pt idx="160">
                  <c:v>2.3126142595978063</c:v>
                </c:pt>
                <c:pt idx="161">
                  <c:v>2.978723404255319</c:v>
                </c:pt>
                <c:pt idx="162">
                  <c:v>2.6467391304347827</c:v>
                </c:pt>
                <c:pt idx="163">
                  <c:v>2.1942857142857144</c:v>
                </c:pt>
                <c:pt idx="164">
                  <c:v>1.2294520547945205</c:v>
                </c:pt>
                <c:pt idx="165">
                  <c:v>2.4258555133079849</c:v>
                </c:pt>
                <c:pt idx="166">
                  <c:v>2.3166666666666669</c:v>
                </c:pt>
                <c:pt idx="167">
                  <c:v>2.1666666666666665</c:v>
                </c:pt>
                <c:pt idx="168">
                  <c:v>2.9856459330143541</c:v>
                </c:pt>
                <c:pt idx="169">
                  <c:v>2.2611251049538201</c:v>
                </c:pt>
                <c:pt idx="170">
                  <c:v>1.8898963730569949</c:v>
                </c:pt>
                <c:pt idx="171">
                  <c:v>1.8248520710059171</c:v>
                </c:pt>
                <c:pt idx="172">
                  <c:v>1.6857142857142857</c:v>
                </c:pt>
                <c:pt idx="173">
                  <c:v>2.1863354037267082</c:v>
                </c:pt>
                <c:pt idx="174">
                  <c:v>2.6552511415525113</c:v>
                </c:pt>
                <c:pt idx="175">
                  <c:v>1.8815987933634992</c:v>
                </c:pt>
                <c:pt idx="176">
                  <c:v>0.96758241758241759</c:v>
                </c:pt>
                <c:pt idx="177">
                  <c:v>2.655954631379962</c:v>
                </c:pt>
                <c:pt idx="178">
                  <c:v>1.4148802017654476</c:v>
                </c:pt>
                <c:pt idx="179">
                  <c:v>3.0857142857142859</c:v>
                </c:pt>
                <c:pt idx="180">
                  <c:v>1.1827387260096549</c:v>
                </c:pt>
                <c:pt idx="181">
                  <c:v>1.6881272193916936</c:v>
                </c:pt>
                <c:pt idx="182">
                  <c:v>1.7633136094674555</c:v>
                </c:pt>
                <c:pt idx="183">
                  <c:v>1.3049403747870527</c:v>
                </c:pt>
                <c:pt idx="184">
                  <c:v>3.0109689213893969</c:v>
                </c:pt>
                <c:pt idx="185">
                  <c:v>1.2421883446859119</c:v>
                </c:pt>
                <c:pt idx="186">
                  <c:v>1.5300321773328567</c:v>
                </c:pt>
                <c:pt idx="187">
                  <c:v>1.5400552486187846</c:v>
                </c:pt>
                <c:pt idx="188">
                  <c:v>2.9627659574468086</c:v>
                </c:pt>
                <c:pt idx="189">
                  <c:v>1.6926143516575745</c:v>
                </c:pt>
                <c:pt idx="190">
                  <c:v>1.5496594778660613</c:v>
                </c:pt>
                <c:pt idx="191">
                  <c:v>2.1245947197776749</c:v>
                </c:pt>
                <c:pt idx="192">
                  <c:v>1.4188811188811188</c:v>
                </c:pt>
                <c:pt idx="193">
                  <c:v>2.5938864628820961</c:v>
                </c:pt>
                <c:pt idx="194">
                  <c:v>1.2559743981417191</c:v>
                </c:pt>
                <c:pt idx="195">
                  <c:v>2.1492890995260665</c:v>
                </c:pt>
                <c:pt idx="196">
                  <c:v>1.8770402611534276</c:v>
                </c:pt>
                <c:pt idx="197">
                  <c:v>2.3793103448275863</c:v>
                </c:pt>
                <c:pt idx="198">
                  <c:v>1.6788079470198676</c:v>
                </c:pt>
                <c:pt idx="199">
                  <c:v>1.4783625730994152</c:v>
                </c:pt>
                <c:pt idx="200">
                  <c:v>1.4630872483221478</c:v>
                </c:pt>
                <c:pt idx="201">
                  <c:v>1.3440736967227034</c:v>
                </c:pt>
                <c:pt idx="202">
                  <c:v>1.521985815602837</c:v>
                </c:pt>
                <c:pt idx="203">
                  <c:v>1.1733197556008146</c:v>
                </c:pt>
                <c:pt idx="204">
                  <c:v>1.1048183578848525</c:v>
                </c:pt>
                <c:pt idx="205">
                  <c:v>1.3136659436008677</c:v>
                </c:pt>
                <c:pt idx="206">
                  <c:v>2.7811102341489082</c:v>
                </c:pt>
                <c:pt idx="207">
                  <c:v>1.8662075750122971</c:v>
                </c:pt>
                <c:pt idx="208">
                  <c:v>1.5128205128205128</c:v>
                </c:pt>
                <c:pt idx="209">
                  <c:v>1.3151991026360068</c:v>
                </c:pt>
                <c:pt idx="210">
                  <c:v>1.5384615384615385</c:v>
                </c:pt>
                <c:pt idx="211">
                  <c:v>2.2221018418201517</c:v>
                </c:pt>
                <c:pt idx="212">
                  <c:v>1.6710239651416121</c:v>
                </c:pt>
                <c:pt idx="213">
                  <c:v>1.4749681798896903</c:v>
                </c:pt>
                <c:pt idx="214">
                  <c:v>1.9386189258312021</c:v>
                </c:pt>
                <c:pt idx="215">
                  <c:v>1.420281690140845</c:v>
                </c:pt>
                <c:pt idx="216">
                  <c:v>1.2606940790659122</c:v>
                </c:pt>
                <c:pt idx="217">
                  <c:v>1.6761989118056435</c:v>
                </c:pt>
                <c:pt idx="218">
                  <c:v>1.824292266329274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data!$C$5:$C$223</c15:f>
                <c15:dlblRangeCache>
                  <c:ptCount val="219"/>
                  <c:pt idx="0">
                    <c:v>Châtillon (FR)</c:v>
                  </c:pt>
                  <c:pt idx="1">
                    <c:v>Cugy (FR)</c:v>
                  </c:pt>
                  <c:pt idx="2">
                    <c:v>Fétigny</c:v>
                  </c:pt>
                  <c:pt idx="3">
                    <c:v>Gletterens</c:v>
                  </c:pt>
                  <c:pt idx="4">
                    <c:v>Lully (FR)</c:v>
                  </c:pt>
                  <c:pt idx="5">
                    <c:v>Ménières</c:v>
                  </c:pt>
                  <c:pt idx="6">
                    <c:v>Montagny (FR)</c:v>
                  </c:pt>
                  <c:pt idx="7">
                    <c:v>Nuvilly</c:v>
                  </c:pt>
                  <c:pt idx="8">
                    <c:v>Prévondavaux</c:v>
                  </c:pt>
                  <c:pt idx="9">
                    <c:v>Saint-Aubin (FR)</c:v>
                  </c:pt>
                  <c:pt idx="10">
                    <c:v>Sévaz</c:v>
                  </c:pt>
                  <c:pt idx="11">
                    <c:v>Surpierre</c:v>
                  </c:pt>
                  <c:pt idx="12">
                    <c:v>Vallon</c:v>
                  </c:pt>
                  <c:pt idx="13">
                    <c:v>Les Montets</c:v>
                  </c:pt>
                  <c:pt idx="14">
                    <c:v>Delley-Portalban</c:v>
                  </c:pt>
                  <c:pt idx="15">
                    <c:v>Belmont-Broye</c:v>
                  </c:pt>
                  <c:pt idx="16">
                    <c:v>Estavayer</c:v>
                  </c:pt>
                  <c:pt idx="17">
                    <c:v>Cheyres-Châbles</c:v>
                  </c:pt>
                  <c:pt idx="18">
                    <c:v>Auboranges</c:v>
                  </c:pt>
                  <c:pt idx="19">
                    <c:v>Billens-Hennens</c:v>
                  </c:pt>
                  <c:pt idx="20">
                    <c:v>Chapelle (Glâne)</c:v>
                  </c:pt>
                  <c:pt idx="21">
                    <c:v>Le Châtelard</c:v>
                  </c:pt>
                  <c:pt idx="22">
                    <c:v>Châtonnaye</c:v>
                  </c:pt>
                  <c:pt idx="23">
                    <c:v>Ecublens (FR)</c:v>
                  </c:pt>
                  <c:pt idx="24">
                    <c:v>Grangettes</c:v>
                  </c:pt>
                  <c:pt idx="25">
                    <c:v>Massonnens</c:v>
                  </c:pt>
                  <c:pt idx="26">
                    <c:v>Mézières (FR)</c:v>
                  </c:pt>
                  <c:pt idx="27">
                    <c:v>Montet (Glâne)</c:v>
                  </c:pt>
                  <c:pt idx="28">
                    <c:v>Romont (FR)</c:v>
                  </c:pt>
                  <c:pt idx="29">
                    <c:v>Rue</c:v>
                  </c:pt>
                  <c:pt idx="30">
                    <c:v>Siviriez</c:v>
                  </c:pt>
                  <c:pt idx="31">
                    <c:v>Ursy</c:v>
                  </c:pt>
                  <c:pt idx="32">
                    <c:v>Vuisternens-devant-Romont</c:v>
                  </c:pt>
                  <c:pt idx="33">
                    <c:v>Villorsonnens</c:v>
                  </c:pt>
                  <c:pt idx="34">
                    <c:v>Torny</c:v>
                  </c:pt>
                  <c:pt idx="35">
                    <c:v>Villaz</c:v>
                  </c:pt>
                  <c:pt idx="36">
                    <c:v>Haut-Intyamon</c:v>
                  </c:pt>
                  <c:pt idx="37">
                    <c:v>Pont-en-Ogoz</c:v>
                  </c:pt>
                  <c:pt idx="38">
                    <c:v>Botterens</c:v>
                  </c:pt>
                  <c:pt idx="39">
                    <c:v>Broc</c:v>
                  </c:pt>
                  <c:pt idx="40">
                    <c:v>Bulle</c:v>
                  </c:pt>
                  <c:pt idx="41">
                    <c:v>Châtel-sur-Montsalvens</c:v>
                  </c:pt>
                  <c:pt idx="42">
                    <c:v>Corbières</c:v>
                  </c:pt>
                  <c:pt idx="43">
                    <c:v>Crésuz</c:v>
                  </c:pt>
                  <c:pt idx="44">
                    <c:v>Echarlens</c:v>
                  </c:pt>
                  <c:pt idx="45">
                    <c:v>Grandvillard</c:v>
                  </c:pt>
                  <c:pt idx="46">
                    <c:v>Gruyères</c:v>
                  </c:pt>
                  <c:pt idx="47">
                    <c:v>Hauteville</c:v>
                  </c:pt>
                  <c:pt idx="48">
                    <c:v>Jaun</c:v>
                  </c:pt>
                  <c:pt idx="49">
                    <c:v>Marsens</c:v>
                  </c:pt>
                  <c:pt idx="50">
                    <c:v>Morlon</c:v>
                  </c:pt>
                  <c:pt idx="51">
                    <c:v>Le Pâquier (FR)</c:v>
                  </c:pt>
                  <c:pt idx="52">
                    <c:v>Pont-la-Ville</c:v>
                  </c:pt>
                  <c:pt idx="53">
                    <c:v>Riaz</c:v>
                  </c:pt>
                  <c:pt idx="54">
                    <c:v>La Roche</c:v>
                  </c:pt>
                  <c:pt idx="55">
                    <c:v>Sâles</c:v>
                  </c:pt>
                  <c:pt idx="56">
                    <c:v>Sorens</c:v>
                  </c:pt>
                  <c:pt idx="57">
                    <c:v>Vaulruz</c:v>
                  </c:pt>
                  <c:pt idx="58">
                    <c:v>Vuadens</c:v>
                  </c:pt>
                  <c:pt idx="59">
                    <c:v>Bas-Intyamon</c:v>
                  </c:pt>
                  <c:pt idx="60">
                    <c:v>Val-de-Charmey</c:v>
                  </c:pt>
                  <c:pt idx="61">
                    <c:v>Autigny</c:v>
                  </c:pt>
                  <c:pt idx="62">
                    <c:v>Avry</c:v>
                  </c:pt>
                  <c:pt idx="63">
                    <c:v>Belfaux</c:v>
                  </c:pt>
                  <c:pt idx="64">
                    <c:v>Chénens</c:v>
                  </c:pt>
                  <c:pt idx="65">
                    <c:v>Corminboeuf</c:v>
                  </c:pt>
                  <c:pt idx="66">
                    <c:v>Cottens (FR)</c:v>
                  </c:pt>
                  <c:pt idx="67">
                    <c:v>Ferpicloz</c:v>
                  </c:pt>
                  <c:pt idx="68">
                    <c:v>Fribourg</c:v>
                  </c:pt>
                  <c:pt idx="69">
                    <c:v>Givisiez</c:v>
                  </c:pt>
                  <c:pt idx="70">
                    <c:v>Granges-Paccot</c:v>
                  </c:pt>
                  <c:pt idx="71">
                    <c:v>Grolley</c:v>
                  </c:pt>
                  <c:pt idx="72">
                    <c:v>Marly</c:v>
                  </c:pt>
                  <c:pt idx="73">
                    <c:v>Matran</c:v>
                  </c:pt>
                  <c:pt idx="74">
                    <c:v>Neyruz (FR)</c:v>
                  </c:pt>
                  <c:pt idx="75">
                    <c:v>Pierrafortscha</c:v>
                  </c:pt>
                  <c:pt idx="76">
                    <c:v>Ponthaux</c:v>
                  </c:pt>
                  <c:pt idx="77">
                    <c:v>Le Mouret</c:v>
                  </c:pt>
                  <c:pt idx="78">
                    <c:v>Treyvaux</c:v>
                  </c:pt>
                  <c:pt idx="79">
                    <c:v>Villars-sur-Glâne</c:v>
                  </c:pt>
                  <c:pt idx="80">
                    <c:v>Villarsel-sur-Marly</c:v>
                  </c:pt>
                  <c:pt idx="81">
                    <c:v>Hauterive (FR)</c:v>
                  </c:pt>
                  <c:pt idx="82">
                    <c:v>La Brillaz</c:v>
                  </c:pt>
                  <c:pt idx="83">
                    <c:v>La Sonnaz</c:v>
                  </c:pt>
                  <c:pt idx="84">
                    <c:v>Gibloux</c:v>
                  </c:pt>
                  <c:pt idx="85">
                    <c:v>Prez</c:v>
                  </c:pt>
                  <c:pt idx="86">
                    <c:v>Bois-d'Amont</c:v>
                  </c:pt>
                  <c:pt idx="87">
                    <c:v>Courgevaux</c:v>
                  </c:pt>
                  <c:pt idx="88">
                    <c:v>Courtepin</c:v>
                  </c:pt>
                  <c:pt idx="89">
                    <c:v>Cressier (FR)</c:v>
                  </c:pt>
                  <c:pt idx="90">
                    <c:v>Fräschels</c:v>
                  </c:pt>
                  <c:pt idx="91">
                    <c:v>Greng</c:v>
                  </c:pt>
                  <c:pt idx="92">
                    <c:v>Gurmels</c:v>
                  </c:pt>
                  <c:pt idx="93">
                    <c:v>Kerzers</c:v>
                  </c:pt>
                  <c:pt idx="94">
                    <c:v>Kleinbösingen</c:v>
                  </c:pt>
                  <c:pt idx="95">
                    <c:v>Meyriez</c:v>
                  </c:pt>
                  <c:pt idx="96">
                    <c:v>Misery-Courtion</c:v>
                  </c:pt>
                  <c:pt idx="97">
                    <c:v>Muntelier</c:v>
                  </c:pt>
                  <c:pt idx="98">
                    <c:v>Murten</c:v>
                  </c:pt>
                  <c:pt idx="99">
                    <c:v>Ried bei Kerzers</c:v>
                  </c:pt>
                  <c:pt idx="100">
                    <c:v>Ulmiz</c:v>
                  </c:pt>
                  <c:pt idx="101">
                    <c:v>Mont-Vully</c:v>
                  </c:pt>
                  <c:pt idx="102">
                    <c:v>Brünisried</c:v>
                  </c:pt>
                  <c:pt idx="103">
                    <c:v>Düdingen</c:v>
                  </c:pt>
                  <c:pt idx="104">
                    <c:v>Giffers</c:v>
                  </c:pt>
                  <c:pt idx="105">
                    <c:v>Bösingen</c:v>
                  </c:pt>
                  <c:pt idx="106">
                    <c:v>Heitenried</c:v>
                  </c:pt>
                  <c:pt idx="107">
                    <c:v>Plaffeien</c:v>
                  </c:pt>
                  <c:pt idx="108">
                    <c:v>Plasselb</c:v>
                  </c:pt>
                  <c:pt idx="109">
                    <c:v>Rechthalten</c:v>
                  </c:pt>
                  <c:pt idx="110">
                    <c:v>St. Silvester</c:v>
                  </c:pt>
                  <c:pt idx="111">
                    <c:v>St. Ursen</c:v>
                  </c:pt>
                  <c:pt idx="112">
                    <c:v>Schmitten (FR)</c:v>
                  </c:pt>
                  <c:pt idx="113">
                    <c:v>Tafers</c:v>
                  </c:pt>
                  <c:pt idx="114">
                    <c:v>Tentlingen</c:v>
                  </c:pt>
                  <c:pt idx="115">
                    <c:v>Ueberstorf</c:v>
                  </c:pt>
                  <c:pt idx="116">
                    <c:v>Wünnewil-Flamatt</c:v>
                  </c:pt>
                  <c:pt idx="117">
                    <c:v>Attalens</c:v>
                  </c:pt>
                  <c:pt idx="118">
                    <c:v>Bossonnens</c:v>
                  </c:pt>
                  <c:pt idx="119">
                    <c:v>Châtel-Saint-Denis</c:v>
                  </c:pt>
                  <c:pt idx="120">
                    <c:v>Granges (Veveyse)</c:v>
                  </c:pt>
                  <c:pt idx="121">
                    <c:v>Remaufens</c:v>
                  </c:pt>
                  <c:pt idx="122">
                    <c:v>Saint-Martin (FR)</c:v>
                  </c:pt>
                  <c:pt idx="123">
                    <c:v>Semsales</c:v>
                  </c:pt>
                  <c:pt idx="124">
                    <c:v>Le Flon</c:v>
                  </c:pt>
                  <c:pt idx="125">
                    <c:v>La Verrerie</c:v>
                  </c:pt>
                  <c:pt idx="126">
                    <c:v>Staatswald Galm</c:v>
                  </c:pt>
                  <c:pt idx="127">
                    <c:v>Longirod</c:v>
                  </c:pt>
                  <c:pt idx="128">
                    <c:v>Marchissy</c:v>
                  </c:pt>
                  <c:pt idx="129">
                    <c:v>Saint-George</c:v>
                  </c:pt>
                  <c:pt idx="130">
                    <c:v>Arnex-sur-Nyon</c:v>
                  </c:pt>
                  <c:pt idx="131">
                    <c:v>Arzier</c:v>
                  </c:pt>
                  <c:pt idx="132">
                    <c:v>Bassins</c:v>
                  </c:pt>
                  <c:pt idx="133">
                    <c:v>Begnins</c:v>
                  </c:pt>
                  <c:pt idx="134">
                    <c:v>Bogis-Bossey</c:v>
                  </c:pt>
                  <c:pt idx="135">
                    <c:v>Borex</c:v>
                  </c:pt>
                  <c:pt idx="136">
                    <c:v>Chavannes-de-Bogis</c:v>
                  </c:pt>
                  <c:pt idx="137">
                    <c:v>Chavannes-des-Bois</c:v>
                  </c:pt>
                  <c:pt idx="138">
                    <c:v>Chéserex</c:v>
                  </c:pt>
                  <c:pt idx="139">
                    <c:v>Coinsins</c:v>
                  </c:pt>
                  <c:pt idx="140">
                    <c:v>Commugny</c:v>
                  </c:pt>
                  <c:pt idx="141">
                    <c:v>Coppet</c:v>
                  </c:pt>
                  <c:pt idx="142">
                    <c:v>Crans-près-Céligny</c:v>
                  </c:pt>
                  <c:pt idx="143">
                    <c:v>Crassier</c:v>
                  </c:pt>
                  <c:pt idx="144">
                    <c:v>Duillier</c:v>
                  </c:pt>
                  <c:pt idx="145">
                    <c:v>Eysins</c:v>
                  </c:pt>
                  <c:pt idx="146">
                    <c:v>Founex</c:v>
                  </c:pt>
                  <c:pt idx="147">
                    <c:v>Genolier</c:v>
                  </c:pt>
                  <c:pt idx="148">
                    <c:v>Gingins</c:v>
                  </c:pt>
                  <c:pt idx="149">
                    <c:v>Givrins</c:v>
                  </c:pt>
                  <c:pt idx="150">
                    <c:v>Gland</c:v>
                  </c:pt>
                  <c:pt idx="151">
                    <c:v>Grens</c:v>
                  </c:pt>
                  <c:pt idx="152">
                    <c:v>Mies</c:v>
                  </c:pt>
                  <c:pt idx="153">
                    <c:v>Nyon</c:v>
                  </c:pt>
                  <c:pt idx="154">
                    <c:v>Prangins</c:v>
                  </c:pt>
                  <c:pt idx="155">
                    <c:v>La Rippe</c:v>
                  </c:pt>
                  <c:pt idx="156">
                    <c:v>Saint-Cergue</c:v>
                  </c:pt>
                  <c:pt idx="157">
                    <c:v>Signy-Avenex</c:v>
                  </c:pt>
                  <c:pt idx="158">
                    <c:v>Tannay</c:v>
                  </c:pt>
                  <c:pt idx="159">
                    <c:v>Trélex</c:v>
                  </c:pt>
                  <c:pt idx="160">
                    <c:v>Le Vaud</c:v>
                  </c:pt>
                  <c:pt idx="161">
                    <c:v>Vich</c:v>
                  </c:pt>
                  <c:pt idx="162">
                    <c:v>Bursinel</c:v>
                  </c:pt>
                  <c:pt idx="163">
                    <c:v>Bursins</c:v>
                  </c:pt>
                  <c:pt idx="164">
                    <c:v>Burtigny</c:v>
                  </c:pt>
                  <c:pt idx="165">
                    <c:v>Dully</c:v>
                  </c:pt>
                  <c:pt idx="166">
                    <c:v>Essertines-sur-Rolle</c:v>
                  </c:pt>
                  <c:pt idx="167">
                    <c:v>Gilly</c:v>
                  </c:pt>
                  <c:pt idx="168">
                    <c:v>Luins</c:v>
                  </c:pt>
                  <c:pt idx="169">
                    <c:v>Mont-sur-Rolle</c:v>
                  </c:pt>
                  <c:pt idx="170">
                    <c:v>Perroy</c:v>
                  </c:pt>
                  <c:pt idx="171">
                    <c:v>Rolle</c:v>
                  </c:pt>
                  <c:pt idx="172">
                    <c:v>Tartegnin</c:v>
                  </c:pt>
                  <c:pt idx="173">
                    <c:v>Vinzel</c:v>
                  </c:pt>
                  <c:pt idx="174">
                    <c:v>Aire-la-Ville</c:v>
                  </c:pt>
                  <c:pt idx="175">
                    <c:v>Anières</c:v>
                  </c:pt>
                  <c:pt idx="176">
                    <c:v>Avully</c:v>
                  </c:pt>
                  <c:pt idx="177">
                    <c:v>Avusy</c:v>
                  </c:pt>
                  <c:pt idx="178">
                    <c:v>Bardonnex</c:v>
                  </c:pt>
                  <c:pt idx="179">
                    <c:v>Bellevue</c:v>
                  </c:pt>
                  <c:pt idx="180">
                    <c:v>Bernex</c:v>
                  </c:pt>
                  <c:pt idx="181">
                    <c:v>Carouge</c:v>
                  </c:pt>
                  <c:pt idx="182">
                    <c:v>Cartigny</c:v>
                  </c:pt>
                  <c:pt idx="183">
                    <c:v>Céligny</c:v>
                  </c:pt>
                  <c:pt idx="184">
                    <c:v>Chancy</c:v>
                  </c:pt>
                  <c:pt idx="185">
                    <c:v>Chêne-Bougeries</c:v>
                  </c:pt>
                  <c:pt idx="186">
                    <c:v>Chêne-Bourg</c:v>
                  </c:pt>
                  <c:pt idx="187">
                    <c:v>Choulex</c:v>
                  </c:pt>
                  <c:pt idx="188">
                    <c:v>Collex-Bossy</c:v>
                  </c:pt>
                  <c:pt idx="189">
                    <c:v>Collonge-Bellerive</c:v>
                  </c:pt>
                  <c:pt idx="190">
                    <c:v>Cologny</c:v>
                  </c:pt>
                  <c:pt idx="191">
                    <c:v>Confignon</c:v>
                  </c:pt>
                  <c:pt idx="192">
                    <c:v>Corsier</c:v>
                  </c:pt>
                  <c:pt idx="193">
                    <c:v>Dardagny</c:v>
                  </c:pt>
                  <c:pt idx="194">
                    <c:v>Genève (Ville)</c:v>
                  </c:pt>
                  <c:pt idx="195">
                    <c:v>Genthod</c:v>
                  </c:pt>
                  <c:pt idx="196">
                    <c:v>Grand-Saconnex</c:v>
                  </c:pt>
                  <c:pt idx="197">
                    <c:v>Gy</c:v>
                  </c:pt>
                  <c:pt idx="198">
                    <c:v>Hermance</c:v>
                  </c:pt>
                  <c:pt idx="199">
                    <c:v>Jussy</c:v>
                  </c:pt>
                  <c:pt idx="200">
                    <c:v>Laconnex</c:v>
                  </c:pt>
                  <c:pt idx="201">
                    <c:v>Lancy</c:v>
                  </c:pt>
                  <c:pt idx="202">
                    <c:v>Meinier</c:v>
                  </c:pt>
                  <c:pt idx="203">
                    <c:v>Meyrin</c:v>
                  </c:pt>
                  <c:pt idx="204">
                    <c:v>Onex</c:v>
                  </c:pt>
                  <c:pt idx="205">
                    <c:v>Perly-Certoux</c:v>
                  </c:pt>
                  <c:pt idx="206">
                    <c:v>Plan-les-Ouates</c:v>
                  </c:pt>
                  <c:pt idx="207">
                    <c:v>Pregny-Chambésy</c:v>
                  </c:pt>
                  <c:pt idx="208">
                    <c:v>Presinge</c:v>
                  </c:pt>
                  <c:pt idx="209">
                    <c:v>Puplinge</c:v>
                  </c:pt>
                  <c:pt idx="210">
                    <c:v>Russin</c:v>
                  </c:pt>
                  <c:pt idx="211">
                    <c:v>Satigny</c:v>
                  </c:pt>
                  <c:pt idx="212">
                    <c:v>Soral</c:v>
                  </c:pt>
                  <c:pt idx="213">
                    <c:v>Thônex</c:v>
                  </c:pt>
                  <c:pt idx="214">
                    <c:v>Troinex</c:v>
                  </c:pt>
                  <c:pt idx="215">
                    <c:v>Vandoeuvres</c:v>
                  </c:pt>
                  <c:pt idx="216">
                    <c:v>Vernier</c:v>
                  </c:pt>
                  <c:pt idx="217">
                    <c:v>Versoix</c:v>
                  </c:pt>
                  <c:pt idx="218">
                    <c:v>Veyrier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DB-C7D5-4832-9BD2-0C5D7D0B6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83616"/>
        <c:axId val="1885021264"/>
      </c:scatterChart>
      <c:valAx>
        <c:axId val="24483616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evol artif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5021264"/>
        <c:crosses val="autoZero"/>
        <c:crossBetween val="midCat"/>
      </c:valAx>
      <c:valAx>
        <c:axId val="188502126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evol pop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48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264584</xdr:colOff>
      <xdr:row>8</xdr:row>
      <xdr:rowOff>10583</xdr:rowOff>
    </xdr:from>
    <xdr:to>
      <xdr:col>90</xdr:col>
      <xdr:colOff>150071</xdr:colOff>
      <xdr:row>41</xdr:row>
      <xdr:rowOff>140971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701A08C-10AC-465F-BFAA-9992EE7B8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y\projets\2021-2024_ANR-FNS_TRACES\donnees\_TRACES%20-%20statistical%20data.xlsx" TargetMode="External"/><Relationship Id="rId1" Type="http://schemas.openxmlformats.org/officeDocument/2006/relationships/externalLinkPath" Target="_TRACES%20-%20statistical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data"/>
      <sheetName val="data"/>
      <sheetName val="par zone - dynamic "/>
      <sheetName val="par NUTS3 (Gd Genève) - pop"/>
      <sheetName val="par zone - pop"/>
      <sheetName val="par zone - CLC"/>
      <sheetName val="par LAU1"/>
      <sheetName val="geometric interval"/>
    </sheetNames>
    <sheetDataSet>
      <sheetData sheetId="0" refreshError="1"/>
      <sheetData sheetId="1">
        <row r="4">
          <cell r="CR4" t="str">
            <v>i82_2016pop</v>
          </cell>
        </row>
        <row r="5">
          <cell r="C5" t="str">
            <v>Châtillon (FR)</v>
          </cell>
          <cell r="CM5">
            <v>1.8666666666666667</v>
          </cell>
          <cell r="CR5">
            <v>2.6842105263157894</v>
          </cell>
        </row>
        <row r="6">
          <cell r="C6" t="str">
            <v>Cugy (FR)</v>
          </cell>
          <cell r="CM6">
            <v>1.5833333333333333</v>
          </cell>
          <cell r="CR6">
            <v>1.7696335078534031</v>
          </cell>
        </row>
        <row r="7">
          <cell r="C7" t="str">
            <v>Fétigny</v>
          </cell>
          <cell r="CM7">
            <v>1.425</v>
          </cell>
          <cell r="CR7">
            <v>2.1830357142857144</v>
          </cell>
        </row>
        <row r="8">
          <cell r="C8" t="str">
            <v>Gletterens</v>
          </cell>
          <cell r="CM8">
            <v>1.5813953488372092</v>
          </cell>
          <cell r="CR8">
            <v>4.8271028037383177</v>
          </cell>
        </row>
        <row r="9">
          <cell r="C9" t="str">
            <v>Lully (FR)</v>
          </cell>
          <cell r="CM9">
            <v>2.1764705882352939</v>
          </cell>
          <cell r="CR9">
            <v>2.7822966507177034</v>
          </cell>
        </row>
        <row r="10">
          <cell r="C10" t="str">
            <v>Ménières</v>
          </cell>
          <cell r="CM10">
            <v>1.8148148148148149</v>
          </cell>
          <cell r="CR10">
            <v>1.653225806451613</v>
          </cell>
        </row>
        <row r="11">
          <cell r="C11" t="str">
            <v>Montagny (FR)</v>
          </cell>
          <cell r="CM11">
            <v>1.5185185185185186</v>
          </cell>
          <cell r="CR11">
            <v>1.5509677419354839</v>
          </cell>
        </row>
        <row r="12">
          <cell r="C12" t="str">
            <v>Nuvilly</v>
          </cell>
          <cell r="CM12">
            <v>2.2307692307692308</v>
          </cell>
          <cell r="CR12">
            <v>1.7029288702928871</v>
          </cell>
        </row>
        <row r="13">
          <cell r="C13" t="str">
            <v>Prévondavaux</v>
          </cell>
          <cell r="CM13">
            <v>2.75</v>
          </cell>
          <cell r="CR13">
            <v>1.5333333333333334</v>
          </cell>
        </row>
        <row r="14">
          <cell r="C14" t="str">
            <v>Saint-Aubin (FR)</v>
          </cell>
          <cell r="CM14">
            <v>1.4375</v>
          </cell>
          <cell r="CR14">
            <v>2.0070588235294116</v>
          </cell>
        </row>
        <row r="15">
          <cell r="C15" t="str">
            <v>Sévaz</v>
          </cell>
          <cell r="CM15">
            <v>2.2999999999999998</v>
          </cell>
          <cell r="CR15">
            <v>3.3095238095238093</v>
          </cell>
        </row>
        <row r="16">
          <cell r="C16" t="str">
            <v>Surpierre</v>
          </cell>
          <cell r="CM16">
            <v>1.4166666666666667</v>
          </cell>
          <cell r="CR16">
            <v>1.4473684210526316</v>
          </cell>
        </row>
        <row r="17">
          <cell r="C17" t="str">
            <v>Vallon</v>
          </cell>
          <cell r="CM17">
            <v>1.4166666666666667</v>
          </cell>
          <cell r="CR17">
            <v>1.9903381642512077</v>
          </cell>
        </row>
        <row r="18">
          <cell r="C18" t="str">
            <v>Les Montets</v>
          </cell>
          <cell r="CM18">
            <v>1.6533333333333333</v>
          </cell>
          <cell r="CR18">
            <v>1.5534934497816595</v>
          </cell>
        </row>
        <row r="19">
          <cell r="C19" t="str">
            <v>Delley-Portalban</v>
          </cell>
          <cell r="CM19">
            <v>1.4461538461538461</v>
          </cell>
          <cell r="CR19">
            <v>2.2299794661190964</v>
          </cell>
        </row>
        <row r="20">
          <cell r="C20" t="str">
            <v>Belmont-Broye</v>
          </cell>
          <cell r="CM20">
            <v>1.7377049180327868</v>
          </cell>
          <cell r="CR20">
            <v>2.0841049382716048</v>
          </cell>
        </row>
        <row r="21">
          <cell r="C21" t="str">
            <v>Estavayer</v>
          </cell>
          <cell r="CM21">
            <v>1.5798969072164948</v>
          </cell>
          <cell r="CR21">
            <v>1.7351480595916866</v>
          </cell>
        </row>
        <row r="22">
          <cell r="C22" t="str">
            <v>Cheyres-Châbles</v>
          </cell>
          <cell r="CM22">
            <v>1.5</v>
          </cell>
          <cell r="CR22">
            <v>3.1428571428571428</v>
          </cell>
        </row>
        <row r="23">
          <cell r="C23" t="str">
            <v>Auboranges</v>
          </cell>
          <cell r="CM23">
            <v>1.5</v>
          </cell>
          <cell r="CR23">
            <v>1.9183673469387754</v>
          </cell>
        </row>
        <row r="24">
          <cell r="C24" t="str">
            <v>Billens-Hennens</v>
          </cell>
          <cell r="CM24">
            <v>1.8947368421052631</v>
          </cell>
          <cell r="CR24">
            <v>1.4294117647058824</v>
          </cell>
        </row>
        <row r="25">
          <cell r="C25" t="str">
            <v>Chapelle (Glâne)</v>
          </cell>
          <cell r="CM25">
            <v>1.4285714285714286</v>
          </cell>
          <cell r="CR25">
            <v>2.0984848484848486</v>
          </cell>
        </row>
        <row r="26">
          <cell r="C26" t="str">
            <v>Le Châtelard</v>
          </cell>
          <cell r="CM26">
            <v>1.6875</v>
          </cell>
          <cell r="CR26">
            <v>1.1596385542168675</v>
          </cell>
        </row>
        <row r="27">
          <cell r="C27" t="str">
            <v>Châtonnaye</v>
          </cell>
          <cell r="CM27">
            <v>1.8</v>
          </cell>
          <cell r="CR27">
            <v>2.3514285714285714</v>
          </cell>
        </row>
        <row r="28">
          <cell r="C28" t="str">
            <v>Ecublens (FR)</v>
          </cell>
          <cell r="CM28">
            <v>1.3793103448275863</v>
          </cell>
          <cell r="CR28">
            <v>1.6852791878172588</v>
          </cell>
        </row>
        <row r="29">
          <cell r="C29" t="str">
            <v>Grangettes</v>
          </cell>
          <cell r="CM29">
            <v>1.3846153846153846</v>
          </cell>
          <cell r="CR29">
            <v>1.712962962962963</v>
          </cell>
        </row>
        <row r="30">
          <cell r="C30" t="str">
            <v>Massonnens</v>
          </cell>
          <cell r="CM30">
            <v>1.8125</v>
          </cell>
          <cell r="CR30">
            <v>1.5269461077844311</v>
          </cell>
        </row>
        <row r="31">
          <cell r="C31" t="str">
            <v>Mézières (FR)</v>
          </cell>
          <cell r="CM31">
            <v>1.5116279069767442</v>
          </cell>
          <cell r="CR31">
            <v>1.5741324921135647</v>
          </cell>
        </row>
        <row r="32">
          <cell r="C32" t="str">
            <v>Montet (Glâne)</v>
          </cell>
          <cell r="CM32">
            <v>2.7777777777777777</v>
          </cell>
          <cell r="CR32">
            <v>2.9469696969696968</v>
          </cell>
        </row>
        <row r="33">
          <cell r="C33" t="str">
            <v>Romont (FR)</v>
          </cell>
          <cell r="CM33">
            <v>1.5354838709677419</v>
          </cell>
          <cell r="CR33">
            <v>1.4729691480328333</v>
          </cell>
        </row>
        <row r="34">
          <cell r="C34" t="str">
            <v>Rue</v>
          </cell>
          <cell r="CM34">
            <v>1.518987341772152</v>
          </cell>
          <cell r="CR34">
            <v>1.8987341772151898</v>
          </cell>
        </row>
        <row r="35">
          <cell r="C35" t="str">
            <v>Siviriez</v>
          </cell>
          <cell r="CM35">
            <v>1.4135338345864661</v>
          </cell>
          <cell r="CR35">
            <v>1.455621301775148</v>
          </cell>
        </row>
        <row r="36">
          <cell r="C36" t="str">
            <v>Ursy</v>
          </cell>
          <cell r="CM36">
            <v>1.8625</v>
          </cell>
          <cell r="CR36">
            <v>2.5166112956810633</v>
          </cell>
        </row>
        <row r="37">
          <cell r="C37" t="str">
            <v>Vuisternens-devant-Romont</v>
          </cell>
          <cell r="CM37">
            <v>1.5514018691588785</v>
          </cell>
          <cell r="CR37">
            <v>1.6909903201787044</v>
          </cell>
        </row>
        <row r="38">
          <cell r="C38" t="str">
            <v>Villorsonnens</v>
          </cell>
          <cell r="CM38">
            <v>1.4202898550724639</v>
          </cell>
          <cell r="CR38">
            <v>1.6406820950060901</v>
          </cell>
        </row>
        <row r="39">
          <cell r="C39" t="str">
            <v>Torny</v>
          </cell>
          <cell r="CM39">
            <v>1.5</v>
          </cell>
          <cell r="CR39">
            <v>1.7230769230769232</v>
          </cell>
        </row>
        <row r="40">
          <cell r="C40" t="str">
            <v>Villaz</v>
          </cell>
          <cell r="CM40">
            <v>1.4423076923076923</v>
          </cell>
          <cell r="CR40">
            <v>1.724770642201835</v>
          </cell>
        </row>
        <row r="41">
          <cell r="C41" t="str">
            <v>Haut-Intyamon</v>
          </cell>
          <cell r="CM41">
            <v>1.5686274509803921</v>
          </cell>
          <cell r="CR41">
            <v>1.2497972424979724</v>
          </cell>
        </row>
        <row r="42">
          <cell r="C42" t="str">
            <v>Pont-en-Ogoz</v>
          </cell>
          <cell r="CM42">
            <v>1.139344262295082</v>
          </cell>
          <cell r="CR42">
            <v>1.9812981298129813</v>
          </cell>
        </row>
        <row r="43">
          <cell r="C43" t="str">
            <v>Botterens</v>
          </cell>
          <cell r="CM43">
            <v>1.1764705882352942</v>
          </cell>
          <cell r="CR43">
            <v>2.1074074074074076</v>
          </cell>
        </row>
        <row r="44">
          <cell r="C44" t="str">
            <v>Broc</v>
          </cell>
          <cell r="CM44">
            <v>1.2911392405063291</v>
          </cell>
          <cell r="CR44">
            <v>1.4477447744774476</v>
          </cell>
        </row>
        <row r="45">
          <cell r="C45" t="str">
            <v>Bulle</v>
          </cell>
          <cell r="CM45">
            <v>1.8138138138138138</v>
          </cell>
          <cell r="CR45">
            <v>2.2020922956589755</v>
          </cell>
        </row>
        <row r="46">
          <cell r="C46" t="str">
            <v>Châtel-sur-Montsalvens</v>
          </cell>
          <cell r="CM46">
            <v>1.5454545454545454</v>
          </cell>
          <cell r="CR46">
            <v>2.1068702290076335</v>
          </cell>
        </row>
        <row r="47">
          <cell r="C47" t="str">
            <v>Corbières</v>
          </cell>
          <cell r="CM47">
            <v>1.8787878787878789</v>
          </cell>
          <cell r="CR47">
            <v>1.9837962962962963</v>
          </cell>
        </row>
        <row r="48">
          <cell r="C48" t="str">
            <v>Crésuz</v>
          </cell>
          <cell r="CM48">
            <v>1.1891891891891893</v>
          </cell>
          <cell r="CR48">
            <v>2.1483870967741936</v>
          </cell>
        </row>
        <row r="49">
          <cell r="C49" t="str">
            <v>Echarlens</v>
          </cell>
          <cell r="CM49">
            <v>1.3611111111111112</v>
          </cell>
          <cell r="CR49">
            <v>2.3313953488372094</v>
          </cell>
        </row>
        <row r="50">
          <cell r="C50" t="str">
            <v>Grandvillard</v>
          </cell>
          <cell r="CM50">
            <v>1.125</v>
          </cell>
          <cell r="CR50">
            <v>1.543726235741445</v>
          </cell>
        </row>
        <row r="51">
          <cell r="C51" t="str">
            <v>Gruyères</v>
          </cell>
          <cell r="CM51">
            <v>1.4754098360655739</v>
          </cell>
          <cell r="CR51">
            <v>1.7154026583268178</v>
          </cell>
        </row>
        <row r="52">
          <cell r="C52" t="str">
            <v>Hauteville</v>
          </cell>
          <cell r="CM52">
            <v>1.9259259259259258</v>
          </cell>
          <cell r="CR52">
            <v>2.0590062111801242</v>
          </cell>
        </row>
        <row r="53">
          <cell r="C53" t="str">
            <v>Jaun</v>
          </cell>
          <cell r="CM53">
            <v>1.3947368421052631</v>
          </cell>
          <cell r="CR53">
            <v>0.9838709677419355</v>
          </cell>
        </row>
        <row r="54">
          <cell r="C54" t="str">
            <v>Marsens</v>
          </cell>
          <cell r="CM54">
            <v>1.603448275862069</v>
          </cell>
          <cell r="CR54">
            <v>1.5411861614497528</v>
          </cell>
        </row>
        <row r="55">
          <cell r="C55" t="str">
            <v>Morlon</v>
          </cell>
          <cell r="CM55">
            <v>1.4444444444444444</v>
          </cell>
          <cell r="CR55">
            <v>1.5864864864864865</v>
          </cell>
        </row>
        <row r="56">
          <cell r="C56" t="str">
            <v>Le Pâquier (FR)</v>
          </cell>
          <cell r="CM56">
            <v>1.7714285714285714</v>
          </cell>
          <cell r="CR56">
            <v>2.0242634315424608</v>
          </cell>
        </row>
        <row r="57">
          <cell r="C57" t="str">
            <v>Pont-la-Ville</v>
          </cell>
          <cell r="CM57">
            <v>2</v>
          </cell>
          <cell r="CR57">
            <v>2.1007194244604315</v>
          </cell>
        </row>
        <row r="58">
          <cell r="C58" t="str">
            <v>Riaz</v>
          </cell>
          <cell r="CM58">
            <v>1.536231884057971</v>
          </cell>
          <cell r="CR58">
            <v>2.1629116117850953</v>
          </cell>
        </row>
        <row r="59">
          <cell r="C59" t="str">
            <v>La Roche</v>
          </cell>
          <cell r="CM59">
            <v>1.5890410958904109</v>
          </cell>
          <cell r="CR59">
            <v>1.597667638483965</v>
          </cell>
        </row>
        <row r="60">
          <cell r="C60" t="str">
            <v>Sâles</v>
          </cell>
          <cell r="CM60">
            <v>1.4382022471910112</v>
          </cell>
          <cell r="CR60">
            <v>1.5548387096774194</v>
          </cell>
        </row>
        <row r="61">
          <cell r="C61" t="str">
            <v>Sorens</v>
          </cell>
          <cell r="CM61">
            <v>1.5</v>
          </cell>
          <cell r="CR61">
            <v>1.7174603174603174</v>
          </cell>
        </row>
        <row r="62">
          <cell r="C62" t="str">
            <v>Vaulruz</v>
          </cell>
          <cell r="CM62">
            <v>1.32</v>
          </cell>
          <cell r="CR62">
            <v>1.497134670487106</v>
          </cell>
        </row>
        <row r="63">
          <cell r="C63" t="str">
            <v>Vuadens</v>
          </cell>
          <cell r="CM63">
            <v>1.7236842105263157</v>
          </cell>
          <cell r="CR63">
            <v>1.9793103448275862</v>
          </cell>
        </row>
        <row r="64">
          <cell r="C64" t="str">
            <v>Bas-Intyamon</v>
          </cell>
          <cell r="CM64">
            <v>1.2933333333333332</v>
          </cell>
          <cell r="CR64">
            <v>1.786774628879892</v>
          </cell>
        </row>
        <row r="65">
          <cell r="C65" t="str">
            <v>Val-de-Charmey</v>
          </cell>
          <cell r="CM65">
            <v>1.5057471264367817</v>
          </cell>
          <cell r="CR65">
            <v>1.5873533246414602</v>
          </cell>
        </row>
        <row r="66">
          <cell r="C66" t="str">
            <v>Autigny</v>
          </cell>
          <cell r="CM66">
            <v>1.6176470588235294</v>
          </cell>
          <cell r="CR66">
            <v>1.7444933920704846</v>
          </cell>
        </row>
        <row r="67">
          <cell r="C67" t="str">
            <v>Avry</v>
          </cell>
          <cell r="CM67">
            <v>1.546875</v>
          </cell>
          <cell r="CR67">
            <v>2.0238870792616721</v>
          </cell>
        </row>
        <row r="68">
          <cell r="C68" t="str">
            <v>Belfaux</v>
          </cell>
          <cell r="CM68">
            <v>1.3580246913580247</v>
          </cell>
          <cell r="CR68">
            <v>1.8968838526912182</v>
          </cell>
        </row>
        <row r="69">
          <cell r="C69" t="str">
            <v>Chénens</v>
          </cell>
          <cell r="CM69">
            <v>1.9166666666666667</v>
          </cell>
          <cell r="CR69">
            <v>2.4183381088825215</v>
          </cell>
        </row>
        <row r="70">
          <cell r="C70" t="str">
            <v>Corminboeuf</v>
          </cell>
          <cell r="CM70">
            <v>1.7301587301587302</v>
          </cell>
          <cell r="CR70">
            <v>2.4321110009910805</v>
          </cell>
        </row>
        <row r="71">
          <cell r="C71" t="str">
            <v>Cottens (FR)</v>
          </cell>
          <cell r="CM71">
            <v>1.5813953488372092</v>
          </cell>
          <cell r="CR71">
            <v>2.2318181818181819</v>
          </cell>
        </row>
        <row r="72">
          <cell r="C72" t="str">
            <v>Ferpicloz</v>
          </cell>
          <cell r="CM72">
            <v>1.1333333333333333</v>
          </cell>
          <cell r="CR72">
            <v>1.8972602739726028</v>
          </cell>
        </row>
        <row r="73">
          <cell r="C73" t="str">
            <v>Fribourg</v>
          </cell>
          <cell r="CM73">
            <v>1.0869565217391304</v>
          </cell>
          <cell r="CR73">
            <v>1.0655890666593486</v>
          </cell>
        </row>
        <row r="74">
          <cell r="C74" t="str">
            <v>Givisiez</v>
          </cell>
          <cell r="CM74">
            <v>1.9090909090909092</v>
          </cell>
          <cell r="CR74">
            <v>2.7349397590361444</v>
          </cell>
        </row>
        <row r="75">
          <cell r="C75" t="str">
            <v>Granges-Paccot</v>
          </cell>
          <cell r="CM75">
            <v>1.9078947368421053</v>
          </cell>
          <cell r="CR75">
            <v>3.3544186046511628</v>
          </cell>
        </row>
        <row r="76">
          <cell r="C76" t="str">
            <v>Grolley</v>
          </cell>
          <cell r="CM76">
            <v>1.5238095238095237</v>
          </cell>
          <cell r="CR76">
            <v>2.3633049817739975</v>
          </cell>
        </row>
        <row r="77">
          <cell r="C77" t="str">
            <v>Marly</v>
          </cell>
          <cell r="CM77">
            <v>1.4651162790697674</v>
          </cell>
          <cell r="CR77">
            <v>1.550776809397499</v>
          </cell>
        </row>
        <row r="78">
          <cell r="C78" t="str">
            <v>Matran</v>
          </cell>
          <cell r="CM78">
            <v>1.4</v>
          </cell>
          <cell r="CR78">
            <v>2.4410828025477707</v>
          </cell>
        </row>
        <row r="79">
          <cell r="C79" t="str">
            <v>Neyruz (FR)</v>
          </cell>
          <cell r="CM79">
            <v>1.6551724137931034</v>
          </cell>
          <cell r="CR79">
            <v>2.7032392894461861</v>
          </cell>
        </row>
        <row r="80">
          <cell r="C80" t="str">
            <v>Pierrafortscha</v>
          </cell>
          <cell r="CM80">
            <v>1.2068965517241379</v>
          </cell>
          <cell r="CR80">
            <v>0.91925465838509313</v>
          </cell>
        </row>
        <row r="81">
          <cell r="C81" t="str">
            <v>Ponthaux</v>
          </cell>
          <cell r="CM81">
            <v>1.6206896551724137</v>
          </cell>
          <cell r="CR81">
            <v>1.7940446650124069</v>
          </cell>
        </row>
        <row r="82">
          <cell r="C82" t="str">
            <v>Le Mouret</v>
          </cell>
          <cell r="CM82">
            <v>1.5963302752293578</v>
          </cell>
          <cell r="CR82">
            <v>1.7087168381158635</v>
          </cell>
        </row>
        <row r="83">
          <cell r="C83" t="str">
            <v>Treyvaux</v>
          </cell>
          <cell r="CM83">
            <v>1.8372093023255813</v>
          </cell>
          <cell r="CR83">
            <v>1.581877729257642</v>
          </cell>
        </row>
        <row r="84">
          <cell r="C84" t="str">
            <v>Villars-sur-Glâne</v>
          </cell>
          <cell r="CM84">
            <v>1.5153061224489797</v>
          </cell>
          <cell r="CR84">
            <v>1.9650032404406998</v>
          </cell>
        </row>
        <row r="85">
          <cell r="C85" t="str">
            <v>Villarsel-sur-Marly</v>
          </cell>
          <cell r="CM85">
            <v>1.75</v>
          </cell>
          <cell r="CR85">
            <v>1.7555555555555555</v>
          </cell>
        </row>
        <row r="86">
          <cell r="C86" t="str">
            <v>Hauterive (FR)</v>
          </cell>
          <cell r="CM86">
            <v>1.4852941176470589</v>
          </cell>
          <cell r="CR86">
            <v>1.9007036747458952</v>
          </cell>
        </row>
        <row r="87">
          <cell r="C87" t="str">
            <v>La Brillaz</v>
          </cell>
          <cell r="CM87">
            <v>2.0217391304347827</v>
          </cell>
          <cell r="CR87">
            <v>2.2662857142857145</v>
          </cell>
        </row>
        <row r="88">
          <cell r="C88" t="str">
            <v>La Sonnaz</v>
          </cell>
          <cell r="CM88">
            <v>1.6052631578947369</v>
          </cell>
          <cell r="CR88">
            <v>2.3333333333333335</v>
          </cell>
        </row>
        <row r="89">
          <cell r="C89" t="str">
            <v>Gibloux</v>
          </cell>
          <cell r="CM89">
            <v>1.5544554455445545</v>
          </cell>
          <cell r="CR89">
            <v>2.1677651288196524</v>
          </cell>
        </row>
        <row r="90">
          <cell r="C90" t="str">
            <v>Prez</v>
          </cell>
          <cell r="CM90">
            <v>1.641025641025641</v>
          </cell>
          <cell r="CR90">
            <v>1.8504837291116973</v>
          </cell>
        </row>
        <row r="91">
          <cell r="C91" t="str">
            <v>Bois-d'Amont</v>
          </cell>
          <cell r="CM91">
            <v>1.2315789473684211</v>
          </cell>
          <cell r="CR91">
            <v>1.6631178707224334</v>
          </cell>
        </row>
        <row r="92">
          <cell r="C92" t="str">
            <v>Courgevaux</v>
          </cell>
          <cell r="CM92">
            <v>1.903225806451613</v>
          </cell>
          <cell r="CR92">
            <v>2.0346820809248554</v>
          </cell>
        </row>
        <row r="93">
          <cell r="C93" t="str">
            <v>Courtepin</v>
          </cell>
          <cell r="CM93">
            <v>1.8650306748466257</v>
          </cell>
          <cell r="CR93">
            <v>1.7652060170045782</v>
          </cell>
        </row>
        <row r="94">
          <cell r="C94" t="str">
            <v>Cressier (FR)</v>
          </cell>
          <cell r="CM94">
            <v>1.65625</v>
          </cell>
          <cell r="CR94">
            <v>2.1755196304849886</v>
          </cell>
        </row>
        <row r="95">
          <cell r="C95" t="str">
            <v>Fräschels</v>
          </cell>
          <cell r="CM95">
            <v>1.4</v>
          </cell>
          <cell r="CR95">
            <v>1.7011070110701108</v>
          </cell>
        </row>
        <row r="96">
          <cell r="C96" t="str">
            <v>Greng</v>
          </cell>
          <cell r="CM96">
            <v>1.7</v>
          </cell>
          <cell r="CR96">
            <v>3.2407407407407409</v>
          </cell>
        </row>
        <row r="97">
          <cell r="C97" t="str">
            <v>Gurmels</v>
          </cell>
          <cell r="CM97">
            <v>1.8141592920353982</v>
          </cell>
          <cell r="CR97">
            <v>1.9843379212149976</v>
          </cell>
        </row>
        <row r="98">
          <cell r="C98" t="str">
            <v>Kerzers</v>
          </cell>
          <cell r="CM98">
            <v>1.3959731543624161</v>
          </cell>
          <cell r="CR98">
            <v>1.7897230320699709</v>
          </cell>
        </row>
        <row r="99">
          <cell r="C99" t="str">
            <v>Kleinbösingen</v>
          </cell>
          <cell r="CM99">
            <v>1</v>
          </cell>
          <cell r="CR99">
            <v>2.5436507936507935</v>
          </cell>
        </row>
        <row r="100">
          <cell r="C100" t="str">
            <v>Meyriez</v>
          </cell>
          <cell r="CM100">
            <v>1.1481481481481481</v>
          </cell>
          <cell r="CR100">
            <v>1.8354430379746836</v>
          </cell>
        </row>
        <row r="101">
          <cell r="C101" t="str">
            <v>Misery-Courtion</v>
          </cell>
          <cell r="CM101">
            <v>1.564516129032258</v>
          </cell>
          <cell r="CR101">
            <v>2.050483351235231</v>
          </cell>
        </row>
        <row r="102">
          <cell r="C102" t="str">
            <v>Muntelier</v>
          </cell>
          <cell r="CM102">
            <v>1.3548387096774193</v>
          </cell>
          <cell r="CR102">
            <v>1.5936454849498327</v>
          </cell>
        </row>
        <row r="103">
          <cell r="C103" t="str">
            <v>Murten</v>
          </cell>
          <cell r="CM103">
            <v>1.6050420168067228</v>
          </cell>
          <cell r="CR103">
            <v>1.4837420526793823</v>
          </cell>
        </row>
        <row r="104">
          <cell r="C104" t="str">
            <v>Ried bei Kerzers</v>
          </cell>
          <cell r="CM104">
            <v>1.4931506849315068</v>
          </cell>
          <cell r="CR104">
            <v>1.8907014681892333</v>
          </cell>
        </row>
        <row r="105">
          <cell r="C105" t="str">
            <v>Ulmiz</v>
          </cell>
          <cell r="CM105">
            <v>1.25</v>
          </cell>
          <cell r="CR105">
            <v>1.5306859205776173</v>
          </cell>
        </row>
        <row r="106">
          <cell r="C106" t="str">
            <v>Mont-Vully</v>
          </cell>
          <cell r="CM106">
            <v>1.5232558139534884</v>
          </cell>
          <cell r="CR106">
            <v>2.0979351032448377</v>
          </cell>
        </row>
        <row r="107">
          <cell r="C107" t="str">
            <v>Brünisried</v>
          </cell>
          <cell r="CM107">
            <v>1.3809523809523809</v>
          </cell>
          <cell r="CR107">
            <v>1.4760820045558087</v>
          </cell>
        </row>
        <row r="108">
          <cell r="C108" t="str">
            <v>Düdingen</v>
          </cell>
          <cell r="CM108">
            <v>1.2598187311178248</v>
          </cell>
          <cell r="CR108">
            <v>1.337378225944283</v>
          </cell>
        </row>
        <row r="109">
          <cell r="C109" t="str">
            <v>Giffers</v>
          </cell>
          <cell r="CM109">
            <v>1.368421052631579</v>
          </cell>
          <cell r="CR109">
            <v>1.2508012820512822</v>
          </cell>
        </row>
        <row r="110">
          <cell r="C110" t="str">
            <v>Bösingen</v>
          </cell>
          <cell r="CM110">
            <v>1.5257731958762886</v>
          </cell>
          <cell r="CR110">
            <v>1.8934517203107659</v>
          </cell>
        </row>
        <row r="111">
          <cell r="C111" t="str">
            <v>Heitenried</v>
          </cell>
          <cell r="CM111">
            <v>1.48</v>
          </cell>
          <cell r="CR111">
            <v>1.7019950124688279</v>
          </cell>
        </row>
        <row r="112">
          <cell r="C112" t="str">
            <v>Plaffeien</v>
          </cell>
          <cell r="CM112">
            <v>1.5357142857142858</v>
          </cell>
          <cell r="CR112">
            <v>1.4614754098360656</v>
          </cell>
        </row>
        <row r="113">
          <cell r="C113" t="str">
            <v>Plasselb</v>
          </cell>
          <cell r="CM113">
            <v>1.3</v>
          </cell>
          <cell r="CR113">
            <v>1.3524057217165149</v>
          </cell>
        </row>
        <row r="114">
          <cell r="C114" t="str">
            <v>Rechthalten</v>
          </cell>
          <cell r="CM114">
            <v>1.5384615384615385</v>
          </cell>
          <cell r="CR114">
            <v>1.2122587968217935</v>
          </cell>
        </row>
        <row r="115">
          <cell r="C115" t="str">
            <v>St. Silvester</v>
          </cell>
          <cell r="CM115">
            <v>1.3953488372093024</v>
          </cell>
          <cell r="CR115">
            <v>1.2560509554140127</v>
          </cell>
        </row>
        <row r="116">
          <cell r="C116" t="str">
            <v>St. Ursen</v>
          </cell>
          <cell r="CM116">
            <v>1.1938775510204083</v>
          </cell>
          <cell r="CR116">
            <v>1.3203203203203204</v>
          </cell>
        </row>
        <row r="117">
          <cell r="C117" t="str">
            <v>Schmitten (FR)</v>
          </cell>
          <cell r="CM117">
            <v>1.3868613138686132</v>
          </cell>
          <cell r="CR117">
            <v>1.610759493670886</v>
          </cell>
        </row>
        <row r="118">
          <cell r="C118" t="str">
            <v>Tafers</v>
          </cell>
          <cell r="CM118">
            <v>1.4432234432234432</v>
          </cell>
          <cell r="CR118">
            <v>1.3764858841010401</v>
          </cell>
        </row>
        <row r="119">
          <cell r="C119" t="str">
            <v>Tentlingen</v>
          </cell>
          <cell r="CM119">
            <v>1.3555555555555556</v>
          </cell>
          <cell r="CR119">
            <v>1.7734584450402144</v>
          </cell>
        </row>
        <row r="120">
          <cell r="C120" t="str">
            <v>Ueberstorf</v>
          </cell>
          <cell r="CM120">
            <v>1.3125</v>
          </cell>
          <cell r="CR120">
            <v>1.4225865209471766</v>
          </cell>
        </row>
        <row r="121">
          <cell r="C121" t="str">
            <v>Wünnewil-Flamatt</v>
          </cell>
          <cell r="CM121">
            <v>1.2347417840375587</v>
          </cell>
          <cell r="CR121">
            <v>1.4255929111284857</v>
          </cell>
        </row>
        <row r="122">
          <cell r="C122" t="str">
            <v>Attalens</v>
          </cell>
          <cell r="CM122">
            <v>1.8875</v>
          </cell>
          <cell r="CR122">
            <v>2.4510233918128654</v>
          </cell>
        </row>
        <row r="123">
          <cell r="C123" t="str">
            <v>Bossonnens</v>
          </cell>
          <cell r="CM123">
            <v>2.2068965517241379</v>
          </cell>
          <cell r="CR123">
            <v>2.7830188679245285</v>
          </cell>
        </row>
        <row r="124">
          <cell r="C124" t="str">
            <v>Châtel-Saint-Denis</v>
          </cell>
          <cell r="CM124">
            <v>1.3591549295774648</v>
          </cell>
          <cell r="CR124">
            <v>2.0943214629451394</v>
          </cell>
        </row>
        <row r="125">
          <cell r="C125" t="str">
            <v>Granges (Veveyse)</v>
          </cell>
          <cell r="CM125">
            <v>1.5405405405405406</v>
          </cell>
          <cell r="CR125">
            <v>1.8822222222222222</v>
          </cell>
        </row>
        <row r="126">
          <cell r="C126" t="str">
            <v>Remaufens</v>
          </cell>
          <cell r="CM126">
            <v>1.5172413793103448</v>
          </cell>
          <cell r="CR126">
            <v>2.0375234521575987</v>
          </cell>
        </row>
        <row r="127">
          <cell r="C127" t="str">
            <v>Saint-Martin (FR)</v>
          </cell>
          <cell r="CM127">
            <v>1.4523809523809523</v>
          </cell>
          <cell r="CR127">
            <v>1.6666666666666667</v>
          </cell>
        </row>
        <row r="128">
          <cell r="C128" t="str">
            <v>Semsales</v>
          </cell>
          <cell r="CM128">
            <v>1.3333333333333333</v>
          </cell>
          <cell r="CR128">
            <v>1.6724941724941724</v>
          </cell>
        </row>
        <row r="129">
          <cell r="C129" t="str">
            <v>Le Flon</v>
          </cell>
          <cell r="CM129">
            <v>1.7179487179487178</v>
          </cell>
          <cell r="CR129">
            <v>1.8976</v>
          </cell>
        </row>
        <row r="130">
          <cell r="C130" t="str">
            <v>La Verrerie</v>
          </cell>
          <cell r="CM130">
            <v>1.2749999999999999</v>
          </cell>
          <cell r="CR130">
            <v>1.6218487394957983</v>
          </cell>
        </row>
        <row r="131">
          <cell r="C131" t="str">
            <v>Staatswald Galm</v>
          </cell>
          <cell r="CM131" t="e">
            <v>#DIV/0!</v>
          </cell>
          <cell r="CR131" t="e">
            <v>#DIV/0!</v>
          </cell>
        </row>
        <row r="132">
          <cell r="C132" t="str">
            <v>Longirod</v>
          </cell>
          <cell r="CM132">
            <v>1.24</v>
          </cell>
          <cell r="CR132">
            <v>2.2450980392156863</v>
          </cell>
        </row>
        <row r="133">
          <cell r="C133" t="str">
            <v>Marchissy</v>
          </cell>
          <cell r="CM133">
            <v>1.5416666666666667</v>
          </cell>
          <cell r="CR133">
            <v>2.2081218274111674</v>
          </cell>
        </row>
        <row r="134">
          <cell r="C134" t="str">
            <v>Saint-George</v>
          </cell>
          <cell r="CM134">
            <v>1.4905660377358489</v>
          </cell>
          <cell r="CR134">
            <v>2.8670520231213872</v>
          </cell>
        </row>
        <row r="135">
          <cell r="C135" t="str">
            <v>Arnex-sur-Nyon</v>
          </cell>
          <cell r="CM135">
            <v>1.6666666666666667</v>
          </cell>
          <cell r="CR135">
            <v>3.7166666666666668</v>
          </cell>
        </row>
        <row r="136">
          <cell r="C136" t="str">
            <v>Arzier</v>
          </cell>
          <cell r="CM136">
            <v>1.3565891472868217</v>
          </cell>
          <cell r="CR136">
            <v>2.8483206933911158</v>
          </cell>
        </row>
        <row r="137">
          <cell r="C137" t="str">
            <v>Bassins</v>
          </cell>
          <cell r="CM137">
            <v>1.5714285714285714</v>
          </cell>
          <cell r="CR137">
            <v>2.7843551797040167</v>
          </cell>
        </row>
        <row r="138">
          <cell r="C138" t="str">
            <v>Begnins</v>
          </cell>
          <cell r="CM138">
            <v>1.2456140350877194</v>
          </cell>
          <cell r="CR138">
            <v>1.83984375</v>
          </cell>
        </row>
        <row r="139">
          <cell r="C139" t="str">
            <v>Bogis-Bossey</v>
          </cell>
          <cell r="CM139">
            <v>1.4166666666666667</v>
          </cell>
          <cell r="CR139">
            <v>2.5069637883008355</v>
          </cell>
        </row>
        <row r="140">
          <cell r="C140" t="str">
            <v>Borex</v>
          </cell>
          <cell r="CM140">
            <v>1.5714285714285714</v>
          </cell>
          <cell r="CR140">
            <v>1.9529616724738676</v>
          </cell>
        </row>
        <row r="141">
          <cell r="C141" t="str">
            <v>Chavannes-de-Bogis</v>
          </cell>
          <cell r="CM141">
            <v>1.5652173913043479</v>
          </cell>
          <cell r="CR141">
            <v>3.4893048128342246</v>
          </cell>
        </row>
        <row r="142">
          <cell r="C142" t="str">
            <v>Chavannes-des-Bois</v>
          </cell>
          <cell r="CM142">
            <v>1.5263157894736843</v>
          </cell>
          <cell r="CR142">
            <v>4.3027522935779814</v>
          </cell>
        </row>
        <row r="143">
          <cell r="C143" t="str">
            <v>Chéserex</v>
          </cell>
          <cell r="CM143">
            <v>2.5925925925925926</v>
          </cell>
          <cell r="CR143">
            <v>2.5244897959183672</v>
          </cell>
        </row>
        <row r="144">
          <cell r="C144" t="str">
            <v>Coinsins</v>
          </cell>
          <cell r="CM144">
            <v>1.1388888888888888</v>
          </cell>
          <cell r="CR144">
            <v>2.0893617021276594</v>
          </cell>
        </row>
        <row r="145">
          <cell r="C145" t="str">
            <v>Commugny</v>
          </cell>
          <cell r="CM145">
            <v>1.4105263157894736</v>
          </cell>
          <cell r="CR145">
            <v>1.6920311563810666</v>
          </cell>
        </row>
        <row r="146">
          <cell r="C146" t="str">
            <v>Coppet</v>
          </cell>
          <cell r="CM146">
            <v>1.5</v>
          </cell>
          <cell r="CR146">
            <v>1.9571428571428571</v>
          </cell>
        </row>
        <row r="147">
          <cell r="C147" t="str">
            <v>Crans-près-Céligny</v>
          </cell>
          <cell r="CM147">
            <v>1.4065934065934067</v>
          </cell>
          <cell r="CR147">
            <v>1.6136865342163356</v>
          </cell>
        </row>
        <row r="148">
          <cell r="C148" t="str">
            <v>Crassier</v>
          </cell>
          <cell r="CM148">
            <v>1.3125</v>
          </cell>
          <cell r="CR148">
            <v>2.5178197064989516</v>
          </cell>
        </row>
        <row r="149">
          <cell r="C149" t="str">
            <v>Duillier</v>
          </cell>
          <cell r="CM149">
            <v>1.2407407407407407</v>
          </cell>
          <cell r="CR149">
            <v>2.4485125858123569</v>
          </cell>
        </row>
        <row r="150">
          <cell r="C150" t="str">
            <v>Eysins</v>
          </cell>
          <cell r="CM150">
            <v>1.3095238095238095</v>
          </cell>
          <cell r="CR150">
            <v>2.7704918032786887</v>
          </cell>
        </row>
        <row r="151">
          <cell r="C151" t="str">
            <v>Founex</v>
          </cell>
          <cell r="CM151">
            <v>1.4297520661157024</v>
          </cell>
          <cell r="CR151">
            <v>2.5567010309278349</v>
          </cell>
        </row>
        <row r="152">
          <cell r="C152" t="str">
            <v>Genolier</v>
          </cell>
          <cell r="CM152">
            <v>1.5</v>
          </cell>
          <cell r="CR152">
            <v>2.0167189132706373</v>
          </cell>
        </row>
        <row r="153">
          <cell r="C153" t="str">
            <v>Gingins</v>
          </cell>
          <cell r="CM153">
            <v>1.393939393939394</v>
          </cell>
          <cell r="CR153">
            <v>1.6946778711484594</v>
          </cell>
        </row>
        <row r="154">
          <cell r="C154" t="str">
            <v>Givrins</v>
          </cell>
          <cell r="CM154">
            <v>1.2765957446808511</v>
          </cell>
          <cell r="CR154">
            <v>1.871559633027523</v>
          </cell>
        </row>
        <row r="155">
          <cell r="C155" t="str">
            <v>Gland</v>
          </cell>
          <cell r="CM155">
            <v>1.7696078431372548</v>
          </cell>
          <cell r="CR155">
            <v>2.6114124974884469</v>
          </cell>
        </row>
        <row r="156">
          <cell r="C156" t="str">
            <v>Grens</v>
          </cell>
          <cell r="CM156">
            <v>1.7692307692307692</v>
          </cell>
          <cell r="CR156">
            <v>2.0320855614973263</v>
          </cell>
        </row>
        <row r="157">
          <cell r="C157" t="str">
            <v>Mies</v>
          </cell>
          <cell r="CM157">
            <v>1.4712643678160919</v>
          </cell>
          <cell r="CR157">
            <v>2.0505154639175256</v>
          </cell>
        </row>
        <row r="158">
          <cell r="C158" t="str">
            <v>Nyon</v>
          </cell>
          <cell r="CM158">
            <v>1.2491803278688525</v>
          </cell>
          <cell r="CR158">
            <v>1.5553168635875403</v>
          </cell>
        </row>
        <row r="159">
          <cell r="C159" t="str">
            <v>Prangins</v>
          </cell>
          <cell r="CM159">
            <v>1.3888888888888888</v>
          </cell>
          <cell r="CR159">
            <v>1.8805555555555555</v>
          </cell>
        </row>
        <row r="160">
          <cell r="C160" t="str">
            <v>La Rippe</v>
          </cell>
          <cell r="CM160">
            <v>1.5116279069767442</v>
          </cell>
          <cell r="CR160">
            <v>2.8382352941176472</v>
          </cell>
        </row>
        <row r="161">
          <cell r="C161" t="str">
            <v>Saint-Cergue</v>
          </cell>
          <cell r="CM161">
            <v>1.3771929824561404</v>
          </cell>
          <cell r="CR161">
            <v>4.0535714285714288</v>
          </cell>
        </row>
        <row r="162">
          <cell r="C162" t="str">
            <v>Signy-Avenex</v>
          </cell>
          <cell r="CM162">
            <v>1.25</v>
          </cell>
          <cell r="CR162">
            <v>1.7597402597402598</v>
          </cell>
        </row>
        <row r="163">
          <cell r="C163" t="str">
            <v>Tannay</v>
          </cell>
          <cell r="CM163">
            <v>1.5306122448979591</v>
          </cell>
          <cell r="CR163">
            <v>1.8576555023923444</v>
          </cell>
        </row>
        <row r="164">
          <cell r="C164" t="str">
            <v>Trélex</v>
          </cell>
          <cell r="CM164">
            <v>1.2898550724637681</v>
          </cell>
          <cell r="CR164">
            <v>1.8828125</v>
          </cell>
        </row>
        <row r="165">
          <cell r="C165" t="str">
            <v>Le Vaud</v>
          </cell>
          <cell r="CM165">
            <v>1.3877551020408163</v>
          </cell>
          <cell r="CR165">
            <v>2.3126142595978063</v>
          </cell>
        </row>
        <row r="166">
          <cell r="C166" t="str">
            <v>Vich</v>
          </cell>
          <cell r="CM166">
            <v>1.5333333333333334</v>
          </cell>
          <cell r="CR166">
            <v>2.978723404255319</v>
          </cell>
        </row>
        <row r="167">
          <cell r="C167" t="str">
            <v>Bursinel</v>
          </cell>
          <cell r="CM167">
            <v>1.8</v>
          </cell>
          <cell r="CR167">
            <v>2.6467391304347827</v>
          </cell>
        </row>
        <row r="168">
          <cell r="C168" t="str">
            <v>Bursins</v>
          </cell>
          <cell r="CM168">
            <v>1.3142857142857143</v>
          </cell>
          <cell r="CR168">
            <v>2.1942857142857144</v>
          </cell>
        </row>
        <row r="169">
          <cell r="C169" t="str">
            <v>Burtigny</v>
          </cell>
          <cell r="CM169">
            <v>1.3846153846153846</v>
          </cell>
          <cell r="CR169">
            <v>1.2294520547945205</v>
          </cell>
        </row>
        <row r="170">
          <cell r="C170" t="str">
            <v>Dully</v>
          </cell>
          <cell r="CM170">
            <v>1.65625</v>
          </cell>
          <cell r="CR170">
            <v>2.4258555133079849</v>
          </cell>
        </row>
        <row r="171">
          <cell r="C171" t="str">
            <v>Essertines-sur-Rolle</v>
          </cell>
          <cell r="CM171">
            <v>1.9666666666666666</v>
          </cell>
          <cell r="CR171">
            <v>2.3166666666666669</v>
          </cell>
        </row>
        <row r="172">
          <cell r="C172" t="str">
            <v>Gilly</v>
          </cell>
          <cell r="CM172">
            <v>1.1857142857142857</v>
          </cell>
          <cell r="CR172">
            <v>2.1666666666666665</v>
          </cell>
        </row>
        <row r="173">
          <cell r="C173" t="str">
            <v>Luins</v>
          </cell>
          <cell r="CM173">
            <v>1.4074074074074074</v>
          </cell>
          <cell r="CR173">
            <v>2.9856459330143541</v>
          </cell>
        </row>
        <row r="174">
          <cell r="C174" t="str">
            <v>Mont-sur-Rolle</v>
          </cell>
          <cell r="CM174">
            <v>1.8983050847457628</v>
          </cell>
          <cell r="CR174">
            <v>2.2611251049538201</v>
          </cell>
        </row>
        <row r="175">
          <cell r="C175" t="str">
            <v>Perroy</v>
          </cell>
          <cell r="CM175">
            <v>1.28</v>
          </cell>
          <cell r="CR175">
            <v>1.8898963730569949</v>
          </cell>
        </row>
        <row r="176">
          <cell r="C176" t="str">
            <v>Rolle</v>
          </cell>
          <cell r="CM176">
            <v>1.2905405405405406</v>
          </cell>
          <cell r="CR176">
            <v>1.8248520710059171</v>
          </cell>
        </row>
        <row r="177">
          <cell r="C177" t="str">
            <v>Tartegnin</v>
          </cell>
          <cell r="CM177">
            <v>1.1428571428571428</v>
          </cell>
          <cell r="CR177">
            <v>1.6857142857142857</v>
          </cell>
        </row>
        <row r="178">
          <cell r="C178" t="str">
            <v>Vinzel</v>
          </cell>
          <cell r="CM178">
            <v>1.7777777777777777</v>
          </cell>
          <cell r="CR178">
            <v>2.1863354037267082</v>
          </cell>
        </row>
        <row r="179">
          <cell r="C179" t="str">
            <v>Aire-la-Ville</v>
          </cell>
          <cell r="CM179">
            <v>1.173913043478261</v>
          </cell>
          <cell r="CR179">
            <v>2.6552511415525113</v>
          </cell>
        </row>
        <row r="180">
          <cell r="C180" t="str">
            <v>Anières</v>
          </cell>
          <cell r="CM180">
            <v>1.1296296296296295</v>
          </cell>
          <cell r="CR180">
            <v>1.8815987933634992</v>
          </cell>
        </row>
        <row r="181">
          <cell r="C181" t="str">
            <v>Avully</v>
          </cell>
          <cell r="CM181">
            <v>1.0441176470588236</v>
          </cell>
          <cell r="CR181">
            <v>0.96758241758241759</v>
          </cell>
        </row>
        <row r="182">
          <cell r="C182" t="str">
            <v>Avusy</v>
          </cell>
          <cell r="CM182">
            <v>1.5176470588235293</v>
          </cell>
          <cell r="CR182">
            <v>2.655954631379962</v>
          </cell>
        </row>
        <row r="183">
          <cell r="C183" t="str">
            <v>Bardonnex</v>
          </cell>
          <cell r="CM183">
            <v>1.3870967741935485</v>
          </cell>
          <cell r="CR183">
            <v>1.4148802017654476</v>
          </cell>
        </row>
        <row r="184">
          <cell r="C184" t="str">
            <v>Bellevue</v>
          </cell>
          <cell r="CM184">
            <v>1.3630136986301369</v>
          </cell>
          <cell r="CR184">
            <v>3.0857142857142859</v>
          </cell>
        </row>
        <row r="185">
          <cell r="C185" t="str">
            <v>Bernex</v>
          </cell>
          <cell r="CM185">
            <v>1.4195121951219511</v>
          </cell>
          <cell r="CR185">
            <v>1.1827387260096549</v>
          </cell>
        </row>
        <row r="186">
          <cell r="C186" t="str">
            <v>Carouge</v>
          </cell>
          <cell r="CM186">
            <v>1.1032863849765258</v>
          </cell>
          <cell r="CR186">
            <v>1.6881272193916936</v>
          </cell>
        </row>
        <row r="187">
          <cell r="C187" t="str">
            <v>Cartigny</v>
          </cell>
          <cell r="CM187">
            <v>0.94444444444444442</v>
          </cell>
          <cell r="CR187">
            <v>1.7633136094674555</v>
          </cell>
        </row>
        <row r="188">
          <cell r="C188" t="str">
            <v>Céligny</v>
          </cell>
          <cell r="CM188">
            <v>1.328125</v>
          </cell>
          <cell r="CR188">
            <v>1.3049403747870527</v>
          </cell>
        </row>
        <row r="189">
          <cell r="C189" t="str">
            <v>Chancy</v>
          </cell>
          <cell r="CM189">
            <v>1.4130434782608696</v>
          </cell>
          <cell r="CR189">
            <v>3.0109689213893969</v>
          </cell>
        </row>
        <row r="190">
          <cell r="C190" t="str">
            <v>Chêne-Bougeries</v>
          </cell>
          <cell r="CM190">
            <v>1.0953846153846154</v>
          </cell>
          <cell r="CR190">
            <v>1.2421883446859119</v>
          </cell>
        </row>
        <row r="191">
          <cell r="C191" t="str">
            <v>Chêne-Bourg</v>
          </cell>
          <cell r="CM191">
            <v>1.1414141414141414</v>
          </cell>
          <cell r="CR191">
            <v>1.5300321773328567</v>
          </cell>
        </row>
        <row r="192">
          <cell r="C192" t="str">
            <v>Choulex</v>
          </cell>
          <cell r="CM192">
            <v>1.4230769230769231</v>
          </cell>
          <cell r="CR192">
            <v>1.5400552486187846</v>
          </cell>
        </row>
        <row r="193">
          <cell r="C193" t="str">
            <v>Collex-Bossy</v>
          </cell>
          <cell r="CM193">
            <v>1.5918367346938775</v>
          </cell>
          <cell r="CR193">
            <v>2.9627659574468086</v>
          </cell>
        </row>
        <row r="194">
          <cell r="C194" t="str">
            <v>Collonge-Bellerive</v>
          </cell>
          <cell r="CM194">
            <v>1.27</v>
          </cell>
          <cell r="CR194">
            <v>1.6926143516575745</v>
          </cell>
        </row>
        <row r="195">
          <cell r="C195" t="str">
            <v>Cologny</v>
          </cell>
          <cell r="CM195">
            <v>1.1865079365079365</v>
          </cell>
          <cell r="CR195">
            <v>1.5496594778660613</v>
          </cell>
        </row>
        <row r="196">
          <cell r="C196" t="str">
            <v>Confignon</v>
          </cell>
          <cell r="CM196">
            <v>1.4597701149425288</v>
          </cell>
          <cell r="CR196">
            <v>2.1245947197776749</v>
          </cell>
        </row>
        <row r="197">
          <cell r="C197" t="str">
            <v>Corsier</v>
          </cell>
          <cell r="CM197">
            <v>1.3580246913580247</v>
          </cell>
          <cell r="CR197">
            <v>1.4188811188811188</v>
          </cell>
        </row>
        <row r="198">
          <cell r="C198" t="str">
            <v>Dardagny</v>
          </cell>
          <cell r="CM198">
            <v>1.2352941176470589</v>
          </cell>
          <cell r="CR198">
            <v>2.5938864628820961</v>
          </cell>
        </row>
        <row r="199">
          <cell r="C199" t="str">
            <v>Genève (Ville)</v>
          </cell>
          <cell r="CM199">
            <v>1.0152460152460152</v>
          </cell>
          <cell r="CR199">
            <v>1.2559743981417191</v>
          </cell>
        </row>
        <row r="200">
          <cell r="C200" t="str">
            <v>Genthod</v>
          </cell>
          <cell r="CM200">
            <v>1.2857142857142858</v>
          </cell>
          <cell r="CR200">
            <v>2.1492890995260665</v>
          </cell>
        </row>
        <row r="201">
          <cell r="C201" t="str">
            <v>Grand-Saconnex</v>
          </cell>
          <cell r="CM201">
            <v>1.3529411764705883</v>
          </cell>
          <cell r="CR201">
            <v>1.8770402611534276</v>
          </cell>
        </row>
        <row r="202">
          <cell r="C202" t="str">
            <v>Gy</v>
          </cell>
          <cell r="CM202">
            <v>1.4</v>
          </cell>
          <cell r="CR202">
            <v>2.3793103448275863</v>
          </cell>
        </row>
        <row r="203">
          <cell r="C203" t="str">
            <v>Hermance</v>
          </cell>
          <cell r="CM203">
            <v>1.4193548387096775</v>
          </cell>
          <cell r="CR203">
            <v>1.6788079470198676</v>
          </cell>
        </row>
        <row r="204">
          <cell r="C204" t="str">
            <v>Jussy</v>
          </cell>
          <cell r="CM204">
            <v>1.4189189189189189</v>
          </cell>
          <cell r="CR204">
            <v>1.4783625730994152</v>
          </cell>
        </row>
        <row r="205">
          <cell r="C205" t="str">
            <v>Laconnex</v>
          </cell>
          <cell r="CM205">
            <v>0.97959183673469385</v>
          </cell>
          <cell r="CR205">
            <v>1.4630872483221478</v>
          </cell>
        </row>
        <row r="206">
          <cell r="C206" t="str">
            <v>Lancy</v>
          </cell>
          <cell r="CM206">
            <v>1.0909090909090908</v>
          </cell>
          <cell r="CR206">
            <v>1.3440736967227034</v>
          </cell>
        </row>
        <row r="207">
          <cell r="C207" t="str">
            <v>Meinier</v>
          </cell>
          <cell r="CM207">
            <v>1.25</v>
          </cell>
          <cell r="CR207">
            <v>1.521985815602837</v>
          </cell>
        </row>
        <row r="208">
          <cell r="C208" t="str">
            <v>Meyrin</v>
          </cell>
          <cell r="CM208">
            <v>1.2455795677799608</v>
          </cell>
          <cell r="CR208">
            <v>1.1733197556008146</v>
          </cell>
        </row>
        <row r="209">
          <cell r="C209" t="str">
            <v>Onex</v>
          </cell>
          <cell r="CM209">
            <v>1.1458333333333333</v>
          </cell>
          <cell r="CR209">
            <v>1.1048183578848525</v>
          </cell>
        </row>
        <row r="210">
          <cell r="C210" t="str">
            <v>Perly-Certoux</v>
          </cell>
          <cell r="CM210">
            <v>1.2586206896551724</v>
          </cell>
          <cell r="CR210">
            <v>1.3136659436008677</v>
          </cell>
        </row>
        <row r="211">
          <cell r="C211" t="str">
            <v>Plan-les-Ouates</v>
          </cell>
          <cell r="CM211">
            <v>1.6735751295336787</v>
          </cell>
          <cell r="CR211">
            <v>2.7811102341489082</v>
          </cell>
        </row>
        <row r="212">
          <cell r="C212" t="str">
            <v>Pregny-Chambésy</v>
          </cell>
          <cell r="CM212">
            <v>1.268041237113402</v>
          </cell>
          <cell r="CR212">
            <v>1.8662075750122971</v>
          </cell>
        </row>
        <row r="213">
          <cell r="C213" t="str">
            <v>Presinge</v>
          </cell>
          <cell r="CM213">
            <v>1.3673469387755102</v>
          </cell>
          <cell r="CR213">
            <v>1.5128205128205128</v>
          </cell>
        </row>
        <row r="214">
          <cell r="C214" t="str">
            <v>Puplinge</v>
          </cell>
          <cell r="CM214">
            <v>1.4705882352941178</v>
          </cell>
          <cell r="CR214">
            <v>1.3151991026360068</v>
          </cell>
        </row>
        <row r="215">
          <cell r="C215" t="str">
            <v>Russin</v>
          </cell>
          <cell r="CM215">
            <v>0.47115384615384615</v>
          </cell>
          <cell r="CR215">
            <v>1.5384615384615385</v>
          </cell>
        </row>
        <row r="216">
          <cell r="C216" t="str">
            <v>Satigny</v>
          </cell>
          <cell r="CM216">
            <v>1.3310810810810811</v>
          </cell>
          <cell r="CR216">
            <v>2.2221018418201517</v>
          </cell>
        </row>
        <row r="217">
          <cell r="C217" t="str">
            <v>Soral</v>
          </cell>
          <cell r="CM217">
            <v>1.9130434782608696</v>
          </cell>
          <cell r="CR217">
            <v>1.6710239651416121</v>
          </cell>
        </row>
        <row r="218">
          <cell r="C218" t="str">
            <v>Thônex</v>
          </cell>
          <cell r="CM218">
            <v>1.1735537190082646</v>
          </cell>
          <cell r="CR218">
            <v>1.4749681798896903</v>
          </cell>
        </row>
        <row r="219">
          <cell r="C219" t="str">
            <v>Troinex</v>
          </cell>
          <cell r="CM219">
            <v>1.2531645569620253</v>
          </cell>
          <cell r="CR219">
            <v>1.9386189258312021</v>
          </cell>
        </row>
        <row r="220">
          <cell r="C220" t="str">
            <v>Vandoeuvres</v>
          </cell>
          <cell r="CM220">
            <v>1.2572815533980584</v>
          </cell>
          <cell r="CR220">
            <v>1.420281690140845</v>
          </cell>
        </row>
        <row r="221">
          <cell r="C221" t="str">
            <v>Vernier</v>
          </cell>
          <cell r="CM221">
            <v>1.1707317073170731</v>
          </cell>
          <cell r="CR221">
            <v>1.2606940790659122</v>
          </cell>
        </row>
        <row r="222">
          <cell r="C222" t="str">
            <v>Versoix</v>
          </cell>
          <cell r="CM222">
            <v>1.1946308724832215</v>
          </cell>
          <cell r="CR222">
            <v>1.6761989118056435</v>
          </cell>
        </row>
        <row r="223">
          <cell r="C223" t="str">
            <v>Veyrier</v>
          </cell>
          <cell r="CM223">
            <v>1.2961538461538462</v>
          </cell>
          <cell r="CR223">
            <v>1.824292266329274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istique.ge.ch/atlas/index.ph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C:\Users\DaoHy\AppData\Roaming\Microsoft\Excel\_TRACES%20-%20statistical%20data%20(version%201).xlsb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B23E-9515-4A3D-898C-76CE636F17D8}">
  <dimension ref="A1:D138"/>
  <sheetViews>
    <sheetView workbookViewId="0">
      <pane xSplit="2" ySplit="1" topLeftCell="C98" activePane="bottomRight" state="frozen"/>
      <selection activeCell="EJ4" sqref="EJ4"/>
      <selection pane="topRight" activeCell="EJ4" sqref="EJ4"/>
      <selection pane="bottomLeft" activeCell="EJ4" sqref="EJ4"/>
      <selection pane="bottomRight" activeCell="C116" sqref="C116"/>
    </sheetView>
  </sheetViews>
  <sheetFormatPr baseColWidth="10" defaultRowHeight="14.4" x14ac:dyDescent="0.3"/>
  <cols>
    <col min="2" max="2" width="20" bestFit="1" customWidth="1"/>
    <col min="3" max="3" width="111.5546875" bestFit="1" customWidth="1"/>
    <col min="4" max="4" width="126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 t="s">
        <v>4</v>
      </c>
      <c r="C2" t="s">
        <v>5</v>
      </c>
    </row>
    <row r="3" spans="1:4" x14ac:dyDescent="0.3">
      <c r="A3">
        <v>1</v>
      </c>
      <c r="B3" t="s">
        <v>6</v>
      </c>
      <c r="C3" t="s">
        <v>7</v>
      </c>
    </row>
    <row r="4" spans="1:4" x14ac:dyDescent="0.3">
      <c r="A4">
        <v>2</v>
      </c>
      <c r="B4" t="s">
        <v>8</v>
      </c>
      <c r="C4" t="s">
        <v>9</v>
      </c>
    </row>
    <row r="5" spans="1:4" x14ac:dyDescent="0.3">
      <c r="A5">
        <v>3</v>
      </c>
      <c r="B5" t="s">
        <v>10</v>
      </c>
      <c r="C5" t="s">
        <v>11</v>
      </c>
    </row>
    <row r="6" spans="1:4" x14ac:dyDescent="0.3">
      <c r="A6">
        <v>4</v>
      </c>
      <c r="B6" t="s">
        <v>12</v>
      </c>
      <c r="C6" t="s">
        <v>13</v>
      </c>
    </row>
    <row r="7" spans="1:4" x14ac:dyDescent="0.3">
      <c r="A7">
        <v>5</v>
      </c>
      <c r="B7" t="s">
        <v>14</v>
      </c>
      <c r="C7" t="s">
        <v>15</v>
      </c>
    </row>
    <row r="8" spans="1:4" x14ac:dyDescent="0.3">
      <c r="A8">
        <v>6</v>
      </c>
      <c r="B8" t="s">
        <v>16</v>
      </c>
      <c r="C8" t="s">
        <v>17</v>
      </c>
    </row>
    <row r="9" spans="1:4" x14ac:dyDescent="0.3">
      <c r="A9">
        <v>7</v>
      </c>
      <c r="B9" t="s">
        <v>18</v>
      </c>
      <c r="C9" t="s">
        <v>19</v>
      </c>
      <c r="D9" t="s">
        <v>20</v>
      </c>
    </row>
    <row r="10" spans="1:4" x14ac:dyDescent="0.3">
      <c r="A10">
        <v>8</v>
      </c>
      <c r="B10" t="s">
        <v>21</v>
      </c>
      <c r="C10" t="s">
        <v>22</v>
      </c>
      <c r="D10" t="s">
        <v>23</v>
      </c>
    </row>
    <row r="11" spans="1:4" x14ac:dyDescent="0.3">
      <c r="A11">
        <v>9</v>
      </c>
      <c r="B11" t="s">
        <v>24</v>
      </c>
      <c r="C11" t="s">
        <v>25</v>
      </c>
      <c r="D11" t="s">
        <v>26</v>
      </c>
    </row>
    <row r="12" spans="1:4" x14ac:dyDescent="0.3">
      <c r="A12">
        <v>10</v>
      </c>
      <c r="B12" t="s">
        <v>27</v>
      </c>
      <c r="C12" t="s">
        <v>28</v>
      </c>
      <c r="D12" t="s">
        <v>29</v>
      </c>
    </row>
    <row r="13" spans="1:4" x14ac:dyDescent="0.3">
      <c r="A13">
        <v>11</v>
      </c>
      <c r="B13" t="s">
        <v>30</v>
      </c>
      <c r="C13" t="s">
        <v>31</v>
      </c>
      <c r="D13" t="s">
        <v>29</v>
      </c>
    </row>
    <row r="14" spans="1:4" x14ac:dyDescent="0.3">
      <c r="A14">
        <v>12</v>
      </c>
      <c r="B14" t="s">
        <v>32</v>
      </c>
      <c r="C14" t="s">
        <v>33</v>
      </c>
      <c r="D14" t="s">
        <v>29</v>
      </c>
    </row>
    <row r="15" spans="1:4" x14ac:dyDescent="0.3">
      <c r="A15">
        <v>13</v>
      </c>
      <c r="B15" t="s">
        <v>34</v>
      </c>
      <c r="C15" t="s">
        <v>35</v>
      </c>
      <c r="D15" t="s">
        <v>29</v>
      </c>
    </row>
    <row r="16" spans="1:4" x14ac:dyDescent="0.3">
      <c r="A16">
        <v>14</v>
      </c>
      <c r="B16" t="s">
        <v>36</v>
      </c>
      <c r="C16" t="s">
        <v>37</v>
      </c>
      <c r="D16" t="s">
        <v>29</v>
      </c>
    </row>
    <row r="17" spans="1:4" x14ac:dyDescent="0.3">
      <c r="A17">
        <v>15</v>
      </c>
      <c r="B17" t="s">
        <v>38</v>
      </c>
      <c r="C17" t="s">
        <v>39</v>
      </c>
      <c r="D17" t="s">
        <v>29</v>
      </c>
    </row>
    <row r="18" spans="1:4" x14ac:dyDescent="0.3">
      <c r="A18">
        <v>16</v>
      </c>
      <c r="B18" t="s">
        <v>40</v>
      </c>
      <c r="C18" t="s">
        <v>41</v>
      </c>
      <c r="D18" t="s">
        <v>29</v>
      </c>
    </row>
    <row r="19" spans="1:4" x14ac:dyDescent="0.3">
      <c r="A19">
        <v>17</v>
      </c>
      <c r="B19" t="s">
        <v>42</v>
      </c>
      <c r="C19" t="s">
        <v>43</v>
      </c>
      <c r="D19" t="s">
        <v>29</v>
      </c>
    </row>
    <row r="20" spans="1:4" x14ac:dyDescent="0.3">
      <c r="A20">
        <v>18</v>
      </c>
      <c r="B20" t="s">
        <v>44</v>
      </c>
      <c r="C20" t="s">
        <v>45</v>
      </c>
      <c r="D20" t="s">
        <v>46</v>
      </c>
    </row>
    <row r="21" spans="1:4" x14ac:dyDescent="0.3">
      <c r="A21">
        <v>19</v>
      </c>
      <c r="B21" t="s">
        <v>47</v>
      </c>
      <c r="C21" t="s">
        <v>48</v>
      </c>
      <c r="D21" t="s">
        <v>46</v>
      </c>
    </row>
    <row r="22" spans="1:4" x14ac:dyDescent="0.3">
      <c r="A22">
        <v>20</v>
      </c>
      <c r="B22" t="s">
        <v>49</v>
      </c>
      <c r="C22" t="s">
        <v>50</v>
      </c>
      <c r="D22" t="s">
        <v>46</v>
      </c>
    </row>
    <row r="23" spans="1:4" x14ac:dyDescent="0.3">
      <c r="A23">
        <v>21</v>
      </c>
      <c r="B23" t="s">
        <v>51</v>
      </c>
      <c r="C23" t="s">
        <v>52</v>
      </c>
      <c r="D23" t="s">
        <v>46</v>
      </c>
    </row>
    <row r="24" spans="1:4" x14ac:dyDescent="0.3">
      <c r="A24">
        <v>22</v>
      </c>
      <c r="B24" t="s">
        <v>53</v>
      </c>
      <c r="C24" t="s">
        <v>54</v>
      </c>
      <c r="D24" t="s">
        <v>46</v>
      </c>
    </row>
    <row r="25" spans="1:4" x14ac:dyDescent="0.3">
      <c r="A25">
        <v>23</v>
      </c>
      <c r="B25" t="s">
        <v>55</v>
      </c>
      <c r="C25" t="s">
        <v>56</v>
      </c>
      <c r="D25" t="s">
        <v>46</v>
      </c>
    </row>
    <row r="26" spans="1:4" x14ac:dyDescent="0.3">
      <c r="A26">
        <v>24</v>
      </c>
      <c r="B26" t="s">
        <v>57</v>
      </c>
      <c r="C26" t="s">
        <v>58</v>
      </c>
      <c r="D26" t="s">
        <v>46</v>
      </c>
    </row>
    <row r="27" spans="1:4" x14ac:dyDescent="0.3">
      <c r="A27">
        <v>25</v>
      </c>
      <c r="B27" t="s">
        <v>59</v>
      </c>
      <c r="C27" t="s">
        <v>60</v>
      </c>
      <c r="D27" t="s">
        <v>61</v>
      </c>
    </row>
    <row r="28" spans="1:4" x14ac:dyDescent="0.3">
      <c r="A28">
        <v>26</v>
      </c>
      <c r="B28" t="s">
        <v>62</v>
      </c>
      <c r="C28" t="s">
        <v>63</v>
      </c>
      <c r="D28" t="s">
        <v>61</v>
      </c>
    </row>
    <row r="29" spans="1:4" x14ac:dyDescent="0.3">
      <c r="A29">
        <v>27</v>
      </c>
      <c r="B29" t="s">
        <v>64</v>
      </c>
      <c r="C29" t="s">
        <v>65</v>
      </c>
      <c r="D29" t="s">
        <v>61</v>
      </c>
    </row>
    <row r="30" spans="1:4" x14ac:dyDescent="0.3">
      <c r="A30">
        <v>28</v>
      </c>
      <c r="B30" t="s">
        <v>66</v>
      </c>
      <c r="C30" t="s">
        <v>67</v>
      </c>
      <c r="D30" t="s">
        <v>61</v>
      </c>
    </row>
    <row r="31" spans="1:4" x14ac:dyDescent="0.3">
      <c r="A31">
        <v>29</v>
      </c>
      <c r="B31" t="s">
        <v>68</v>
      </c>
      <c r="C31" t="s">
        <v>69</v>
      </c>
      <c r="D31" t="s">
        <v>61</v>
      </c>
    </row>
    <row r="32" spans="1:4" x14ac:dyDescent="0.3">
      <c r="A32">
        <v>30</v>
      </c>
      <c r="B32" t="s">
        <v>70</v>
      </c>
      <c r="C32" t="s">
        <v>71</v>
      </c>
      <c r="D32" t="s">
        <v>61</v>
      </c>
    </row>
    <row r="33" spans="1:4" x14ac:dyDescent="0.3">
      <c r="A33">
        <v>31</v>
      </c>
      <c r="B33" t="s">
        <v>72</v>
      </c>
      <c r="C33" t="s">
        <v>73</v>
      </c>
      <c r="D33" t="s">
        <v>61</v>
      </c>
    </row>
    <row r="34" spans="1:4" x14ac:dyDescent="0.3">
      <c r="A34">
        <v>32</v>
      </c>
      <c r="B34" t="s">
        <v>74</v>
      </c>
      <c r="C34" t="s">
        <v>75</v>
      </c>
      <c r="D34" t="s">
        <v>61</v>
      </c>
    </row>
    <row r="35" spans="1:4" x14ac:dyDescent="0.3">
      <c r="A35">
        <v>33</v>
      </c>
      <c r="B35" t="s">
        <v>76</v>
      </c>
      <c r="C35" t="s">
        <v>77</v>
      </c>
      <c r="D35" t="s">
        <v>61</v>
      </c>
    </row>
    <row r="36" spans="1:4" x14ac:dyDescent="0.3">
      <c r="A36">
        <v>34</v>
      </c>
      <c r="B36" t="s">
        <v>78</v>
      </c>
      <c r="C36" t="s">
        <v>79</v>
      </c>
      <c r="D36" t="s">
        <v>61</v>
      </c>
    </row>
    <row r="37" spans="1:4" x14ac:dyDescent="0.3">
      <c r="A37">
        <v>35</v>
      </c>
      <c r="B37" t="s">
        <v>80</v>
      </c>
      <c r="C37" t="s">
        <v>81</v>
      </c>
      <c r="D37" t="s">
        <v>61</v>
      </c>
    </row>
    <row r="38" spans="1:4" x14ac:dyDescent="0.3">
      <c r="A38">
        <v>36</v>
      </c>
      <c r="B38" t="s">
        <v>82</v>
      </c>
      <c r="C38" t="s">
        <v>83</v>
      </c>
      <c r="D38" t="s">
        <v>61</v>
      </c>
    </row>
    <row r="39" spans="1:4" x14ac:dyDescent="0.3">
      <c r="A39">
        <v>37</v>
      </c>
      <c r="B39" t="s">
        <v>84</v>
      </c>
      <c r="C39" t="s">
        <v>85</v>
      </c>
      <c r="D39" t="s">
        <v>61</v>
      </c>
    </row>
    <row r="40" spans="1:4" x14ac:dyDescent="0.3">
      <c r="A40">
        <v>38</v>
      </c>
      <c r="B40" t="s">
        <v>86</v>
      </c>
      <c r="C40" t="s">
        <v>87</v>
      </c>
      <c r="D40" t="s">
        <v>61</v>
      </c>
    </row>
    <row r="41" spans="1:4" x14ac:dyDescent="0.3">
      <c r="A41">
        <v>39</v>
      </c>
      <c r="B41" t="s">
        <v>88</v>
      </c>
      <c r="C41" t="s">
        <v>89</v>
      </c>
      <c r="D41" t="s">
        <v>61</v>
      </c>
    </row>
    <row r="42" spans="1:4" x14ac:dyDescent="0.3">
      <c r="A42">
        <v>40</v>
      </c>
      <c r="B42" t="s">
        <v>90</v>
      </c>
      <c r="C42" t="s">
        <v>91</v>
      </c>
      <c r="D42" t="s">
        <v>61</v>
      </c>
    </row>
    <row r="43" spans="1:4" x14ac:dyDescent="0.3">
      <c r="A43">
        <v>41</v>
      </c>
      <c r="B43" t="s">
        <v>92</v>
      </c>
      <c r="C43" t="s">
        <v>93</v>
      </c>
      <c r="D43" t="s">
        <v>61</v>
      </c>
    </row>
    <row r="44" spans="1:4" x14ac:dyDescent="0.3">
      <c r="A44">
        <v>42</v>
      </c>
      <c r="B44" t="s">
        <v>94</v>
      </c>
      <c r="C44" t="s">
        <v>54</v>
      </c>
      <c r="D44" s="2" t="s">
        <v>95</v>
      </c>
    </row>
    <row r="45" spans="1:4" x14ac:dyDescent="0.3">
      <c r="A45">
        <v>43</v>
      </c>
      <c r="B45" t="s">
        <v>96</v>
      </c>
      <c r="C45" t="s">
        <v>97</v>
      </c>
      <c r="D45" t="s">
        <v>98</v>
      </c>
    </row>
    <row r="46" spans="1:4" x14ac:dyDescent="0.3">
      <c r="A46">
        <v>44</v>
      </c>
      <c r="B46" t="s">
        <v>99</v>
      </c>
      <c r="C46" t="str">
        <f>"Population change "&amp;MID(B46,10,4)&amp;"-"&amp;MID(B46,15,4)&amp;", % per year"</f>
        <v>Population change 1982-1990, % per year</v>
      </c>
      <c r="D46" t="str">
        <f>"calculated: ([pop"&amp;MID(B46,15,4)&amp;"]-[pop"&amp;MID(B46,10,4)&amp;"])/[pop1982]/("&amp;MID(B46,15,4)&amp;"-"&amp;MID(B46,10,4)&amp;")*100"</f>
        <v>calculated: ([pop1990]-[pop1982])/[pop1982]/(1990-1982)*100</v>
      </c>
    </row>
    <row r="47" spans="1:4" x14ac:dyDescent="0.3">
      <c r="A47">
        <v>45</v>
      </c>
      <c r="B47" t="s">
        <v>100</v>
      </c>
      <c r="C47" t="str">
        <f t="shared" ref="C47:C52" si="0">"Population change "&amp;MID(B47,10,4)&amp;"-"&amp;MID(B47,15,4)&amp;", % per year"</f>
        <v>Population change 1990-1999, % per year</v>
      </c>
      <c r="D47" t="str">
        <f t="shared" ref="D47:D52" si="1">"calculated: ([pop"&amp;MID(B47,15,4)&amp;"]-[pop"&amp;MID(B47,10,4)&amp;"])/[pop1982]/("&amp;MID(B47,15,4)&amp;"-"&amp;MID(B47,10,4)&amp;")*100"</f>
        <v>calculated: ([pop1999]-[pop1990])/[pop1982]/(1999-1990)*100</v>
      </c>
    </row>
    <row r="48" spans="1:4" x14ac:dyDescent="0.3">
      <c r="A48">
        <v>46</v>
      </c>
      <c r="B48" t="s">
        <v>101</v>
      </c>
      <c r="C48" t="str">
        <f t="shared" si="0"/>
        <v>Population change 1999-2009, % per year</v>
      </c>
      <c r="D48" t="str">
        <f t="shared" si="1"/>
        <v>calculated: ([pop2009]-[pop1999])/[pop1982]/(2009-1999)*100</v>
      </c>
    </row>
    <row r="49" spans="1:4" x14ac:dyDescent="0.3">
      <c r="A49">
        <v>47</v>
      </c>
      <c r="B49" t="s">
        <v>102</v>
      </c>
      <c r="C49" t="str">
        <f t="shared" si="0"/>
        <v>Population change 2009-2019, % per year</v>
      </c>
      <c r="D49" t="str">
        <f t="shared" si="1"/>
        <v>calculated: ([pop2019]-[pop2009])/[pop1982]/(2019-2009)*100</v>
      </c>
    </row>
    <row r="50" spans="1:4" x14ac:dyDescent="0.3">
      <c r="A50">
        <v>48</v>
      </c>
      <c r="B50" t="s">
        <v>103</v>
      </c>
      <c r="C50" t="str">
        <f t="shared" si="0"/>
        <v>Population change 1982-1999, % per year</v>
      </c>
      <c r="D50" t="str">
        <f t="shared" si="1"/>
        <v>calculated: ([pop1999]-[pop1982])/[pop1982]/(1999-1982)*100</v>
      </c>
    </row>
    <row r="51" spans="1:4" x14ac:dyDescent="0.3">
      <c r="A51">
        <v>49</v>
      </c>
      <c r="B51" t="s">
        <v>104</v>
      </c>
      <c r="C51" t="str">
        <f t="shared" si="0"/>
        <v>Population change 1999-2019, % per year</v>
      </c>
      <c r="D51" t="str">
        <f t="shared" si="1"/>
        <v>calculated: ([pop2019]-[pop1999])/[pop1982]/(2019-1999)*100</v>
      </c>
    </row>
    <row r="52" spans="1:4" x14ac:dyDescent="0.3">
      <c r="A52">
        <v>50</v>
      </c>
      <c r="B52" t="s">
        <v>105</v>
      </c>
      <c r="C52" t="str">
        <f t="shared" si="0"/>
        <v>Population change 1982-2019, % per year</v>
      </c>
      <c r="D52" t="str">
        <f t="shared" si="1"/>
        <v>calculated: ([pop2019]-[pop1982])/[pop1982]/(2019-1982)*100</v>
      </c>
    </row>
    <row r="53" spans="1:4" x14ac:dyDescent="0.3">
      <c r="A53">
        <v>51</v>
      </c>
      <c r="B53" t="s">
        <v>106</v>
      </c>
      <c r="C53" t="s">
        <v>107</v>
      </c>
      <c r="D53" t="s">
        <v>108</v>
      </c>
    </row>
    <row r="54" spans="1:4" x14ac:dyDescent="0.3">
      <c r="A54">
        <v>52</v>
      </c>
      <c r="B54" t="s">
        <v>109</v>
      </c>
      <c r="C54" t="s">
        <v>107</v>
      </c>
      <c r="D54" t="s">
        <v>108</v>
      </c>
    </row>
    <row r="55" spans="1:4" x14ac:dyDescent="0.3">
      <c r="A55">
        <v>53</v>
      </c>
      <c r="B55" t="s">
        <v>110</v>
      </c>
      <c r="C55" t="s">
        <v>107</v>
      </c>
      <c r="D55" t="s">
        <v>108</v>
      </c>
    </row>
    <row r="56" spans="1:4" x14ac:dyDescent="0.3">
      <c r="A56">
        <v>54</v>
      </c>
      <c r="B56" t="s">
        <v>111</v>
      </c>
      <c r="C56" t="s">
        <v>107</v>
      </c>
      <c r="D56" t="s">
        <v>108</v>
      </c>
    </row>
    <row r="57" spans="1:4" x14ac:dyDescent="0.3">
      <c r="A57">
        <v>55</v>
      </c>
      <c r="B57" t="s">
        <v>112</v>
      </c>
      <c r="C57" t="s">
        <v>107</v>
      </c>
      <c r="D57" t="s">
        <v>108</v>
      </c>
    </row>
    <row r="58" spans="1:4" x14ac:dyDescent="0.3">
      <c r="A58">
        <v>56</v>
      </c>
      <c r="B58" t="s">
        <v>113</v>
      </c>
      <c r="C58" t="s">
        <v>107</v>
      </c>
      <c r="D58" t="s">
        <v>108</v>
      </c>
    </row>
    <row r="59" spans="1:4" x14ac:dyDescent="0.3">
      <c r="A59">
        <v>57</v>
      </c>
      <c r="B59" t="s">
        <v>114</v>
      </c>
      <c r="C59" t="s">
        <v>107</v>
      </c>
      <c r="D59" t="s">
        <v>108</v>
      </c>
    </row>
    <row r="60" spans="1:4" x14ac:dyDescent="0.3">
      <c r="A60">
        <v>58</v>
      </c>
      <c r="B60" t="s">
        <v>115</v>
      </c>
      <c r="C60" t="s">
        <v>107</v>
      </c>
      <c r="D60" t="s">
        <v>108</v>
      </c>
    </row>
    <row r="61" spans="1:4" x14ac:dyDescent="0.3">
      <c r="A61">
        <v>59</v>
      </c>
      <c r="B61" t="s">
        <v>116</v>
      </c>
      <c r="C61" t="s">
        <v>107</v>
      </c>
      <c r="D61" t="s">
        <v>108</v>
      </c>
    </row>
    <row r="62" spans="1:4" x14ac:dyDescent="0.3">
      <c r="A62">
        <v>60</v>
      </c>
      <c r="B62" t="s">
        <v>117</v>
      </c>
      <c r="C62" t="s">
        <v>107</v>
      </c>
      <c r="D62" t="s">
        <v>108</v>
      </c>
    </row>
    <row r="63" spans="1:4" x14ac:dyDescent="0.3">
      <c r="A63">
        <v>61</v>
      </c>
      <c r="B63" t="s">
        <v>118</v>
      </c>
      <c r="C63" t="s">
        <v>107</v>
      </c>
      <c r="D63" t="s">
        <v>108</v>
      </c>
    </row>
    <row r="64" spans="1:4" x14ac:dyDescent="0.3">
      <c r="A64">
        <v>62</v>
      </c>
      <c r="B64" t="s">
        <v>119</v>
      </c>
      <c r="C64" t="s">
        <v>107</v>
      </c>
      <c r="D64" t="s">
        <v>108</v>
      </c>
    </row>
    <row r="65" spans="1:4" x14ac:dyDescent="0.3">
      <c r="A65">
        <v>63</v>
      </c>
      <c r="B65" t="s">
        <v>120</v>
      </c>
      <c r="C65" t="s">
        <v>107</v>
      </c>
      <c r="D65" t="s">
        <v>108</v>
      </c>
    </row>
    <row r="66" spans="1:4" x14ac:dyDescent="0.3">
      <c r="A66">
        <v>64</v>
      </c>
      <c r="B66" t="s">
        <v>121</v>
      </c>
      <c r="C66" t="s">
        <v>107</v>
      </c>
      <c r="D66" t="s">
        <v>108</v>
      </c>
    </row>
    <row r="67" spans="1:4" x14ac:dyDescent="0.3">
      <c r="A67">
        <v>65</v>
      </c>
      <c r="B67" t="s">
        <v>122</v>
      </c>
      <c r="C67" t="s">
        <v>107</v>
      </c>
      <c r="D67" t="s">
        <v>108</v>
      </c>
    </row>
    <row r="68" spans="1:4" x14ac:dyDescent="0.3">
      <c r="A68">
        <v>66</v>
      </c>
      <c r="B68" t="s">
        <v>123</v>
      </c>
      <c r="C68" t="s">
        <v>107</v>
      </c>
      <c r="D68" t="s">
        <v>108</v>
      </c>
    </row>
    <row r="69" spans="1:4" x14ac:dyDescent="0.3">
      <c r="A69">
        <v>67</v>
      </c>
      <c r="B69" t="s">
        <v>124</v>
      </c>
      <c r="C69" t="s">
        <v>107</v>
      </c>
      <c r="D69" t="s">
        <v>108</v>
      </c>
    </row>
    <row r="70" spans="1:4" x14ac:dyDescent="0.3">
      <c r="A70">
        <v>68</v>
      </c>
      <c r="B70" t="s">
        <v>125</v>
      </c>
      <c r="C70" t="s">
        <v>107</v>
      </c>
      <c r="D70" t="s">
        <v>108</v>
      </c>
    </row>
    <row r="71" spans="1:4" x14ac:dyDescent="0.3">
      <c r="A71">
        <v>69</v>
      </c>
      <c r="B71" t="s">
        <v>126</v>
      </c>
      <c r="C71" t="s">
        <v>107</v>
      </c>
      <c r="D71" t="s">
        <v>108</v>
      </c>
    </row>
    <row r="72" spans="1:4" x14ac:dyDescent="0.3">
      <c r="A72">
        <v>70</v>
      </c>
      <c r="B72" t="s">
        <v>127</v>
      </c>
      <c r="C72" t="s">
        <v>107</v>
      </c>
      <c r="D72" t="s">
        <v>108</v>
      </c>
    </row>
    <row r="73" spans="1:4" x14ac:dyDescent="0.3">
      <c r="A73">
        <v>71</v>
      </c>
      <c r="B73" t="s">
        <v>128</v>
      </c>
      <c r="C73" t="s">
        <v>107</v>
      </c>
      <c r="D73" t="s">
        <v>108</v>
      </c>
    </row>
    <row r="74" spans="1:4" x14ac:dyDescent="0.3">
      <c r="A74">
        <v>72</v>
      </c>
      <c r="B74" t="s">
        <v>129</v>
      </c>
      <c r="C74" t="s">
        <v>107</v>
      </c>
      <c r="D74" t="s">
        <v>108</v>
      </c>
    </row>
    <row r="75" spans="1:4" x14ac:dyDescent="0.3">
      <c r="A75">
        <v>73</v>
      </c>
      <c r="B75" t="s">
        <v>130</v>
      </c>
      <c r="C75" t="s">
        <v>107</v>
      </c>
      <c r="D75" t="s">
        <v>108</v>
      </c>
    </row>
    <row r="76" spans="1:4" x14ac:dyDescent="0.3">
      <c r="A76">
        <v>74</v>
      </c>
      <c r="B76" t="s">
        <v>131</v>
      </c>
      <c r="C76" t="s">
        <v>107</v>
      </c>
      <c r="D76" t="s">
        <v>108</v>
      </c>
    </row>
    <row r="77" spans="1:4" x14ac:dyDescent="0.3">
      <c r="A77">
        <v>75</v>
      </c>
      <c r="B77" t="s">
        <v>132</v>
      </c>
      <c r="C77" t="s">
        <v>107</v>
      </c>
      <c r="D77" t="s">
        <v>108</v>
      </c>
    </row>
    <row r="78" spans="1:4" x14ac:dyDescent="0.3">
      <c r="A78">
        <v>76</v>
      </c>
      <c r="B78" t="s">
        <v>133</v>
      </c>
      <c r="C78" t="s">
        <v>107</v>
      </c>
      <c r="D78" t="s">
        <v>108</v>
      </c>
    </row>
    <row r="79" spans="1:4" x14ac:dyDescent="0.3">
      <c r="A79">
        <v>77</v>
      </c>
      <c r="B79" t="s">
        <v>134</v>
      </c>
      <c r="C79" t="s">
        <v>107</v>
      </c>
      <c r="D79" t="s">
        <v>108</v>
      </c>
    </row>
    <row r="80" spans="1:4" x14ac:dyDescent="0.3">
      <c r="A80">
        <v>78</v>
      </c>
      <c r="B80" t="s">
        <v>135</v>
      </c>
      <c r="C80" t="s">
        <v>107</v>
      </c>
      <c r="D80" t="s">
        <v>108</v>
      </c>
    </row>
    <row r="81" spans="1:4" x14ac:dyDescent="0.3">
      <c r="A81">
        <v>79</v>
      </c>
      <c r="B81" t="s">
        <v>136</v>
      </c>
      <c r="C81" t="s">
        <v>137</v>
      </c>
      <c r="D81" t="s">
        <v>138</v>
      </c>
    </row>
    <row r="82" spans="1:4" x14ac:dyDescent="0.3">
      <c r="A82">
        <v>80</v>
      </c>
      <c r="B82" t="s">
        <v>139</v>
      </c>
      <c r="C82" t="s">
        <v>140</v>
      </c>
      <c r="D82" t="s">
        <v>138</v>
      </c>
    </row>
    <row r="83" spans="1:4" x14ac:dyDescent="0.3">
      <c r="A83">
        <v>81</v>
      </c>
      <c r="B83" t="s">
        <v>141</v>
      </c>
      <c r="C83" t="s">
        <v>142</v>
      </c>
      <c r="D83" t="s">
        <v>138</v>
      </c>
    </row>
    <row r="84" spans="1:4" x14ac:dyDescent="0.3">
      <c r="A84">
        <v>82</v>
      </c>
      <c r="B84" t="s">
        <v>143</v>
      </c>
      <c r="C84" t="s">
        <v>144</v>
      </c>
      <c r="D84" t="s">
        <v>138</v>
      </c>
    </row>
    <row r="85" spans="1:4" x14ac:dyDescent="0.3">
      <c r="A85">
        <v>83</v>
      </c>
      <c r="B85" t="s">
        <v>145</v>
      </c>
      <c r="C85" t="s">
        <v>146</v>
      </c>
      <c r="D85" t="s">
        <v>138</v>
      </c>
    </row>
    <row r="86" spans="1:4" x14ac:dyDescent="0.3">
      <c r="A86">
        <v>84</v>
      </c>
      <c r="B86" t="s">
        <v>147</v>
      </c>
      <c r="C86" t="s">
        <v>148</v>
      </c>
      <c r="D86" t="s">
        <v>138</v>
      </c>
    </row>
    <row r="87" spans="1:4" x14ac:dyDescent="0.3">
      <c r="A87">
        <v>85</v>
      </c>
      <c r="B87" t="s">
        <v>149</v>
      </c>
      <c r="C87" t="s">
        <v>150</v>
      </c>
      <c r="D87" t="s">
        <v>138</v>
      </c>
    </row>
    <row r="88" spans="1:4" x14ac:dyDescent="0.3">
      <c r="A88">
        <v>86</v>
      </c>
      <c r="B88" t="s">
        <v>151</v>
      </c>
      <c r="C88" t="s">
        <v>152</v>
      </c>
      <c r="D88" t="s">
        <v>138</v>
      </c>
    </row>
    <row r="89" spans="1:4" x14ac:dyDescent="0.3">
      <c r="A89">
        <v>87</v>
      </c>
      <c r="B89" t="s">
        <v>153</v>
      </c>
      <c r="C89" t="s">
        <v>154</v>
      </c>
      <c r="D89" t="s">
        <v>138</v>
      </c>
    </row>
    <row r="90" spans="1:4" x14ac:dyDescent="0.3">
      <c r="A90">
        <v>88</v>
      </c>
      <c r="B90" t="s">
        <v>155</v>
      </c>
      <c r="C90" t="s">
        <v>156</v>
      </c>
      <c r="D90" t="s">
        <v>138</v>
      </c>
    </row>
    <row r="91" spans="1:4" x14ac:dyDescent="0.3">
      <c r="A91">
        <v>89</v>
      </c>
      <c r="B91" t="s">
        <v>157</v>
      </c>
      <c r="C91" t="s">
        <v>158</v>
      </c>
      <c r="D91" t="s">
        <v>138</v>
      </c>
    </row>
    <row r="92" spans="1:4" x14ac:dyDescent="0.3">
      <c r="A92">
        <v>90</v>
      </c>
      <c r="B92" t="s">
        <v>159</v>
      </c>
      <c r="C92" t="s">
        <v>160</v>
      </c>
      <c r="D92" t="s">
        <v>138</v>
      </c>
    </row>
    <row r="93" spans="1:4" x14ac:dyDescent="0.3">
      <c r="A93">
        <v>91</v>
      </c>
      <c r="B93" t="s">
        <v>161</v>
      </c>
      <c r="C93" t="s">
        <v>162</v>
      </c>
      <c r="D93" t="s">
        <v>138</v>
      </c>
    </row>
    <row r="94" spans="1:4" x14ac:dyDescent="0.3">
      <c r="A94">
        <v>92</v>
      </c>
      <c r="B94" t="s">
        <v>163</v>
      </c>
      <c r="C94" t="s">
        <v>164</v>
      </c>
      <c r="D94" t="s">
        <v>138</v>
      </c>
    </row>
    <row r="95" spans="1:4" x14ac:dyDescent="0.3">
      <c r="A95">
        <v>93</v>
      </c>
      <c r="B95" t="s">
        <v>165</v>
      </c>
      <c r="C95" t="s">
        <v>166</v>
      </c>
      <c r="D95" t="s">
        <v>138</v>
      </c>
    </row>
    <row r="96" spans="1:4" x14ac:dyDescent="0.3">
      <c r="A96">
        <v>94</v>
      </c>
      <c r="B96" t="s">
        <v>167</v>
      </c>
      <c r="C96" t="s">
        <v>168</v>
      </c>
      <c r="D96" t="s">
        <v>138</v>
      </c>
    </row>
    <row r="97" spans="1:4" x14ac:dyDescent="0.3">
      <c r="A97">
        <v>95</v>
      </c>
      <c r="B97" t="s">
        <v>169</v>
      </c>
      <c r="C97" t="s">
        <v>170</v>
      </c>
      <c r="D97" t="s">
        <v>171</v>
      </c>
    </row>
    <row r="98" spans="1:4" x14ac:dyDescent="0.3">
      <c r="A98">
        <v>96</v>
      </c>
      <c r="B98" t="s">
        <v>172</v>
      </c>
      <c r="C98" t="s">
        <v>173</v>
      </c>
      <c r="D98" t="s">
        <v>171</v>
      </c>
    </row>
    <row r="99" spans="1:4" x14ac:dyDescent="0.3">
      <c r="A99">
        <v>97</v>
      </c>
      <c r="B99" t="s">
        <v>174</v>
      </c>
      <c r="C99" t="s">
        <v>175</v>
      </c>
      <c r="D99" t="s">
        <v>108</v>
      </c>
    </row>
    <row r="100" spans="1:4" x14ac:dyDescent="0.3">
      <c r="A100">
        <v>98</v>
      </c>
      <c r="B100" t="s">
        <v>176</v>
      </c>
      <c r="C100" t="s">
        <v>175</v>
      </c>
      <c r="D100" t="s">
        <v>108</v>
      </c>
    </row>
    <row r="101" spans="1:4" x14ac:dyDescent="0.3">
      <c r="A101">
        <v>99</v>
      </c>
      <c r="B101" t="s">
        <v>177</v>
      </c>
      <c r="C101" t="s">
        <v>175</v>
      </c>
      <c r="D101" t="s">
        <v>108</v>
      </c>
    </row>
    <row r="102" spans="1:4" x14ac:dyDescent="0.3">
      <c r="A102">
        <v>100</v>
      </c>
      <c r="B102" t="s">
        <v>178</v>
      </c>
      <c r="C102" t="s">
        <v>175</v>
      </c>
      <c r="D102" t="s">
        <v>108</v>
      </c>
    </row>
    <row r="103" spans="1:4" x14ac:dyDescent="0.3">
      <c r="A103">
        <v>101</v>
      </c>
      <c r="B103" t="s">
        <v>179</v>
      </c>
      <c r="C103" t="s">
        <v>175</v>
      </c>
      <c r="D103" t="s">
        <v>108</v>
      </c>
    </row>
    <row r="104" spans="1:4" x14ac:dyDescent="0.3">
      <c r="A104">
        <v>102</v>
      </c>
      <c r="B104" t="s">
        <v>180</v>
      </c>
      <c r="C104" t="s">
        <v>181</v>
      </c>
      <c r="D104" t="s">
        <v>108</v>
      </c>
    </row>
    <row r="105" spans="1:4" x14ac:dyDescent="0.3">
      <c r="A105">
        <v>103</v>
      </c>
      <c r="B105" t="s">
        <v>182</v>
      </c>
      <c r="C105" t="s">
        <v>181</v>
      </c>
      <c r="D105" t="s">
        <v>108</v>
      </c>
    </row>
    <row r="106" spans="1:4" x14ac:dyDescent="0.3">
      <c r="A106">
        <v>104</v>
      </c>
      <c r="B106" t="s">
        <v>183</v>
      </c>
      <c r="C106" t="s">
        <v>181</v>
      </c>
      <c r="D106" t="s">
        <v>108</v>
      </c>
    </row>
    <row r="107" spans="1:4" x14ac:dyDescent="0.3">
      <c r="A107">
        <v>105</v>
      </c>
      <c r="B107" t="s">
        <v>184</v>
      </c>
      <c r="C107" t="s">
        <v>181</v>
      </c>
      <c r="D107" t="s">
        <v>108</v>
      </c>
    </row>
    <row r="108" spans="1:4" x14ac:dyDescent="0.3">
      <c r="A108">
        <v>106</v>
      </c>
      <c r="B108" t="s">
        <v>185</v>
      </c>
      <c r="C108" t="s">
        <v>181</v>
      </c>
      <c r="D108" t="s">
        <v>108</v>
      </c>
    </row>
    <row r="109" spans="1:4" x14ac:dyDescent="0.3">
      <c r="A109">
        <v>107</v>
      </c>
      <c r="B109" t="s">
        <v>186</v>
      </c>
      <c r="C109" t="s">
        <v>187</v>
      </c>
      <c r="D109" t="s">
        <v>108</v>
      </c>
    </row>
    <row r="110" spans="1:4" x14ac:dyDescent="0.3">
      <c r="A110">
        <v>108</v>
      </c>
      <c r="B110" t="s">
        <v>188</v>
      </c>
      <c r="C110" t="s">
        <v>187</v>
      </c>
      <c r="D110" t="s">
        <v>108</v>
      </c>
    </row>
    <row r="111" spans="1:4" x14ac:dyDescent="0.3">
      <c r="A111">
        <v>109</v>
      </c>
      <c r="B111" t="s">
        <v>189</v>
      </c>
      <c r="C111" t="s">
        <v>187</v>
      </c>
      <c r="D111" t="s">
        <v>108</v>
      </c>
    </row>
    <row r="112" spans="1:4" x14ac:dyDescent="0.3">
      <c r="A112">
        <v>110</v>
      </c>
      <c r="B112" t="s">
        <v>190</v>
      </c>
      <c r="C112" t="s">
        <v>187</v>
      </c>
      <c r="D112" t="s">
        <v>108</v>
      </c>
    </row>
    <row r="113" spans="1:4" x14ac:dyDescent="0.3">
      <c r="A113">
        <v>111</v>
      </c>
      <c r="B113" t="s">
        <v>191</v>
      </c>
      <c r="C113" t="s">
        <v>187</v>
      </c>
      <c r="D113" t="s">
        <v>108</v>
      </c>
    </row>
    <row r="114" spans="1:4" x14ac:dyDescent="0.3">
      <c r="A114">
        <v>112</v>
      </c>
      <c r="B114" t="s">
        <v>192</v>
      </c>
      <c r="C114" t="s">
        <v>193</v>
      </c>
      <c r="D114" t="s">
        <v>108</v>
      </c>
    </row>
    <row r="115" spans="1:4" x14ac:dyDescent="0.3">
      <c r="A115">
        <v>113</v>
      </c>
      <c r="B115" t="s">
        <v>194</v>
      </c>
      <c r="C115" t="s">
        <v>193</v>
      </c>
      <c r="D115" t="s">
        <v>108</v>
      </c>
    </row>
    <row r="116" spans="1:4" x14ac:dyDescent="0.3">
      <c r="A116">
        <v>114</v>
      </c>
      <c r="B116" t="s">
        <v>195</v>
      </c>
      <c r="C116" t="s">
        <v>193</v>
      </c>
      <c r="D116" t="s">
        <v>108</v>
      </c>
    </row>
    <row r="117" spans="1:4" x14ac:dyDescent="0.3">
      <c r="A117">
        <v>115</v>
      </c>
      <c r="B117" t="s">
        <v>196</v>
      </c>
      <c r="C117" t="s">
        <v>193</v>
      </c>
      <c r="D117" t="s">
        <v>108</v>
      </c>
    </row>
    <row r="118" spans="1:4" x14ac:dyDescent="0.3">
      <c r="A118">
        <v>116</v>
      </c>
      <c r="B118" t="s">
        <v>197</v>
      </c>
      <c r="C118" t="s">
        <v>193</v>
      </c>
      <c r="D118" t="s">
        <v>108</v>
      </c>
    </row>
    <row r="119" spans="1:4" x14ac:dyDescent="0.3">
      <c r="A119">
        <v>117</v>
      </c>
      <c r="B119" t="s">
        <v>198</v>
      </c>
      <c r="C119" t="s">
        <v>199</v>
      </c>
      <c r="D119" t="s">
        <v>108</v>
      </c>
    </row>
    <row r="120" spans="1:4" x14ac:dyDescent="0.3">
      <c r="A120">
        <v>118</v>
      </c>
      <c r="B120" t="s">
        <v>200</v>
      </c>
      <c r="C120" t="s">
        <v>199</v>
      </c>
      <c r="D120" t="s">
        <v>108</v>
      </c>
    </row>
    <row r="121" spans="1:4" x14ac:dyDescent="0.3">
      <c r="A121">
        <v>119</v>
      </c>
      <c r="B121" t="s">
        <v>201</v>
      </c>
      <c r="C121" t="s">
        <v>199</v>
      </c>
      <c r="D121" t="s">
        <v>108</v>
      </c>
    </row>
    <row r="122" spans="1:4" x14ac:dyDescent="0.3">
      <c r="A122">
        <v>120</v>
      </c>
      <c r="B122" t="s">
        <v>202</v>
      </c>
      <c r="C122" t="s">
        <v>199</v>
      </c>
      <c r="D122" t="s">
        <v>108</v>
      </c>
    </row>
    <row r="123" spans="1:4" x14ac:dyDescent="0.3">
      <c r="A123">
        <v>121</v>
      </c>
      <c r="B123" t="s">
        <v>203</v>
      </c>
      <c r="C123" t="s">
        <v>199</v>
      </c>
      <c r="D123" t="s">
        <v>108</v>
      </c>
    </row>
    <row r="124" spans="1:4" x14ac:dyDescent="0.3">
      <c r="A124">
        <v>122</v>
      </c>
      <c r="B124" t="s">
        <v>204</v>
      </c>
      <c r="C124" t="s">
        <v>205</v>
      </c>
      <c r="D124" t="s">
        <v>206</v>
      </c>
    </row>
    <row r="125" spans="1:4" x14ac:dyDescent="0.3">
      <c r="A125">
        <v>123</v>
      </c>
      <c r="B125" t="s">
        <v>207</v>
      </c>
      <c r="C125" t="s">
        <v>208</v>
      </c>
      <c r="D125" t="s">
        <v>206</v>
      </c>
    </row>
    <row r="126" spans="1:4" x14ac:dyDescent="0.3">
      <c r="A126">
        <v>124</v>
      </c>
      <c r="B126" t="s">
        <v>209</v>
      </c>
      <c r="C126" t="s">
        <v>210</v>
      </c>
      <c r="D126" t="s">
        <v>206</v>
      </c>
    </row>
    <row r="127" spans="1:4" x14ac:dyDescent="0.3">
      <c r="A127">
        <v>125</v>
      </c>
      <c r="B127" t="s">
        <v>211</v>
      </c>
      <c r="C127" t="s">
        <v>212</v>
      </c>
      <c r="D127" t="s">
        <v>206</v>
      </c>
    </row>
    <row r="128" spans="1:4" x14ac:dyDescent="0.3">
      <c r="A128">
        <v>126</v>
      </c>
      <c r="B128" t="s">
        <v>213</v>
      </c>
      <c r="C128" t="s">
        <v>214</v>
      </c>
      <c r="D128" t="s">
        <v>206</v>
      </c>
    </row>
    <row r="129" spans="1:4" x14ac:dyDescent="0.3">
      <c r="A129">
        <v>127</v>
      </c>
      <c r="B129" t="s">
        <v>215</v>
      </c>
      <c r="C129" t="s">
        <v>216</v>
      </c>
      <c r="D129" t="s">
        <v>206</v>
      </c>
    </row>
    <row r="130" spans="1:4" x14ac:dyDescent="0.3">
      <c r="A130">
        <v>128</v>
      </c>
      <c r="B130" t="s">
        <v>217</v>
      </c>
      <c r="C130" t="s">
        <v>218</v>
      </c>
      <c r="D130" t="s">
        <v>206</v>
      </c>
    </row>
    <row r="131" spans="1:4" x14ac:dyDescent="0.3">
      <c r="A131">
        <v>129</v>
      </c>
      <c r="B131" t="s">
        <v>219</v>
      </c>
      <c r="C131" t="s">
        <v>220</v>
      </c>
      <c r="D131" t="s">
        <v>206</v>
      </c>
    </row>
    <row r="132" spans="1:4" x14ac:dyDescent="0.3">
      <c r="A132">
        <v>130</v>
      </c>
      <c r="B132" t="s">
        <v>221</v>
      </c>
      <c r="C132" t="s">
        <v>222</v>
      </c>
      <c r="D132" t="s">
        <v>206</v>
      </c>
    </row>
    <row r="133" spans="1:4" x14ac:dyDescent="0.3">
      <c r="A133">
        <v>131</v>
      </c>
      <c r="B133" t="s">
        <v>223</v>
      </c>
      <c r="C133" t="s">
        <v>224</v>
      </c>
      <c r="D133" t="s">
        <v>206</v>
      </c>
    </row>
    <row r="134" spans="1:4" x14ac:dyDescent="0.3">
      <c r="A134">
        <v>132</v>
      </c>
      <c r="B134" t="s">
        <v>225</v>
      </c>
      <c r="C134" t="s">
        <v>226</v>
      </c>
      <c r="D134" t="s">
        <v>206</v>
      </c>
    </row>
    <row r="135" spans="1:4" x14ac:dyDescent="0.3">
      <c r="A135">
        <v>133</v>
      </c>
      <c r="B135" t="s">
        <v>227</v>
      </c>
      <c r="C135" t="s">
        <v>228</v>
      </c>
      <c r="D135" t="s">
        <v>229</v>
      </c>
    </row>
    <row r="136" spans="1:4" x14ac:dyDescent="0.3">
      <c r="A136">
        <v>134</v>
      </c>
      <c r="B136" t="s">
        <v>230</v>
      </c>
      <c r="C136" t="s">
        <v>231</v>
      </c>
      <c r="D136" t="s">
        <v>229</v>
      </c>
    </row>
    <row r="137" spans="1:4" x14ac:dyDescent="0.3">
      <c r="A137">
        <v>135</v>
      </c>
      <c r="B137" t="s">
        <v>232</v>
      </c>
      <c r="C137" t="s">
        <v>233</v>
      </c>
      <c r="D137" t="s">
        <v>229</v>
      </c>
    </row>
    <row r="138" spans="1:4" x14ac:dyDescent="0.3">
      <c r="A138">
        <v>136</v>
      </c>
      <c r="B138" t="s">
        <v>234</v>
      </c>
      <c r="C138" t="s">
        <v>235</v>
      </c>
      <c r="D138" t="s">
        <v>229</v>
      </c>
    </row>
  </sheetData>
  <hyperlinks>
    <hyperlink ref="D44" r:id="rId1" location="c=indicator&amp;i=ost_pop_tot.pop_tot_ost&amp;s=2021&amp;t=A02&amp;theme=trans_pop&amp;view=map5" xr:uid="{F487CC19-DAC7-4386-ADBE-6C9D21D175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DEA6-2A99-4384-9858-C6FBBF727528}">
  <dimension ref="A1:EG377"/>
  <sheetViews>
    <sheetView tabSelected="1" zoomScale="90" zoomScaleNormal="90" workbookViewId="0">
      <pane xSplit="4" ySplit="4" topLeftCell="CJ5" activePane="bottomRight" state="frozen"/>
      <selection activeCell="EJ4" sqref="EJ4"/>
      <selection pane="topRight" activeCell="EJ4" sqref="EJ4"/>
      <selection pane="bottomLeft" activeCell="EJ4" sqref="EJ4"/>
      <selection pane="bottomRight" activeCell="CJ3" sqref="CJ3"/>
    </sheetView>
  </sheetViews>
  <sheetFormatPr baseColWidth="10" defaultRowHeight="14.55" customHeight="1" x14ac:dyDescent="0.3"/>
  <cols>
    <col min="2" max="2" width="7" customWidth="1"/>
    <col min="4" max="4" width="23.109375" bestFit="1" customWidth="1"/>
    <col min="8" max="8" width="13.6640625" style="3" bestFit="1" customWidth="1"/>
    <col min="10" max="10" width="11.5546875" style="3"/>
    <col min="23" max="23" width="11.5546875" style="3"/>
    <col min="24" max="24" width="13.6640625" style="3" customWidth="1"/>
    <col min="26" max="43" width="11.5546875" style="3"/>
    <col min="44" max="44" width="11.5546875" style="4"/>
    <col min="45" max="51" width="11.5546875" style="5"/>
    <col min="52" max="52" width="15.6640625" style="5" bestFit="1" customWidth="1"/>
    <col min="53" max="53" width="15.21875" bestFit="1" customWidth="1"/>
  </cols>
  <sheetData>
    <row r="1" spans="1:137" ht="14.55" customHeight="1" x14ac:dyDescent="0.3">
      <c r="BA1" t="s">
        <v>236</v>
      </c>
      <c r="BB1" t="s">
        <v>237</v>
      </c>
      <c r="BC1" t="s">
        <v>238</v>
      </c>
      <c r="BD1" t="s">
        <v>239</v>
      </c>
      <c r="BE1" t="s">
        <v>240</v>
      </c>
      <c r="BF1" t="s">
        <v>241</v>
      </c>
      <c r="BG1" t="s">
        <v>242</v>
      </c>
      <c r="BH1" t="s">
        <v>243</v>
      </c>
      <c r="BI1" t="s">
        <v>244</v>
      </c>
      <c r="BJ1" t="s">
        <v>245</v>
      </c>
      <c r="BK1" t="s">
        <v>246</v>
      </c>
      <c r="BL1" t="s">
        <v>247</v>
      </c>
      <c r="BM1" t="s">
        <v>248</v>
      </c>
      <c r="BN1" t="s">
        <v>249</v>
      </c>
      <c r="BO1" t="s">
        <v>250</v>
      </c>
      <c r="BP1" t="s">
        <v>251</v>
      </c>
      <c r="BQ1" t="s">
        <v>252</v>
      </c>
      <c r="BR1" t="s">
        <v>253</v>
      </c>
      <c r="BS1" t="s">
        <v>254</v>
      </c>
      <c r="BT1" t="s">
        <v>255</v>
      </c>
      <c r="BU1" t="s">
        <v>256</v>
      </c>
      <c r="BV1" t="s">
        <v>257</v>
      </c>
      <c r="BW1" t="s">
        <v>258</v>
      </c>
      <c r="BX1" t="s">
        <v>259</v>
      </c>
      <c r="BY1" t="s">
        <v>260</v>
      </c>
      <c r="BZ1" t="s">
        <v>261</v>
      </c>
      <c r="CA1" t="s">
        <v>262</v>
      </c>
      <c r="CB1" t="s">
        <v>263</v>
      </c>
      <c r="CC1" t="s">
        <v>263</v>
      </c>
      <c r="CD1" t="s">
        <v>263</v>
      </c>
      <c r="CE1" t="s">
        <v>263</v>
      </c>
      <c r="CF1" t="s">
        <v>263</v>
      </c>
      <c r="CG1" t="s">
        <v>263</v>
      </c>
      <c r="CH1" t="s">
        <v>263</v>
      </c>
      <c r="CI1" t="s">
        <v>263</v>
      </c>
    </row>
    <row r="2" spans="1:137" ht="14.55" customHeight="1" x14ac:dyDescent="0.3">
      <c r="S2" t="s">
        <v>264</v>
      </c>
      <c r="T2" t="s">
        <v>264</v>
      </c>
      <c r="U2" t="s">
        <v>264</v>
      </c>
      <c r="V2" t="s">
        <v>264</v>
      </c>
      <c r="W2" s="3" t="s">
        <v>264</v>
      </c>
      <c r="X2" s="3" t="s">
        <v>264</v>
      </c>
      <c r="Y2" s="3" t="s">
        <v>264</v>
      </c>
      <c r="AR2" s="4" t="s">
        <v>265</v>
      </c>
      <c r="AS2" s="4" t="s">
        <v>265</v>
      </c>
      <c r="AT2" s="4" t="s">
        <v>265</v>
      </c>
      <c r="AU2" s="4" t="s">
        <v>265</v>
      </c>
      <c r="AV2" s="4" t="s">
        <v>265</v>
      </c>
      <c r="AW2" s="4" t="s">
        <v>265</v>
      </c>
      <c r="AX2" s="4" t="s">
        <v>265</v>
      </c>
      <c r="AY2" s="4" t="s">
        <v>265</v>
      </c>
      <c r="AZ2" s="4" t="s">
        <v>265</v>
      </c>
      <c r="BA2">
        <v>1</v>
      </c>
      <c r="BB2">
        <v>2</v>
      </c>
      <c r="BC2">
        <v>3</v>
      </c>
      <c r="BD2">
        <v>4</v>
      </c>
      <c r="BE2">
        <v>5</v>
      </c>
      <c r="BF2">
        <v>6</v>
      </c>
      <c r="BG2">
        <v>7</v>
      </c>
      <c r="BH2">
        <v>10</v>
      </c>
      <c r="BI2">
        <v>11</v>
      </c>
      <c r="BJ2">
        <v>12</v>
      </c>
      <c r="BK2">
        <v>15</v>
      </c>
      <c r="BL2">
        <v>16</v>
      </c>
      <c r="BM2">
        <v>18</v>
      </c>
      <c r="BN2">
        <v>20</v>
      </c>
      <c r="BO2">
        <v>21</v>
      </c>
      <c r="BP2">
        <v>23</v>
      </c>
      <c r="BQ2">
        <v>24</v>
      </c>
      <c r="BR2">
        <v>25</v>
      </c>
      <c r="BS2">
        <v>26</v>
      </c>
      <c r="BT2">
        <v>27</v>
      </c>
      <c r="BU2">
        <v>29</v>
      </c>
      <c r="BV2">
        <v>30</v>
      </c>
      <c r="BW2">
        <v>31</v>
      </c>
      <c r="BX2">
        <v>32</v>
      </c>
      <c r="BY2">
        <v>35</v>
      </c>
      <c r="BZ2">
        <v>40</v>
      </c>
      <c r="CA2">
        <v>41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</row>
    <row r="3" spans="1:137" ht="14.55" customHeight="1" x14ac:dyDescent="0.3">
      <c r="A3" s="6" t="s">
        <v>1241</v>
      </c>
      <c r="B3" s="7"/>
      <c r="C3" s="7"/>
      <c r="D3" s="7"/>
      <c r="E3" s="7"/>
      <c r="F3" s="7"/>
      <c r="G3" s="7"/>
      <c r="H3" s="8"/>
      <c r="I3" s="7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8"/>
      <c r="Y3" s="7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6"/>
      <c r="CC3" s="7"/>
      <c r="CD3" s="7"/>
      <c r="CE3" s="7"/>
      <c r="CF3" s="7"/>
      <c r="CG3" s="7"/>
      <c r="CH3" s="7"/>
      <c r="CI3" s="8"/>
      <c r="CJ3" s="7"/>
      <c r="CK3" s="8"/>
      <c r="CL3" s="7"/>
      <c r="CM3" s="7"/>
      <c r="CN3" s="7"/>
      <c r="CO3" s="7"/>
      <c r="CP3" s="8"/>
      <c r="CQ3" s="8"/>
      <c r="CR3" s="9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11" t="s">
        <v>266</v>
      </c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3" t="s">
        <v>229</v>
      </c>
      <c r="EE3" s="14"/>
      <c r="EF3" s="14"/>
      <c r="EG3" s="14"/>
    </row>
    <row r="4" spans="1:137" s="16" customFormat="1" ht="29.25" customHeight="1" x14ac:dyDescent="0.3">
      <c r="A4" s="15" t="s">
        <v>4</v>
      </c>
      <c r="B4" s="15" t="s">
        <v>6</v>
      </c>
      <c r="C4" s="15" t="s">
        <v>8</v>
      </c>
      <c r="D4" s="15" t="s">
        <v>10</v>
      </c>
      <c r="E4" s="15" t="s">
        <v>12</v>
      </c>
      <c r="F4" s="15" t="s">
        <v>14</v>
      </c>
      <c r="G4" s="15" t="s">
        <v>16</v>
      </c>
      <c r="H4" s="15" t="s">
        <v>18</v>
      </c>
      <c r="I4" s="15" t="s">
        <v>21</v>
      </c>
      <c r="J4" s="15" t="s">
        <v>24</v>
      </c>
      <c r="K4" s="15" t="s">
        <v>27</v>
      </c>
      <c r="L4" s="15" t="s">
        <v>30</v>
      </c>
      <c r="M4" s="15" t="s">
        <v>32</v>
      </c>
      <c r="N4" s="15" t="s">
        <v>34</v>
      </c>
      <c r="O4" s="15" t="s">
        <v>36</v>
      </c>
      <c r="P4" s="15" t="s">
        <v>38</v>
      </c>
      <c r="Q4" s="15" t="s">
        <v>40</v>
      </c>
      <c r="R4" s="15" t="s">
        <v>42</v>
      </c>
      <c r="S4" s="15" t="s">
        <v>44</v>
      </c>
      <c r="T4" s="15" t="s">
        <v>47</v>
      </c>
      <c r="U4" s="15" t="s">
        <v>49</v>
      </c>
      <c r="V4" s="15" t="s">
        <v>51</v>
      </c>
      <c r="W4" s="15" t="s">
        <v>53</v>
      </c>
      <c r="X4" s="15" t="s">
        <v>55</v>
      </c>
      <c r="Y4" s="15" t="s">
        <v>57</v>
      </c>
      <c r="Z4" s="15" t="s">
        <v>59</v>
      </c>
      <c r="AA4" s="15" t="s">
        <v>62</v>
      </c>
      <c r="AB4" s="15" t="s">
        <v>64</v>
      </c>
      <c r="AC4" s="15" t="s">
        <v>66</v>
      </c>
      <c r="AD4" s="15" t="s">
        <v>68</v>
      </c>
      <c r="AE4" s="15" t="s">
        <v>70</v>
      </c>
      <c r="AF4" s="15" t="s">
        <v>72</v>
      </c>
      <c r="AG4" s="15" t="s">
        <v>74</v>
      </c>
      <c r="AH4" s="15" t="s">
        <v>76</v>
      </c>
      <c r="AI4" s="15" t="s">
        <v>78</v>
      </c>
      <c r="AJ4" s="15" t="s">
        <v>80</v>
      </c>
      <c r="AK4" s="15" t="s">
        <v>82</v>
      </c>
      <c r="AL4" s="15" t="s">
        <v>84</v>
      </c>
      <c r="AM4" s="15" t="s">
        <v>86</v>
      </c>
      <c r="AN4" s="15" t="s">
        <v>88</v>
      </c>
      <c r="AO4" s="15" t="s">
        <v>90</v>
      </c>
      <c r="AP4" s="15" t="s">
        <v>92</v>
      </c>
      <c r="AQ4" s="15" t="s">
        <v>94</v>
      </c>
      <c r="AR4" s="15" t="s">
        <v>96</v>
      </c>
      <c r="AS4" s="15" t="s">
        <v>99</v>
      </c>
      <c r="AT4" s="15" t="s">
        <v>100</v>
      </c>
      <c r="AU4" s="15" t="s">
        <v>101</v>
      </c>
      <c r="AV4" s="15" t="s">
        <v>102</v>
      </c>
      <c r="AW4" s="15" t="s">
        <v>103</v>
      </c>
      <c r="AX4" s="15" t="s">
        <v>104</v>
      </c>
      <c r="AY4" s="15" t="s">
        <v>105</v>
      </c>
      <c r="AZ4" s="15" t="s">
        <v>106</v>
      </c>
      <c r="BA4" s="15" t="s">
        <v>109</v>
      </c>
      <c r="BB4" s="15" t="s">
        <v>110</v>
      </c>
      <c r="BC4" s="15" t="s">
        <v>111</v>
      </c>
      <c r="BD4" s="15" t="s">
        <v>112</v>
      </c>
      <c r="BE4" s="15" t="s">
        <v>113</v>
      </c>
      <c r="BF4" s="15" t="s">
        <v>114</v>
      </c>
      <c r="BG4" s="15" t="s">
        <v>115</v>
      </c>
      <c r="BH4" s="15" t="s">
        <v>116</v>
      </c>
      <c r="BI4" s="15" t="s">
        <v>117</v>
      </c>
      <c r="BJ4" s="15" t="s">
        <v>118</v>
      </c>
      <c r="BK4" s="15" t="s">
        <v>119</v>
      </c>
      <c r="BL4" s="15" t="s">
        <v>120</v>
      </c>
      <c r="BM4" s="15" t="s">
        <v>121</v>
      </c>
      <c r="BN4" s="15" t="s">
        <v>122</v>
      </c>
      <c r="BO4" s="15" t="s">
        <v>123</v>
      </c>
      <c r="BP4" s="15" t="s">
        <v>124</v>
      </c>
      <c r="BQ4" s="15" t="s">
        <v>125</v>
      </c>
      <c r="BR4" s="15" t="s">
        <v>126</v>
      </c>
      <c r="BS4" s="15" t="s">
        <v>127</v>
      </c>
      <c r="BT4" s="15" t="s">
        <v>128</v>
      </c>
      <c r="BU4" s="15" t="s">
        <v>129</v>
      </c>
      <c r="BV4" s="15" t="s">
        <v>130</v>
      </c>
      <c r="BW4" s="15" t="s">
        <v>131</v>
      </c>
      <c r="BX4" s="15" t="s">
        <v>132</v>
      </c>
      <c r="BY4" s="15" t="s">
        <v>133</v>
      </c>
      <c r="BZ4" s="15" t="s">
        <v>134</v>
      </c>
      <c r="CA4" s="15" t="s">
        <v>135</v>
      </c>
      <c r="CB4" s="15" t="s">
        <v>136</v>
      </c>
      <c r="CC4" s="15" t="s">
        <v>139</v>
      </c>
      <c r="CD4" s="15" t="s">
        <v>141</v>
      </c>
      <c r="CE4" s="15" t="s">
        <v>143</v>
      </c>
      <c r="CF4" s="15" t="s">
        <v>145</v>
      </c>
      <c r="CG4" s="15" t="s">
        <v>147</v>
      </c>
      <c r="CH4" s="15" t="s">
        <v>149</v>
      </c>
      <c r="CI4" s="15" t="s">
        <v>151</v>
      </c>
      <c r="CJ4" s="15" t="s">
        <v>153</v>
      </c>
      <c r="CK4" s="15" t="s">
        <v>155</v>
      </c>
      <c r="CL4" s="15" t="s">
        <v>157</v>
      </c>
      <c r="CM4" s="15" t="s">
        <v>159</v>
      </c>
      <c r="CN4" s="15" t="s">
        <v>161</v>
      </c>
      <c r="CO4" s="15" t="s">
        <v>163</v>
      </c>
      <c r="CP4" s="15" t="s">
        <v>165</v>
      </c>
      <c r="CQ4" s="15" t="s">
        <v>167</v>
      </c>
      <c r="CR4" s="15" t="s">
        <v>169</v>
      </c>
      <c r="CS4" s="15" t="s">
        <v>172</v>
      </c>
      <c r="CT4" s="15" t="s">
        <v>174</v>
      </c>
      <c r="CU4" s="15" t="s">
        <v>176</v>
      </c>
      <c r="CV4" s="15" t="s">
        <v>177</v>
      </c>
      <c r="CW4" s="15" t="s">
        <v>178</v>
      </c>
      <c r="CX4" s="15" t="s">
        <v>179</v>
      </c>
      <c r="CY4" s="15" t="s">
        <v>180</v>
      </c>
      <c r="CZ4" s="15" t="s">
        <v>182</v>
      </c>
      <c r="DA4" s="15" t="s">
        <v>183</v>
      </c>
      <c r="DB4" s="15" t="s">
        <v>184</v>
      </c>
      <c r="DC4" s="15" t="s">
        <v>185</v>
      </c>
      <c r="DD4" s="15" t="s">
        <v>186</v>
      </c>
      <c r="DE4" s="15" t="s">
        <v>188</v>
      </c>
      <c r="DF4" s="15" t="s">
        <v>189</v>
      </c>
      <c r="DG4" s="15" t="s">
        <v>190</v>
      </c>
      <c r="DH4" s="15" t="s">
        <v>191</v>
      </c>
      <c r="DI4" s="15" t="s">
        <v>192</v>
      </c>
      <c r="DJ4" s="15" t="s">
        <v>194</v>
      </c>
      <c r="DK4" s="15" t="s">
        <v>195</v>
      </c>
      <c r="DL4" s="15" t="s">
        <v>196</v>
      </c>
      <c r="DM4" s="15" t="s">
        <v>197</v>
      </c>
      <c r="DN4" s="15" t="s">
        <v>198</v>
      </c>
      <c r="DO4" s="15" t="s">
        <v>200</v>
      </c>
      <c r="DP4" s="15" t="s">
        <v>201</v>
      </c>
      <c r="DQ4" s="15" t="s">
        <v>202</v>
      </c>
      <c r="DR4" s="15" t="s">
        <v>203</v>
      </c>
      <c r="DS4" s="15" t="s">
        <v>204</v>
      </c>
      <c r="DT4" s="15" t="s">
        <v>207</v>
      </c>
      <c r="DU4" s="15" t="s">
        <v>209</v>
      </c>
      <c r="DV4" s="15" t="s">
        <v>211</v>
      </c>
      <c r="DW4" s="15" t="s">
        <v>213</v>
      </c>
      <c r="DX4" s="15" t="s">
        <v>215</v>
      </c>
      <c r="DY4" s="15" t="s">
        <v>217</v>
      </c>
      <c r="DZ4" s="15" t="s">
        <v>219</v>
      </c>
      <c r="EA4" s="15" t="s">
        <v>221</v>
      </c>
      <c r="EB4" s="15" t="s">
        <v>223</v>
      </c>
      <c r="EC4" s="15" t="s">
        <v>225</v>
      </c>
      <c r="ED4" s="15" t="s">
        <v>227</v>
      </c>
      <c r="EE4" s="15" t="s">
        <v>230</v>
      </c>
      <c r="EF4" s="15" t="s">
        <v>232</v>
      </c>
      <c r="EG4" s="15" t="s">
        <v>234</v>
      </c>
    </row>
    <row r="5" spans="1:137" ht="14.55" customHeight="1" x14ac:dyDescent="0.3">
      <c r="A5" t="s">
        <v>267</v>
      </c>
      <c r="B5">
        <v>2008</v>
      </c>
      <c r="C5" t="s">
        <v>268</v>
      </c>
      <c r="D5" t="s">
        <v>269</v>
      </c>
      <c r="E5" t="s">
        <v>269</v>
      </c>
      <c r="F5" t="s">
        <v>270</v>
      </c>
      <c r="G5" t="s">
        <v>271</v>
      </c>
      <c r="H5" s="3">
        <v>1276203.7973499999</v>
      </c>
      <c r="I5">
        <v>125</v>
      </c>
      <c r="J5" s="3">
        <v>127.62037973499999</v>
      </c>
      <c r="K5">
        <v>486</v>
      </c>
      <c r="L5">
        <v>612</v>
      </c>
      <c r="M5">
        <v>540.84059456688897</v>
      </c>
      <c r="N5">
        <v>36.258620459371599</v>
      </c>
      <c r="O5">
        <v>0.33761471509933499</v>
      </c>
      <c r="P5">
        <v>29.878087997436499</v>
      </c>
      <c r="Q5">
        <v>7.7032599449157697</v>
      </c>
      <c r="R5">
        <v>5.3871603012084996</v>
      </c>
      <c r="S5" t="s">
        <v>272</v>
      </c>
      <c r="T5" t="s">
        <v>267</v>
      </c>
      <c r="U5" t="s">
        <v>268</v>
      </c>
      <c r="V5" t="s">
        <v>268</v>
      </c>
      <c r="W5" s="3">
        <v>484</v>
      </c>
      <c r="X5" s="3">
        <v>1300000</v>
      </c>
      <c r="Y5">
        <v>2</v>
      </c>
      <c r="Z5" s="3">
        <v>171</v>
      </c>
      <c r="AA5" s="3">
        <v>222</v>
      </c>
      <c r="AB5" s="3">
        <v>275</v>
      </c>
      <c r="AC5" s="3">
        <v>323</v>
      </c>
      <c r="AD5" s="3">
        <v>327</v>
      </c>
      <c r="AE5" s="3">
        <v>328</v>
      </c>
      <c r="AF5" s="3">
        <v>342</v>
      </c>
      <c r="AG5" s="3">
        <v>354</v>
      </c>
      <c r="AH5" s="3">
        <v>379</v>
      </c>
      <c r="AI5" s="3">
        <v>405</v>
      </c>
      <c r="AJ5" s="3">
        <v>408</v>
      </c>
      <c r="AK5" s="3">
        <v>442</v>
      </c>
      <c r="AL5" s="3">
        <v>447</v>
      </c>
      <c r="AM5" s="3">
        <v>459</v>
      </c>
      <c r="AN5" s="3">
        <v>462</v>
      </c>
      <c r="AO5" s="3">
        <v>466</v>
      </c>
      <c r="AP5" s="3">
        <v>484</v>
      </c>
      <c r="AR5" s="4">
        <f>AP5/(J5/100)</f>
        <v>379.24977264995761</v>
      </c>
      <c r="AS5" s="5">
        <f>(AA5-Z5)/Z5/8*100</f>
        <v>3.7280701754385963</v>
      </c>
      <c r="AT5" s="5">
        <f t="shared" ref="AT5:AT68" si="0">(AB5-AA5)/AA5/9*100</f>
        <v>2.6526526526526526</v>
      </c>
      <c r="AU5" s="5">
        <f t="shared" ref="AU5:AU68" si="1">(AF5-AB5)/AB5/10*100</f>
        <v>2.4363636363636361</v>
      </c>
      <c r="AV5" s="5">
        <f t="shared" ref="AV5:AV68" si="2">(AP5-AF5)/AF5/10*100</f>
        <v>4.1520467836257309</v>
      </c>
      <c r="AW5" s="5">
        <f t="shared" ref="AW5:AW68" si="3">(AB5-Z5)/Z5/17*100</f>
        <v>3.5775713794289641</v>
      </c>
      <c r="AX5" s="5">
        <f t="shared" ref="AX5:AX68" si="4">(AP5-AB5)/AB5/20*100</f>
        <v>3.8</v>
      </c>
      <c r="AY5" s="5">
        <f t="shared" ref="AY5:AY68" si="5">(AP5-Z5)/Z5/37*100</f>
        <v>4.9470523154733677</v>
      </c>
      <c r="AZ5">
        <f>SUM(BA5:CA5)</f>
        <v>1260000</v>
      </c>
      <c r="BA5">
        <v>0</v>
      </c>
      <c r="BB5">
        <v>400000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520000</v>
      </c>
      <c r="BK5">
        <v>0</v>
      </c>
      <c r="BL5">
        <v>0</v>
      </c>
      <c r="BM5">
        <v>0</v>
      </c>
      <c r="BN5">
        <v>0</v>
      </c>
      <c r="BO5">
        <v>0</v>
      </c>
      <c r="BP5">
        <v>340000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15</v>
      </c>
      <c r="CC5">
        <v>18</v>
      </c>
      <c r="CD5">
        <v>21</v>
      </c>
      <c r="CE5">
        <v>28</v>
      </c>
      <c r="CF5" s="17">
        <v>11.904761904761903</v>
      </c>
      <c r="CG5" s="17">
        <v>14.285714285714285</v>
      </c>
      <c r="CH5" s="17">
        <v>16.666666666666664</v>
      </c>
      <c r="CI5" s="17">
        <v>22.222222222222221</v>
      </c>
      <c r="CJ5" s="18">
        <v>1</v>
      </c>
      <c r="CK5" s="18">
        <v>1.2</v>
      </c>
      <c r="CL5" s="18">
        <v>1.4</v>
      </c>
      <c r="CM5" s="18">
        <v>1.8666666666666667</v>
      </c>
      <c r="CN5" s="18">
        <v>0</v>
      </c>
      <c r="CO5" s="18">
        <v>2.3809523809523809</v>
      </c>
      <c r="CP5" s="18">
        <v>4.7619047619047619</v>
      </c>
      <c r="CQ5" s="18">
        <v>10.317460317460316</v>
      </c>
      <c r="CR5" s="18">
        <f>AM5/Z5</f>
        <v>2.6842105263157894</v>
      </c>
      <c r="CS5" s="18">
        <f>CR5/CM5</f>
        <v>1.4379699248120299</v>
      </c>
      <c r="CT5">
        <v>3.17460317460317</v>
      </c>
      <c r="CU5">
        <v>69.841269841269906</v>
      </c>
      <c r="CV5">
        <v>26.984126984126998</v>
      </c>
      <c r="CW5">
        <v>0</v>
      </c>
      <c r="CX5">
        <v>0</v>
      </c>
      <c r="CY5">
        <v>31.746031746031701</v>
      </c>
      <c r="CZ5">
        <v>42.063492063492099</v>
      </c>
      <c r="DA5">
        <v>26.1904761904762</v>
      </c>
      <c r="DB5">
        <v>0</v>
      </c>
      <c r="DC5">
        <v>0</v>
      </c>
      <c r="DD5">
        <v>31.746031746031701</v>
      </c>
      <c r="DE5">
        <v>42.063492063492099</v>
      </c>
      <c r="DF5">
        <v>26.1904761904762</v>
      </c>
      <c r="DG5">
        <v>0</v>
      </c>
      <c r="DH5">
        <v>0</v>
      </c>
      <c r="DI5">
        <v>31.746031746031701</v>
      </c>
      <c r="DJ5">
        <v>41.269841269841301</v>
      </c>
      <c r="DK5">
        <v>26.984126984126998</v>
      </c>
      <c r="DL5">
        <v>0</v>
      </c>
      <c r="DM5">
        <v>0</v>
      </c>
      <c r="DN5">
        <v>31.746031746031701</v>
      </c>
      <c r="DO5">
        <v>41.269841269841301</v>
      </c>
      <c r="DP5">
        <v>26.984126984126998</v>
      </c>
      <c r="DQ5">
        <v>0</v>
      </c>
      <c r="DR5">
        <v>0</v>
      </c>
      <c r="DS5" t="s">
        <v>273</v>
      </c>
      <c r="DT5" t="s">
        <v>273</v>
      </c>
      <c r="DU5" t="s">
        <v>273</v>
      </c>
      <c r="DV5" t="s">
        <v>273</v>
      </c>
      <c r="DW5" t="s">
        <v>273</v>
      </c>
      <c r="DX5" t="s">
        <v>273</v>
      </c>
      <c r="DY5" t="s">
        <v>273</v>
      </c>
      <c r="DZ5" t="s">
        <v>273</v>
      </c>
      <c r="EA5" t="s">
        <v>273</v>
      </c>
      <c r="EB5" t="s">
        <v>273</v>
      </c>
      <c r="EC5" t="s">
        <v>273</v>
      </c>
      <c r="ED5" t="s">
        <v>274</v>
      </c>
      <c r="EE5" t="s">
        <v>274</v>
      </c>
      <c r="EF5" t="s">
        <v>274</v>
      </c>
      <c r="EG5" t="s">
        <v>274</v>
      </c>
    </row>
    <row r="6" spans="1:137" ht="14.55" customHeight="1" x14ac:dyDescent="0.3">
      <c r="A6" t="s">
        <v>275</v>
      </c>
      <c r="B6">
        <v>2011</v>
      </c>
      <c r="C6" t="s">
        <v>276</v>
      </c>
      <c r="D6" t="s">
        <v>269</v>
      </c>
      <c r="E6" t="s">
        <v>269</v>
      </c>
      <c r="F6" t="s">
        <v>270</v>
      </c>
      <c r="G6" t="s">
        <v>271</v>
      </c>
      <c r="H6" s="3">
        <v>9876618.7559900004</v>
      </c>
      <c r="I6">
        <v>986</v>
      </c>
      <c r="J6" s="3">
        <v>987.66187559900004</v>
      </c>
      <c r="K6">
        <v>434</v>
      </c>
      <c r="L6">
        <v>670</v>
      </c>
      <c r="M6">
        <v>508.69427890345702</v>
      </c>
      <c r="N6">
        <v>43.341464569541202</v>
      </c>
      <c r="O6">
        <v>0</v>
      </c>
      <c r="P6">
        <v>33.197231292724602</v>
      </c>
      <c r="Q6">
        <v>6.31563377380371</v>
      </c>
      <c r="R6">
        <v>4.4319181442260698</v>
      </c>
      <c r="S6" t="s">
        <v>272</v>
      </c>
      <c r="T6" t="s">
        <v>275</v>
      </c>
      <c r="U6" t="s">
        <v>276</v>
      </c>
      <c r="V6" t="s">
        <v>276</v>
      </c>
      <c r="W6" s="3">
        <v>1767</v>
      </c>
      <c r="X6" s="3">
        <v>9880000</v>
      </c>
      <c r="Y6">
        <v>3</v>
      </c>
      <c r="Z6" s="3">
        <v>955</v>
      </c>
      <c r="AA6" s="3">
        <v>1032</v>
      </c>
      <c r="AB6" s="3">
        <v>1125</v>
      </c>
      <c r="AC6" s="3">
        <v>1282</v>
      </c>
      <c r="AD6" s="3">
        <v>1304</v>
      </c>
      <c r="AE6" s="3">
        <v>1370</v>
      </c>
      <c r="AF6" s="3">
        <v>1400</v>
      </c>
      <c r="AG6" s="3">
        <v>1419</v>
      </c>
      <c r="AH6" s="3">
        <v>1444</v>
      </c>
      <c r="AI6" s="3">
        <v>1496</v>
      </c>
      <c r="AJ6" s="3">
        <v>1510</v>
      </c>
      <c r="AK6" s="3">
        <v>1640</v>
      </c>
      <c r="AL6" s="3">
        <v>1633</v>
      </c>
      <c r="AM6" s="3">
        <v>1690</v>
      </c>
      <c r="AN6" s="3">
        <v>1729</v>
      </c>
      <c r="AO6" s="3">
        <v>1752</v>
      </c>
      <c r="AP6" s="3">
        <v>1767</v>
      </c>
      <c r="AR6" s="4">
        <f t="shared" ref="AR6:AR69" si="6">AP6/(J6/100)</f>
        <v>178.90738152956899</v>
      </c>
      <c r="AS6" s="5">
        <f t="shared" ref="AS6:AS69" si="7">(AA6-Z6)/Z6/8*100</f>
        <v>1.0078534031413613</v>
      </c>
      <c r="AT6" s="5">
        <f t="shared" si="0"/>
        <v>1.0012919896640826</v>
      </c>
      <c r="AU6" s="5">
        <f t="shared" si="1"/>
        <v>2.4444444444444442</v>
      </c>
      <c r="AV6" s="5">
        <f t="shared" si="2"/>
        <v>2.621428571428571</v>
      </c>
      <c r="AW6" s="5">
        <f t="shared" si="3"/>
        <v>1.0471204188481675</v>
      </c>
      <c r="AX6" s="5">
        <f t="shared" si="4"/>
        <v>2.8533333333333335</v>
      </c>
      <c r="AY6" s="5">
        <f t="shared" si="5"/>
        <v>2.2980048110938163</v>
      </c>
      <c r="AZ6">
        <f t="shared" ref="AZ6:AZ69" si="8">SUM(BA6:CA6)</f>
        <v>9850000</v>
      </c>
      <c r="BA6">
        <v>0</v>
      </c>
      <c r="BB6">
        <v>970000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7060000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1820000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72</v>
      </c>
      <c r="CC6">
        <v>84</v>
      </c>
      <c r="CD6">
        <v>105</v>
      </c>
      <c r="CE6">
        <v>114</v>
      </c>
      <c r="CF6" s="17">
        <v>7.2800808897876639</v>
      </c>
      <c r="CG6" s="17">
        <v>8.4934277047522748</v>
      </c>
      <c r="CH6" s="17">
        <v>10.616784630940344</v>
      </c>
      <c r="CI6" s="17">
        <v>11.526794742163801</v>
      </c>
      <c r="CJ6" s="18">
        <v>1</v>
      </c>
      <c r="CK6" s="18">
        <v>1.1666666666666667</v>
      </c>
      <c r="CL6" s="18">
        <v>1.4583333333333333</v>
      </c>
      <c r="CM6" s="18">
        <v>1.5833333333333333</v>
      </c>
      <c r="CN6" s="18">
        <v>0</v>
      </c>
      <c r="CO6" s="18">
        <v>1.2133468149646107</v>
      </c>
      <c r="CP6" s="18">
        <v>3.3367037411526792</v>
      </c>
      <c r="CQ6" s="18">
        <v>4.2467138523761374</v>
      </c>
      <c r="CR6" s="18">
        <f t="shared" ref="CR6:CR69" si="9">AM6/Z6</f>
        <v>1.7696335078534031</v>
      </c>
      <c r="CS6" s="18">
        <f t="shared" ref="CS6:CS69" si="10">CR6/CM6</f>
        <v>1.1176632681179388</v>
      </c>
      <c r="CT6">
        <v>2.7411167512690402</v>
      </c>
      <c r="CU6">
        <v>78.883248730964439</v>
      </c>
      <c r="CV6">
        <v>18.3756345177665</v>
      </c>
      <c r="CW6">
        <v>0</v>
      </c>
      <c r="CX6">
        <v>0</v>
      </c>
      <c r="CY6">
        <v>9.9492385786802</v>
      </c>
      <c r="CZ6">
        <v>71.979695431472095</v>
      </c>
      <c r="DA6">
        <v>18.0710659898477</v>
      </c>
      <c r="DB6">
        <v>0</v>
      </c>
      <c r="DC6">
        <v>0</v>
      </c>
      <c r="DD6">
        <v>9.9492385786802</v>
      </c>
      <c r="DE6">
        <v>71.979695431472095</v>
      </c>
      <c r="DF6">
        <v>18.0710659898477</v>
      </c>
      <c r="DG6">
        <v>0</v>
      </c>
      <c r="DH6">
        <v>0</v>
      </c>
      <c r="DI6">
        <v>9.8477157360406107</v>
      </c>
      <c r="DJ6">
        <v>71.675126903553306</v>
      </c>
      <c r="DK6">
        <v>18.4771573604061</v>
      </c>
      <c r="DL6">
        <v>0</v>
      </c>
      <c r="DM6">
        <v>0</v>
      </c>
      <c r="DN6">
        <v>9.8477157360406107</v>
      </c>
      <c r="DO6">
        <v>71.675126903553306</v>
      </c>
      <c r="DP6">
        <v>18.4771573604061</v>
      </c>
      <c r="DQ6">
        <v>0</v>
      </c>
      <c r="DR6">
        <v>0</v>
      </c>
      <c r="DS6" t="s">
        <v>273</v>
      </c>
      <c r="DT6" t="s">
        <v>273</v>
      </c>
      <c r="DU6" t="s">
        <v>273</v>
      </c>
      <c r="DV6" t="s">
        <v>273</v>
      </c>
      <c r="DW6" t="s">
        <v>273</v>
      </c>
      <c r="DX6" t="s">
        <v>273</v>
      </c>
      <c r="DY6" t="s">
        <v>273</v>
      </c>
      <c r="DZ6" t="s">
        <v>273</v>
      </c>
      <c r="EA6" t="s">
        <v>273</v>
      </c>
      <c r="EB6" t="s">
        <v>273</v>
      </c>
      <c r="EC6" t="s">
        <v>273</v>
      </c>
      <c r="ED6" t="s">
        <v>274</v>
      </c>
      <c r="EE6" t="s">
        <v>274</v>
      </c>
      <c r="EF6" t="s">
        <v>274</v>
      </c>
      <c r="EG6" t="s">
        <v>274</v>
      </c>
    </row>
    <row r="7" spans="1:137" ht="14.55" customHeight="1" x14ac:dyDescent="0.3">
      <c r="A7" t="s">
        <v>277</v>
      </c>
      <c r="B7">
        <v>2016</v>
      </c>
      <c r="C7" t="s">
        <v>278</v>
      </c>
      <c r="D7" t="s">
        <v>269</v>
      </c>
      <c r="E7" t="s">
        <v>269</v>
      </c>
      <c r="F7" t="s">
        <v>270</v>
      </c>
      <c r="G7" t="s">
        <v>271</v>
      </c>
      <c r="H7" s="3">
        <v>4100224.1825799998</v>
      </c>
      <c r="I7">
        <v>411</v>
      </c>
      <c r="J7" s="3">
        <v>410.02241825799996</v>
      </c>
      <c r="K7">
        <v>426</v>
      </c>
      <c r="L7">
        <v>514</v>
      </c>
      <c r="M7">
        <v>459.98578047611397</v>
      </c>
      <c r="N7">
        <v>11.383128244799</v>
      </c>
      <c r="O7">
        <v>0</v>
      </c>
      <c r="P7">
        <v>29.135282516479499</v>
      </c>
      <c r="Q7">
        <v>4.8501338958740199</v>
      </c>
      <c r="R7">
        <v>3.64552903175354</v>
      </c>
      <c r="S7" t="s">
        <v>272</v>
      </c>
      <c r="T7" t="s">
        <v>277</v>
      </c>
      <c r="U7" t="s">
        <v>278</v>
      </c>
      <c r="V7" t="s">
        <v>278</v>
      </c>
      <c r="W7" s="3">
        <v>1068</v>
      </c>
      <c r="X7" s="3">
        <v>4100000</v>
      </c>
      <c r="Y7">
        <v>3</v>
      </c>
      <c r="Z7" s="3">
        <v>448</v>
      </c>
      <c r="AA7" s="3">
        <v>459</v>
      </c>
      <c r="AB7" s="3">
        <v>598</v>
      </c>
      <c r="AC7" s="3">
        <v>772</v>
      </c>
      <c r="AD7" s="3">
        <v>786</v>
      </c>
      <c r="AE7" s="3">
        <v>802</v>
      </c>
      <c r="AF7" s="3">
        <v>816</v>
      </c>
      <c r="AG7" s="3">
        <v>841</v>
      </c>
      <c r="AH7" s="3">
        <v>862</v>
      </c>
      <c r="AI7" s="3">
        <v>878</v>
      </c>
      <c r="AJ7" s="3">
        <v>896</v>
      </c>
      <c r="AK7" s="3">
        <v>931</v>
      </c>
      <c r="AL7" s="3">
        <v>962</v>
      </c>
      <c r="AM7" s="3">
        <v>978</v>
      </c>
      <c r="AN7" s="3">
        <v>1044</v>
      </c>
      <c r="AO7" s="3">
        <v>1060</v>
      </c>
      <c r="AP7" s="3">
        <v>1068</v>
      </c>
      <c r="AR7" s="4">
        <f t="shared" si="6"/>
        <v>260.47356252798312</v>
      </c>
      <c r="AS7" s="5">
        <f t="shared" si="7"/>
        <v>0.30691964285714285</v>
      </c>
      <c r="AT7" s="5">
        <f t="shared" si="0"/>
        <v>3.3648027112079397</v>
      </c>
      <c r="AU7" s="5">
        <f t="shared" si="1"/>
        <v>3.6454849498327757</v>
      </c>
      <c r="AV7" s="5">
        <f t="shared" si="2"/>
        <v>3.0882352941176472</v>
      </c>
      <c r="AW7" s="5">
        <f t="shared" si="3"/>
        <v>1.9695378151260503</v>
      </c>
      <c r="AX7" s="5">
        <f t="shared" si="4"/>
        <v>3.9297658862876257</v>
      </c>
      <c r="AY7" s="5">
        <f t="shared" si="5"/>
        <v>3.7403474903474905</v>
      </c>
      <c r="AZ7">
        <f t="shared" si="8"/>
        <v>4130000</v>
      </c>
      <c r="BA7">
        <v>0</v>
      </c>
      <c r="BB7">
        <v>510000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3340000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280000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40</v>
      </c>
      <c r="CC7">
        <v>41</v>
      </c>
      <c r="CD7">
        <v>50</v>
      </c>
      <c r="CE7">
        <v>57</v>
      </c>
      <c r="CF7" s="17">
        <v>9.8280098280098276</v>
      </c>
      <c r="CG7" s="17">
        <v>10.073710073710075</v>
      </c>
      <c r="CH7" s="17">
        <v>12.285012285012286</v>
      </c>
      <c r="CI7" s="17">
        <v>14.004914004914005</v>
      </c>
      <c r="CJ7" s="18">
        <v>1</v>
      </c>
      <c r="CK7" s="18">
        <v>1.0249999999999999</v>
      </c>
      <c r="CL7" s="18">
        <v>1.25</v>
      </c>
      <c r="CM7" s="18">
        <v>1.425</v>
      </c>
      <c r="CN7" s="18">
        <v>0</v>
      </c>
      <c r="CO7" s="18">
        <v>0.24570024570024571</v>
      </c>
      <c r="CP7" s="18">
        <v>2.4570024570024569</v>
      </c>
      <c r="CQ7" s="18">
        <v>4.176904176904177</v>
      </c>
      <c r="CR7" s="18">
        <f t="shared" si="9"/>
        <v>2.1830357142857144</v>
      </c>
      <c r="CS7" s="18">
        <f t="shared" si="10"/>
        <v>1.5319548872180451</v>
      </c>
      <c r="CT7">
        <v>11.380145278450406</v>
      </c>
      <c r="CU7">
        <v>83.535108958837796</v>
      </c>
      <c r="CV7">
        <v>4.1162227602905599</v>
      </c>
      <c r="CW7">
        <v>0</v>
      </c>
      <c r="CX7">
        <v>0.96852300242130696</v>
      </c>
      <c r="CY7">
        <v>10.4116222760291</v>
      </c>
      <c r="CZ7">
        <v>82.566585956416503</v>
      </c>
      <c r="DA7">
        <v>7.0217917675544799</v>
      </c>
      <c r="DB7">
        <v>0</v>
      </c>
      <c r="DC7">
        <v>0</v>
      </c>
      <c r="DD7">
        <v>10.4116222760291</v>
      </c>
      <c r="DE7">
        <v>82.566585956416503</v>
      </c>
      <c r="DF7">
        <v>7.0217917675544799</v>
      </c>
      <c r="DG7">
        <v>0</v>
      </c>
      <c r="DH7">
        <v>0</v>
      </c>
      <c r="DI7">
        <v>12.348668280871699</v>
      </c>
      <c r="DJ7">
        <v>80.871670702179202</v>
      </c>
      <c r="DK7">
        <v>6.7796610169491496</v>
      </c>
      <c r="DL7">
        <v>0</v>
      </c>
      <c r="DM7">
        <v>0</v>
      </c>
      <c r="DN7">
        <v>12.348668280871699</v>
      </c>
      <c r="DO7">
        <v>80.871670702179202</v>
      </c>
      <c r="DP7">
        <v>6.7796610169491496</v>
      </c>
      <c r="DQ7">
        <v>0</v>
      </c>
      <c r="DR7">
        <v>0</v>
      </c>
      <c r="DS7" t="s">
        <v>273</v>
      </c>
      <c r="DT7" t="s">
        <v>273</v>
      </c>
      <c r="DU7" t="s">
        <v>273</v>
      </c>
      <c r="DV7" t="s">
        <v>273</v>
      </c>
      <c r="DW7" t="s">
        <v>273</v>
      </c>
      <c r="DX7" t="s">
        <v>273</v>
      </c>
      <c r="DY7" t="s">
        <v>273</v>
      </c>
      <c r="DZ7" t="s">
        <v>273</v>
      </c>
      <c r="EA7" t="s">
        <v>273</v>
      </c>
      <c r="EB7" t="s">
        <v>273</v>
      </c>
      <c r="EC7" t="s">
        <v>273</v>
      </c>
      <c r="ED7" t="s">
        <v>274</v>
      </c>
      <c r="EE7" t="s">
        <v>274</v>
      </c>
      <c r="EF7" t="s">
        <v>274</v>
      </c>
      <c r="EG7" t="s">
        <v>274</v>
      </c>
    </row>
    <row r="8" spans="1:137" ht="14.55" customHeight="1" x14ac:dyDescent="0.3">
      <c r="A8" t="s">
        <v>279</v>
      </c>
      <c r="B8">
        <v>2022</v>
      </c>
      <c r="C8" t="s">
        <v>280</v>
      </c>
      <c r="D8" t="s">
        <v>269</v>
      </c>
      <c r="E8" t="s">
        <v>269</v>
      </c>
      <c r="F8" t="s">
        <v>270</v>
      </c>
      <c r="G8" t="s">
        <v>271</v>
      </c>
      <c r="H8" s="3">
        <v>7108709.8722700002</v>
      </c>
      <c r="I8">
        <v>294</v>
      </c>
      <c r="J8" s="3">
        <v>289.462950455</v>
      </c>
      <c r="K8">
        <v>419</v>
      </c>
      <c r="L8">
        <v>492</v>
      </c>
      <c r="M8">
        <v>459.31005649717503</v>
      </c>
      <c r="N8">
        <v>20.353511905552399</v>
      </c>
      <c r="O8">
        <v>0</v>
      </c>
      <c r="P8">
        <v>20.903194427490199</v>
      </c>
      <c r="Q8">
        <v>4.8150453567504901</v>
      </c>
      <c r="R8">
        <v>3.2268490791320801</v>
      </c>
      <c r="S8" t="s">
        <v>272</v>
      </c>
      <c r="T8" t="s">
        <v>279</v>
      </c>
      <c r="U8" t="s">
        <v>280</v>
      </c>
      <c r="V8" t="s">
        <v>280</v>
      </c>
      <c r="W8" s="3">
        <v>1097</v>
      </c>
      <c r="X8" s="3">
        <v>2560000</v>
      </c>
      <c r="Y8">
        <v>3</v>
      </c>
      <c r="Z8" s="3">
        <v>214</v>
      </c>
      <c r="AA8" s="3">
        <v>287</v>
      </c>
      <c r="AB8" s="3">
        <v>499</v>
      </c>
      <c r="AC8" s="3">
        <v>696</v>
      </c>
      <c r="AD8" s="3">
        <v>745</v>
      </c>
      <c r="AE8" s="3">
        <v>728</v>
      </c>
      <c r="AF8" s="3">
        <v>752</v>
      </c>
      <c r="AG8" s="3">
        <v>785</v>
      </c>
      <c r="AH8" s="3">
        <v>851</v>
      </c>
      <c r="AI8" s="3">
        <v>911</v>
      </c>
      <c r="AJ8" s="3">
        <v>954</v>
      </c>
      <c r="AK8" s="3">
        <v>957</v>
      </c>
      <c r="AL8" s="3">
        <v>1004</v>
      </c>
      <c r="AM8" s="3">
        <v>1033</v>
      </c>
      <c r="AN8" s="3">
        <v>1051</v>
      </c>
      <c r="AO8" s="3">
        <v>1071</v>
      </c>
      <c r="AP8" s="3">
        <v>1097</v>
      </c>
      <c r="AR8" s="4">
        <f t="shared" si="6"/>
        <v>378.97768894970892</v>
      </c>
      <c r="AS8" s="5">
        <f t="shared" si="7"/>
        <v>4.2640186915887845</v>
      </c>
      <c r="AT8" s="5">
        <f t="shared" si="0"/>
        <v>8.207510646535038</v>
      </c>
      <c r="AU8" s="5">
        <f t="shared" si="1"/>
        <v>5.0701402805611213</v>
      </c>
      <c r="AV8" s="5">
        <f t="shared" si="2"/>
        <v>4.5877659574468082</v>
      </c>
      <c r="AW8" s="5">
        <f t="shared" si="3"/>
        <v>7.833974711379879</v>
      </c>
      <c r="AX8" s="5">
        <f t="shared" si="4"/>
        <v>5.9919839679358722</v>
      </c>
      <c r="AY8" s="5">
        <f t="shared" si="5"/>
        <v>11.151806011619096</v>
      </c>
      <c r="AZ8">
        <f t="shared" si="8"/>
        <v>2890000</v>
      </c>
      <c r="BA8">
        <v>0</v>
      </c>
      <c r="BB8">
        <v>420000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330000</v>
      </c>
      <c r="BJ8">
        <v>1220000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570000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350000</v>
      </c>
      <c r="BZ8">
        <v>0</v>
      </c>
      <c r="CA8">
        <v>0</v>
      </c>
      <c r="CB8">
        <v>43</v>
      </c>
      <c r="CC8">
        <v>53</v>
      </c>
      <c r="CD8">
        <v>56</v>
      </c>
      <c r="CE8">
        <v>68</v>
      </c>
      <c r="CF8" s="17">
        <v>16.602316602316602</v>
      </c>
      <c r="CG8" s="17">
        <v>20.463320463320464</v>
      </c>
      <c r="CH8" s="17">
        <v>21.621621621621621</v>
      </c>
      <c r="CI8" s="17">
        <v>26.254826254826252</v>
      </c>
      <c r="CJ8" s="18">
        <v>1</v>
      </c>
      <c r="CK8" s="18">
        <v>1.2325581395348837</v>
      </c>
      <c r="CL8" s="18">
        <v>1.3023255813953489</v>
      </c>
      <c r="CM8" s="18">
        <v>1.5813953488372092</v>
      </c>
      <c r="CN8" s="18">
        <v>0</v>
      </c>
      <c r="CO8" s="18">
        <v>3.8610038610038608</v>
      </c>
      <c r="CP8" s="18">
        <v>5.019305019305019</v>
      </c>
      <c r="CQ8" s="18">
        <v>9.6525096525096519</v>
      </c>
      <c r="CR8" s="18">
        <f t="shared" si="9"/>
        <v>4.8271028037383177</v>
      </c>
      <c r="CS8" s="18">
        <f t="shared" si="10"/>
        <v>3.0524326553051129</v>
      </c>
      <c r="CT8">
        <v>7.2413793103448301</v>
      </c>
      <c r="CU8">
        <v>66.206896551724128</v>
      </c>
      <c r="CV8">
        <v>12.413793103448301</v>
      </c>
      <c r="CW8">
        <v>13.448275862069</v>
      </c>
      <c r="CX8">
        <v>0.68965517241379304</v>
      </c>
      <c r="CY8">
        <v>24.482758620689701</v>
      </c>
      <c r="CZ8">
        <v>45.517241379310398</v>
      </c>
      <c r="DA8">
        <v>17.931034482758601</v>
      </c>
      <c r="DB8">
        <v>12.0689655172414</v>
      </c>
      <c r="DC8">
        <v>0</v>
      </c>
      <c r="DD8">
        <v>24.482758620689701</v>
      </c>
      <c r="DE8">
        <v>45.517241379310398</v>
      </c>
      <c r="DF8">
        <v>17.931034482758601</v>
      </c>
      <c r="DG8">
        <v>12.0689655172414</v>
      </c>
      <c r="DH8">
        <v>0</v>
      </c>
      <c r="DI8">
        <v>25.862068965517299</v>
      </c>
      <c r="DJ8">
        <v>42.413793103448299</v>
      </c>
      <c r="DK8">
        <v>19.6551724137931</v>
      </c>
      <c r="DL8">
        <v>12.0689655172414</v>
      </c>
      <c r="DM8">
        <v>0</v>
      </c>
      <c r="DN8">
        <v>25.862068965517299</v>
      </c>
      <c r="DO8">
        <v>42.413793103448299</v>
      </c>
      <c r="DP8">
        <v>19.6551724137931</v>
      </c>
      <c r="DQ8">
        <v>12.0689655172414</v>
      </c>
      <c r="DR8">
        <v>0</v>
      </c>
      <c r="DS8" t="s">
        <v>273</v>
      </c>
      <c r="DT8" t="s">
        <v>273</v>
      </c>
      <c r="DU8" t="s">
        <v>273</v>
      </c>
      <c r="DV8" t="s">
        <v>273</v>
      </c>
      <c r="DW8" t="s">
        <v>273</v>
      </c>
      <c r="DX8" t="s">
        <v>273</v>
      </c>
      <c r="DY8" t="s">
        <v>273</v>
      </c>
      <c r="DZ8" t="s">
        <v>273</v>
      </c>
      <c r="EA8" t="s">
        <v>273</v>
      </c>
      <c r="EB8" t="s">
        <v>273</v>
      </c>
      <c r="EC8" t="s">
        <v>273</v>
      </c>
      <c r="ED8" t="s">
        <v>274</v>
      </c>
      <c r="EE8" t="s">
        <v>274</v>
      </c>
      <c r="EF8" t="s">
        <v>274</v>
      </c>
      <c r="EG8" t="s">
        <v>274</v>
      </c>
    </row>
    <row r="9" spans="1:137" ht="14.55" customHeight="1" x14ac:dyDescent="0.3">
      <c r="A9" t="s">
        <v>281</v>
      </c>
      <c r="B9">
        <v>2025</v>
      </c>
      <c r="C9" t="s">
        <v>282</v>
      </c>
      <c r="D9" t="s">
        <v>269</v>
      </c>
      <c r="E9" t="s">
        <v>269</v>
      </c>
      <c r="F9" t="s">
        <v>270</v>
      </c>
      <c r="G9" t="s">
        <v>271</v>
      </c>
      <c r="H9" s="3">
        <v>5520288.5769100003</v>
      </c>
      <c r="I9">
        <v>550</v>
      </c>
      <c r="J9" s="3">
        <v>552.02885769099998</v>
      </c>
      <c r="K9">
        <v>465</v>
      </c>
      <c r="L9">
        <v>633</v>
      </c>
      <c r="M9">
        <v>534.04963191641002</v>
      </c>
      <c r="N9">
        <v>49.488779619460999</v>
      </c>
      <c r="O9">
        <v>0</v>
      </c>
      <c r="P9">
        <v>33.137508392333999</v>
      </c>
      <c r="Q9">
        <v>6.43088674545288</v>
      </c>
      <c r="R9">
        <v>4.5829939842224103</v>
      </c>
      <c r="S9" t="s">
        <v>272</v>
      </c>
      <c r="T9" t="s">
        <v>281</v>
      </c>
      <c r="U9" t="s">
        <v>282</v>
      </c>
      <c r="V9" t="s">
        <v>282</v>
      </c>
      <c r="W9" s="3">
        <v>1178</v>
      </c>
      <c r="X9" s="3">
        <v>5500000</v>
      </c>
      <c r="Y9">
        <v>3</v>
      </c>
      <c r="Z9" s="3">
        <v>418</v>
      </c>
      <c r="AA9" s="3">
        <v>509</v>
      </c>
      <c r="AB9" s="3">
        <v>680</v>
      </c>
      <c r="AC9" s="3">
        <v>813</v>
      </c>
      <c r="AD9" s="3">
        <v>824</v>
      </c>
      <c r="AE9" s="3">
        <v>853</v>
      </c>
      <c r="AF9" s="3">
        <v>912</v>
      </c>
      <c r="AG9" s="3">
        <v>922</v>
      </c>
      <c r="AH9" s="3">
        <v>1004</v>
      </c>
      <c r="AI9" s="3">
        <v>1036</v>
      </c>
      <c r="AJ9" s="3">
        <v>1050</v>
      </c>
      <c r="AK9" s="3">
        <v>1076</v>
      </c>
      <c r="AL9" s="3">
        <v>1124</v>
      </c>
      <c r="AM9" s="3">
        <v>1163</v>
      </c>
      <c r="AN9" s="3">
        <v>1161</v>
      </c>
      <c r="AO9" s="3">
        <v>1141</v>
      </c>
      <c r="AP9" s="3">
        <v>1178</v>
      </c>
      <c r="AR9" s="4">
        <f t="shared" si="6"/>
        <v>213.39464116555109</v>
      </c>
      <c r="AS9" s="5">
        <f t="shared" si="7"/>
        <v>2.7212918660287082</v>
      </c>
      <c r="AT9" s="5">
        <f t="shared" si="0"/>
        <v>3.7328094302554029</v>
      </c>
      <c r="AU9" s="5">
        <f t="shared" si="1"/>
        <v>3.4117647058823533</v>
      </c>
      <c r="AV9" s="5">
        <f t="shared" si="2"/>
        <v>2.9166666666666665</v>
      </c>
      <c r="AW9" s="5">
        <f t="shared" si="3"/>
        <v>3.6870250492541516</v>
      </c>
      <c r="AX9" s="5">
        <f t="shared" si="4"/>
        <v>3.6617647058823524</v>
      </c>
      <c r="AY9" s="5">
        <f t="shared" si="5"/>
        <v>4.9140049140049138</v>
      </c>
      <c r="AZ9">
        <f t="shared" si="8"/>
        <v>5510000</v>
      </c>
      <c r="BA9">
        <v>0</v>
      </c>
      <c r="BB9">
        <v>260000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4240000</v>
      </c>
      <c r="BK9">
        <v>0</v>
      </c>
      <c r="BL9">
        <v>0</v>
      </c>
      <c r="BM9">
        <v>0</v>
      </c>
      <c r="BN9">
        <v>0</v>
      </c>
      <c r="BO9">
        <v>0</v>
      </c>
      <c r="BP9">
        <v>10000</v>
      </c>
      <c r="BQ9">
        <v>0</v>
      </c>
      <c r="BR9">
        <v>1000000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34</v>
      </c>
      <c r="CC9">
        <v>48</v>
      </c>
      <c r="CD9">
        <v>67</v>
      </c>
      <c r="CE9">
        <v>74</v>
      </c>
      <c r="CF9" s="17">
        <v>6.2157221206581355</v>
      </c>
      <c r="CG9" s="17">
        <v>8.7751371115173669</v>
      </c>
      <c r="CH9" s="17">
        <v>12.248628884826324</v>
      </c>
      <c r="CI9" s="17">
        <v>13.528336380255942</v>
      </c>
      <c r="CJ9" s="18">
        <v>1</v>
      </c>
      <c r="CK9" s="18">
        <v>1.411764705882353</v>
      </c>
      <c r="CL9" s="18">
        <v>1.9705882352941178</v>
      </c>
      <c r="CM9" s="18">
        <v>2.1764705882352939</v>
      </c>
      <c r="CN9" s="18">
        <v>0</v>
      </c>
      <c r="CO9" s="18">
        <v>2.5594149908592323</v>
      </c>
      <c r="CP9" s="18">
        <v>6.0329067641681906</v>
      </c>
      <c r="CQ9" s="18">
        <v>7.3126142595978063</v>
      </c>
      <c r="CR9" s="18">
        <f t="shared" si="9"/>
        <v>2.7822966507177034</v>
      </c>
      <c r="CS9" s="18">
        <f t="shared" si="10"/>
        <v>1.2783525151946207</v>
      </c>
      <c r="CT9">
        <v>0.72595281306715098</v>
      </c>
      <c r="CU9">
        <v>80.399274047186907</v>
      </c>
      <c r="CV9">
        <v>18.874773139745901</v>
      </c>
      <c r="CW9">
        <v>0</v>
      </c>
      <c r="CX9">
        <v>0</v>
      </c>
      <c r="CY9">
        <v>4.1742286751361197</v>
      </c>
      <c r="CZ9">
        <v>77.313974591651601</v>
      </c>
      <c r="DA9">
        <v>18.5117967332123</v>
      </c>
      <c r="DB9">
        <v>0</v>
      </c>
      <c r="DC9">
        <v>0</v>
      </c>
      <c r="DD9">
        <v>4.1742286751361197</v>
      </c>
      <c r="DE9">
        <v>77.313974591651601</v>
      </c>
      <c r="DF9">
        <v>18.5117967332123</v>
      </c>
      <c r="DG9">
        <v>0</v>
      </c>
      <c r="DH9">
        <v>0</v>
      </c>
      <c r="DI9">
        <v>4.7186932849364798</v>
      </c>
      <c r="DJ9">
        <v>76.950998185117996</v>
      </c>
      <c r="DK9">
        <v>18.330308529945601</v>
      </c>
      <c r="DL9">
        <v>0</v>
      </c>
      <c r="DM9">
        <v>0</v>
      </c>
      <c r="DN9">
        <v>4.7186932849364798</v>
      </c>
      <c r="DO9">
        <v>76.950998185117996</v>
      </c>
      <c r="DP9">
        <v>18.330308529945601</v>
      </c>
      <c r="DQ9">
        <v>0</v>
      </c>
      <c r="DR9">
        <v>0</v>
      </c>
      <c r="DS9" t="s">
        <v>273</v>
      </c>
      <c r="DT9" t="s">
        <v>273</v>
      </c>
      <c r="DU9" t="s">
        <v>273</v>
      </c>
      <c r="DV9" t="s">
        <v>273</v>
      </c>
      <c r="DW9" t="s">
        <v>273</v>
      </c>
      <c r="DX9" t="s">
        <v>273</v>
      </c>
      <c r="DY9" t="s">
        <v>273</v>
      </c>
      <c r="DZ9" t="s">
        <v>273</v>
      </c>
      <c r="EA9" t="s">
        <v>273</v>
      </c>
      <c r="EB9" t="s">
        <v>273</v>
      </c>
      <c r="EC9" t="s">
        <v>273</v>
      </c>
      <c r="ED9" t="s">
        <v>274</v>
      </c>
      <c r="EE9" t="s">
        <v>274</v>
      </c>
      <c r="EF9" t="s">
        <v>274</v>
      </c>
      <c r="EG9" t="s">
        <v>274</v>
      </c>
    </row>
    <row r="10" spans="1:137" ht="14.55" customHeight="1" x14ac:dyDescent="0.3">
      <c r="A10" t="s">
        <v>283</v>
      </c>
      <c r="B10">
        <v>2027</v>
      </c>
      <c r="C10" t="s">
        <v>284</v>
      </c>
      <c r="D10" t="s">
        <v>269</v>
      </c>
      <c r="E10" t="s">
        <v>269</v>
      </c>
      <c r="F10" t="s">
        <v>270</v>
      </c>
      <c r="G10" t="s">
        <v>271</v>
      </c>
      <c r="H10" s="3">
        <v>4382177.67337</v>
      </c>
      <c r="I10">
        <v>438</v>
      </c>
      <c r="J10" s="3">
        <v>438.217767337</v>
      </c>
      <c r="K10">
        <v>446</v>
      </c>
      <c r="L10">
        <v>634</v>
      </c>
      <c r="M10">
        <v>510.62434496182101</v>
      </c>
      <c r="N10">
        <v>39.929580327920199</v>
      </c>
      <c r="O10">
        <v>0</v>
      </c>
      <c r="P10">
        <v>31.150426864623999</v>
      </c>
      <c r="Q10">
        <v>6.2250604629516602</v>
      </c>
      <c r="R10">
        <v>4.5615391731262198</v>
      </c>
      <c r="S10" t="s">
        <v>272</v>
      </c>
      <c r="T10" t="s">
        <v>283</v>
      </c>
      <c r="U10" t="s">
        <v>284</v>
      </c>
      <c r="V10" t="s">
        <v>284</v>
      </c>
      <c r="W10" s="3">
        <v>437</v>
      </c>
      <c r="X10" s="3">
        <v>4380000</v>
      </c>
      <c r="Y10">
        <v>3</v>
      </c>
      <c r="Z10" s="3">
        <v>248</v>
      </c>
      <c r="AA10" s="3">
        <v>254</v>
      </c>
      <c r="AB10" s="3">
        <v>251</v>
      </c>
      <c r="AC10" s="3">
        <v>303</v>
      </c>
      <c r="AD10" s="3">
        <v>301</v>
      </c>
      <c r="AE10" s="3">
        <v>320</v>
      </c>
      <c r="AF10" s="3">
        <v>324</v>
      </c>
      <c r="AG10" s="3">
        <v>315</v>
      </c>
      <c r="AH10" s="3">
        <v>349</v>
      </c>
      <c r="AI10" s="3">
        <v>340</v>
      </c>
      <c r="AJ10" s="3">
        <v>353</v>
      </c>
      <c r="AK10" s="3">
        <v>378</v>
      </c>
      <c r="AL10" s="3">
        <v>414</v>
      </c>
      <c r="AM10" s="3">
        <v>410</v>
      </c>
      <c r="AN10" s="3">
        <v>415</v>
      </c>
      <c r="AO10" s="3">
        <v>439</v>
      </c>
      <c r="AP10" s="3">
        <v>437</v>
      </c>
      <c r="AR10" s="4">
        <f t="shared" si="6"/>
        <v>99.72210909101193</v>
      </c>
      <c r="AS10" s="5">
        <f t="shared" si="7"/>
        <v>0.30241935483870969</v>
      </c>
      <c r="AT10" s="5">
        <f t="shared" si="0"/>
        <v>-0.13123359580052493</v>
      </c>
      <c r="AU10" s="5">
        <f t="shared" si="1"/>
        <v>2.9083665338645419</v>
      </c>
      <c r="AV10" s="5">
        <f t="shared" si="2"/>
        <v>3.4876543209876543</v>
      </c>
      <c r="AW10" s="5">
        <f t="shared" si="3"/>
        <v>7.1157495256166978E-2</v>
      </c>
      <c r="AX10" s="5">
        <f t="shared" si="4"/>
        <v>3.7051792828685262</v>
      </c>
      <c r="AY10" s="5">
        <f t="shared" si="5"/>
        <v>2.0597210113339144</v>
      </c>
      <c r="AZ10">
        <f t="shared" si="8"/>
        <v>4350000</v>
      </c>
      <c r="BA10">
        <v>0</v>
      </c>
      <c r="BB10">
        <v>490000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3260000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600000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27</v>
      </c>
      <c r="CC10">
        <v>35</v>
      </c>
      <c r="CD10">
        <v>40</v>
      </c>
      <c r="CE10">
        <v>49</v>
      </c>
      <c r="CF10" s="17">
        <v>6.2068965517241379</v>
      </c>
      <c r="CG10" s="17">
        <v>8.0459770114942533</v>
      </c>
      <c r="CH10" s="17">
        <v>9.1954022988505741</v>
      </c>
      <c r="CI10" s="17">
        <v>11.264367816091953</v>
      </c>
      <c r="CJ10" s="18">
        <v>1</v>
      </c>
      <c r="CK10" s="18">
        <v>1.2962962962962963</v>
      </c>
      <c r="CL10" s="18">
        <v>1.4814814814814814</v>
      </c>
      <c r="CM10" s="18">
        <v>1.8148148148148149</v>
      </c>
      <c r="CN10" s="18">
        <v>0</v>
      </c>
      <c r="CO10" s="18">
        <v>1.8390804597701149</v>
      </c>
      <c r="CP10" s="18">
        <v>2.9885057471264367</v>
      </c>
      <c r="CQ10" s="18">
        <v>5.0574712643678161</v>
      </c>
      <c r="CR10" s="18">
        <f t="shared" si="9"/>
        <v>1.653225806451613</v>
      </c>
      <c r="CS10" s="18">
        <f t="shared" si="10"/>
        <v>0.91096115865701122</v>
      </c>
      <c r="CT10">
        <v>4.367816091954027</v>
      </c>
      <c r="CU10">
        <v>78.850574712643663</v>
      </c>
      <c r="CV10">
        <v>16.7816091954023</v>
      </c>
      <c r="CW10">
        <v>0</v>
      </c>
      <c r="CX10">
        <v>0</v>
      </c>
      <c r="CY10">
        <v>11.264367816091999</v>
      </c>
      <c r="CZ10">
        <v>75.402298850574695</v>
      </c>
      <c r="DA10">
        <v>13.3333333333333</v>
      </c>
      <c r="DB10">
        <v>0</v>
      </c>
      <c r="DC10">
        <v>0</v>
      </c>
      <c r="DD10">
        <v>11.264367816091999</v>
      </c>
      <c r="DE10">
        <v>75.402298850574695</v>
      </c>
      <c r="DF10">
        <v>13.3333333333333</v>
      </c>
      <c r="DG10">
        <v>0</v>
      </c>
      <c r="DH10">
        <v>0</v>
      </c>
      <c r="DI10">
        <v>11.264367816091999</v>
      </c>
      <c r="DJ10">
        <v>74.942528735632195</v>
      </c>
      <c r="DK10">
        <v>13.7931034482759</v>
      </c>
      <c r="DL10">
        <v>0</v>
      </c>
      <c r="DM10">
        <v>0</v>
      </c>
      <c r="DN10">
        <v>11.264367816091999</v>
      </c>
      <c r="DO10">
        <v>74.942528735632195</v>
      </c>
      <c r="DP10">
        <v>13.7931034482759</v>
      </c>
      <c r="DQ10">
        <v>0</v>
      </c>
      <c r="DR10">
        <v>0</v>
      </c>
      <c r="DS10" t="s">
        <v>273</v>
      </c>
      <c r="DT10" t="s">
        <v>273</v>
      </c>
      <c r="DU10" t="s">
        <v>273</v>
      </c>
      <c r="DV10" t="s">
        <v>273</v>
      </c>
      <c r="DW10" t="s">
        <v>273</v>
      </c>
      <c r="DX10" t="s">
        <v>273</v>
      </c>
      <c r="DY10" t="s">
        <v>273</v>
      </c>
      <c r="DZ10" t="s">
        <v>273</v>
      </c>
      <c r="EA10" t="s">
        <v>273</v>
      </c>
      <c r="EB10" t="s">
        <v>273</v>
      </c>
      <c r="EC10" t="s">
        <v>273</v>
      </c>
      <c r="ED10" t="s">
        <v>274</v>
      </c>
      <c r="EE10" t="s">
        <v>274</v>
      </c>
      <c r="EF10" t="s">
        <v>274</v>
      </c>
      <c r="EG10" t="s">
        <v>274</v>
      </c>
    </row>
    <row r="11" spans="1:137" ht="14.55" customHeight="1" x14ac:dyDescent="0.3">
      <c r="A11" t="s">
        <v>285</v>
      </c>
      <c r="B11">
        <v>2029</v>
      </c>
      <c r="C11" t="s">
        <v>286</v>
      </c>
      <c r="D11" t="s">
        <v>269</v>
      </c>
      <c r="E11" t="s">
        <v>269</v>
      </c>
      <c r="F11" t="s">
        <v>270</v>
      </c>
      <c r="G11" t="s">
        <v>271</v>
      </c>
      <c r="H11" s="3">
        <v>17531321.022399999</v>
      </c>
      <c r="I11">
        <v>1755</v>
      </c>
      <c r="J11" s="3">
        <v>1753.13210224</v>
      </c>
      <c r="K11">
        <v>447</v>
      </c>
      <c r="L11">
        <v>683</v>
      </c>
      <c r="M11">
        <v>576.54483325241802</v>
      </c>
      <c r="N11">
        <v>53.692506491152699</v>
      </c>
      <c r="O11">
        <v>0</v>
      </c>
      <c r="P11">
        <v>42.031112670898402</v>
      </c>
      <c r="Q11">
        <v>7.4428677558898899</v>
      </c>
      <c r="R11">
        <v>5.4157581329345703</v>
      </c>
      <c r="S11" t="s">
        <v>272</v>
      </c>
      <c r="T11" t="s">
        <v>285</v>
      </c>
      <c r="U11" t="s">
        <v>286</v>
      </c>
      <c r="V11" t="s">
        <v>286</v>
      </c>
      <c r="W11" s="3">
        <v>2677</v>
      </c>
      <c r="X11" s="3">
        <v>17540000</v>
      </c>
      <c r="Y11">
        <v>3</v>
      </c>
      <c r="Z11" s="3">
        <v>1550</v>
      </c>
      <c r="AA11" s="3">
        <v>1586</v>
      </c>
      <c r="AB11" s="3">
        <v>1795</v>
      </c>
      <c r="AC11" s="3">
        <v>1965</v>
      </c>
      <c r="AD11" s="3">
        <v>1965</v>
      </c>
      <c r="AE11" s="3">
        <v>2020</v>
      </c>
      <c r="AF11" s="3">
        <v>2058</v>
      </c>
      <c r="AG11" s="3">
        <v>2065</v>
      </c>
      <c r="AH11" s="3">
        <v>2083</v>
      </c>
      <c r="AI11" s="3">
        <v>2103</v>
      </c>
      <c r="AJ11" s="3">
        <v>2204</v>
      </c>
      <c r="AK11" s="3">
        <v>2274</v>
      </c>
      <c r="AL11" s="3">
        <v>2354</v>
      </c>
      <c r="AM11" s="3">
        <v>2404</v>
      </c>
      <c r="AN11" s="3">
        <v>2536</v>
      </c>
      <c r="AO11" s="3">
        <v>2634</v>
      </c>
      <c r="AP11" s="3">
        <v>2677</v>
      </c>
      <c r="AR11" s="4">
        <f t="shared" si="6"/>
        <v>152.69813361922709</v>
      </c>
      <c r="AS11" s="5">
        <f t="shared" si="7"/>
        <v>0.29032258064516131</v>
      </c>
      <c r="AT11" s="5">
        <f t="shared" si="0"/>
        <v>1.4642006445285134</v>
      </c>
      <c r="AU11" s="5">
        <f t="shared" si="1"/>
        <v>1.4651810584958216</v>
      </c>
      <c r="AV11" s="5">
        <f t="shared" si="2"/>
        <v>3.0077745383867831</v>
      </c>
      <c r="AW11" s="5">
        <f t="shared" si="3"/>
        <v>0.92979127134724848</v>
      </c>
      <c r="AX11" s="5">
        <f t="shared" si="4"/>
        <v>2.4568245125348187</v>
      </c>
      <c r="AY11" s="5">
        <f t="shared" si="5"/>
        <v>1.9651264167393199</v>
      </c>
      <c r="AZ11">
        <f t="shared" si="8"/>
        <v>17600000</v>
      </c>
      <c r="BA11">
        <v>0</v>
      </c>
      <c r="BB11">
        <v>1220000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7570000</v>
      </c>
      <c r="BK11">
        <v>0</v>
      </c>
      <c r="BL11">
        <v>0</v>
      </c>
      <c r="BM11">
        <v>3350000</v>
      </c>
      <c r="BN11">
        <v>0</v>
      </c>
      <c r="BO11">
        <v>0</v>
      </c>
      <c r="BP11">
        <v>940000</v>
      </c>
      <c r="BQ11">
        <v>0</v>
      </c>
      <c r="BR11">
        <v>4520000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108</v>
      </c>
      <c r="CC11">
        <v>129</v>
      </c>
      <c r="CD11">
        <v>146</v>
      </c>
      <c r="CE11">
        <v>164</v>
      </c>
      <c r="CF11" s="17">
        <v>6.1643835616438354</v>
      </c>
      <c r="CG11" s="17">
        <v>7.3630136986301373</v>
      </c>
      <c r="CH11" s="17">
        <v>8.3333333333333321</v>
      </c>
      <c r="CI11" s="17">
        <v>9.3607305936073057</v>
      </c>
      <c r="CJ11" s="18">
        <v>1</v>
      </c>
      <c r="CK11" s="18">
        <v>1.1944444444444444</v>
      </c>
      <c r="CL11" s="18">
        <v>1.3518518518518519</v>
      </c>
      <c r="CM11" s="18">
        <v>1.5185185185185186</v>
      </c>
      <c r="CN11" s="18">
        <v>0</v>
      </c>
      <c r="CO11" s="18">
        <v>1.1986301369863013</v>
      </c>
      <c r="CP11" s="18">
        <v>2.1689497716894977</v>
      </c>
      <c r="CQ11" s="18">
        <v>3.1963470319634704</v>
      </c>
      <c r="CR11" s="18">
        <f t="shared" si="9"/>
        <v>1.5509677419354839</v>
      </c>
      <c r="CS11" s="18">
        <f t="shared" si="10"/>
        <v>1.0213690007867819</v>
      </c>
      <c r="CT11">
        <v>1.5340909090909089</v>
      </c>
      <c r="CU11">
        <v>67.670454545454589</v>
      </c>
      <c r="CV11">
        <v>30.7954545454546</v>
      </c>
      <c r="CW11">
        <v>0</v>
      </c>
      <c r="CX11">
        <v>0</v>
      </c>
      <c r="CY11">
        <v>6.5340909090909101</v>
      </c>
      <c r="CZ11">
        <v>62.386363636363598</v>
      </c>
      <c r="DA11">
        <v>31.079545454545499</v>
      </c>
      <c r="DB11">
        <v>0</v>
      </c>
      <c r="DC11">
        <v>0</v>
      </c>
      <c r="DD11">
        <v>6.5340909090909101</v>
      </c>
      <c r="DE11">
        <v>62.386363636363598</v>
      </c>
      <c r="DF11">
        <v>31.079545454545499</v>
      </c>
      <c r="DG11">
        <v>0</v>
      </c>
      <c r="DH11">
        <v>0</v>
      </c>
      <c r="DI11">
        <v>6.9318181818181799</v>
      </c>
      <c r="DJ11">
        <v>62.045454545454497</v>
      </c>
      <c r="DK11">
        <v>31.022727272727298</v>
      </c>
      <c r="DL11">
        <v>0</v>
      </c>
      <c r="DM11">
        <v>0</v>
      </c>
      <c r="DN11">
        <v>6.9318181818181799</v>
      </c>
      <c r="DO11">
        <v>62.045454545454497</v>
      </c>
      <c r="DP11">
        <v>31.022727272727298</v>
      </c>
      <c r="DQ11">
        <v>0</v>
      </c>
      <c r="DR11">
        <v>0</v>
      </c>
      <c r="DS11" t="s">
        <v>273</v>
      </c>
      <c r="DT11" t="s">
        <v>273</v>
      </c>
      <c r="DU11" t="s">
        <v>273</v>
      </c>
      <c r="DV11" t="s">
        <v>273</v>
      </c>
      <c r="DW11" t="s">
        <v>273</v>
      </c>
      <c r="DX11" t="s">
        <v>273</v>
      </c>
      <c r="DY11" t="s">
        <v>273</v>
      </c>
      <c r="DZ11" t="s">
        <v>273</v>
      </c>
      <c r="EA11" t="s">
        <v>273</v>
      </c>
      <c r="EB11" t="s">
        <v>273</v>
      </c>
      <c r="EC11" t="s">
        <v>273</v>
      </c>
      <c r="ED11" t="s">
        <v>274</v>
      </c>
      <c r="EE11" t="s">
        <v>274</v>
      </c>
      <c r="EF11" t="s">
        <v>274</v>
      </c>
      <c r="EG11" t="s">
        <v>274</v>
      </c>
    </row>
    <row r="12" spans="1:137" ht="14.55" customHeight="1" x14ac:dyDescent="0.3">
      <c r="A12" t="s">
        <v>287</v>
      </c>
      <c r="B12">
        <v>2035</v>
      </c>
      <c r="C12" t="s">
        <v>288</v>
      </c>
      <c r="D12" t="s">
        <v>269</v>
      </c>
      <c r="E12" t="s">
        <v>269</v>
      </c>
      <c r="F12" t="s">
        <v>270</v>
      </c>
      <c r="G12" t="s">
        <v>271</v>
      </c>
      <c r="H12" s="3">
        <v>3982559.96172</v>
      </c>
      <c r="I12">
        <v>399</v>
      </c>
      <c r="J12" s="3">
        <v>398.25599617199998</v>
      </c>
      <c r="K12">
        <v>542</v>
      </c>
      <c r="L12">
        <v>745</v>
      </c>
      <c r="M12">
        <v>636.035373478118</v>
      </c>
      <c r="N12">
        <v>43.150626153780699</v>
      </c>
      <c r="O12">
        <v>0</v>
      </c>
      <c r="P12">
        <v>30.0051670074463</v>
      </c>
      <c r="Q12">
        <v>7.18695068359375</v>
      </c>
      <c r="R12">
        <v>4.0113649368286097</v>
      </c>
      <c r="S12" t="s">
        <v>272</v>
      </c>
      <c r="T12" t="s">
        <v>287</v>
      </c>
      <c r="U12" t="s">
        <v>288</v>
      </c>
      <c r="V12" t="s">
        <v>288</v>
      </c>
      <c r="W12" s="3">
        <v>446</v>
      </c>
      <c r="X12" s="3">
        <v>3980000</v>
      </c>
      <c r="Y12">
        <v>3</v>
      </c>
      <c r="Z12" s="3">
        <v>239</v>
      </c>
      <c r="AA12" s="3">
        <v>266</v>
      </c>
      <c r="AB12" s="3">
        <v>305</v>
      </c>
      <c r="AC12" s="3">
        <v>332</v>
      </c>
      <c r="AD12" s="3">
        <v>336</v>
      </c>
      <c r="AE12" s="3">
        <v>333</v>
      </c>
      <c r="AF12" s="3">
        <v>349</v>
      </c>
      <c r="AG12" s="3">
        <v>368</v>
      </c>
      <c r="AH12" s="3">
        <v>376</v>
      </c>
      <c r="AI12" s="3">
        <v>388</v>
      </c>
      <c r="AJ12" s="3">
        <v>394</v>
      </c>
      <c r="AK12" s="3">
        <v>398</v>
      </c>
      <c r="AL12" s="3">
        <v>408</v>
      </c>
      <c r="AM12" s="3">
        <v>407</v>
      </c>
      <c r="AN12" s="3">
        <v>424</v>
      </c>
      <c r="AO12" s="3">
        <v>426</v>
      </c>
      <c r="AP12" s="3">
        <v>446</v>
      </c>
      <c r="AR12" s="4">
        <f t="shared" si="6"/>
        <v>111.98826992861652</v>
      </c>
      <c r="AS12" s="5">
        <f t="shared" si="7"/>
        <v>1.4121338912133892</v>
      </c>
      <c r="AT12" s="5">
        <f t="shared" si="0"/>
        <v>1.6290726817042605</v>
      </c>
      <c r="AU12" s="5">
        <f t="shared" si="1"/>
        <v>1.4426229508196724</v>
      </c>
      <c r="AV12" s="5">
        <f t="shared" si="2"/>
        <v>2.7793696275071631</v>
      </c>
      <c r="AW12" s="5">
        <f t="shared" si="3"/>
        <v>1.6244154565591928</v>
      </c>
      <c r="AX12" s="5">
        <f t="shared" si="4"/>
        <v>2.3114754098360657</v>
      </c>
      <c r="AY12" s="5">
        <f t="shared" si="5"/>
        <v>2.3408345584077801</v>
      </c>
      <c r="AZ12">
        <f t="shared" si="8"/>
        <v>3970000</v>
      </c>
      <c r="BA12">
        <v>0</v>
      </c>
      <c r="BB12">
        <v>350000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2640000</v>
      </c>
      <c r="BK12">
        <v>0</v>
      </c>
      <c r="BL12">
        <v>0</v>
      </c>
      <c r="BM12">
        <v>0</v>
      </c>
      <c r="BN12">
        <v>0</v>
      </c>
      <c r="BO12">
        <v>680000</v>
      </c>
      <c r="BP12">
        <v>30000</v>
      </c>
      <c r="BQ12">
        <v>250000</v>
      </c>
      <c r="BR12">
        <v>20000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13</v>
      </c>
      <c r="CC12">
        <v>20</v>
      </c>
      <c r="CD12">
        <v>28</v>
      </c>
      <c r="CE12">
        <v>29</v>
      </c>
      <c r="CF12" s="17">
        <v>3.2911392405063293</v>
      </c>
      <c r="CG12" s="17">
        <v>5.0632911392405067</v>
      </c>
      <c r="CH12" s="17">
        <v>7.0886075949367093</v>
      </c>
      <c r="CI12" s="17">
        <v>7.3417721518987342</v>
      </c>
      <c r="CJ12" s="18">
        <v>1</v>
      </c>
      <c r="CK12" s="18">
        <v>1.5384615384615385</v>
      </c>
      <c r="CL12" s="18">
        <v>2.1538461538461537</v>
      </c>
      <c r="CM12" s="18">
        <v>2.2307692307692308</v>
      </c>
      <c r="CN12" s="18">
        <v>0</v>
      </c>
      <c r="CO12" s="18">
        <v>1.7721518987341773</v>
      </c>
      <c r="CP12" s="18">
        <v>3.79746835443038</v>
      </c>
      <c r="CQ12" s="18">
        <v>4.0506329113924053</v>
      </c>
      <c r="CR12" s="18">
        <f t="shared" si="9"/>
        <v>1.7029288702928871</v>
      </c>
      <c r="CS12" s="18">
        <f t="shared" si="10"/>
        <v>0.76338190737267353</v>
      </c>
      <c r="CT12">
        <v>0</v>
      </c>
      <c r="CU12">
        <v>91.687657430730525</v>
      </c>
      <c r="CV12">
        <v>8.3123425692695196</v>
      </c>
      <c r="CW12">
        <v>0</v>
      </c>
      <c r="CX12">
        <v>0</v>
      </c>
      <c r="CY12">
        <v>8.8161209068010091</v>
      </c>
      <c r="CZ12">
        <v>77.833753148614605</v>
      </c>
      <c r="DA12">
        <v>13.3501259445844</v>
      </c>
      <c r="DB12">
        <v>0</v>
      </c>
      <c r="DC12">
        <v>0</v>
      </c>
      <c r="DD12">
        <v>8.8161209068010091</v>
      </c>
      <c r="DE12">
        <v>77.833753148614605</v>
      </c>
      <c r="DF12">
        <v>13.3501259445844</v>
      </c>
      <c r="DG12">
        <v>0</v>
      </c>
      <c r="DH12">
        <v>0</v>
      </c>
      <c r="DI12">
        <v>8.8161209068010091</v>
      </c>
      <c r="DJ12">
        <v>83.627204030226693</v>
      </c>
      <c r="DK12">
        <v>7.5566750629722899</v>
      </c>
      <c r="DL12">
        <v>0</v>
      </c>
      <c r="DM12">
        <v>0</v>
      </c>
      <c r="DN12">
        <v>8.8161209068010091</v>
      </c>
      <c r="DO12">
        <v>83.627204030226693</v>
      </c>
      <c r="DP12">
        <v>7.5566750629722899</v>
      </c>
      <c r="DQ12">
        <v>0</v>
      </c>
      <c r="DR12">
        <v>0</v>
      </c>
      <c r="DS12" t="s">
        <v>273</v>
      </c>
      <c r="DT12" t="s">
        <v>273</v>
      </c>
      <c r="DU12" t="s">
        <v>273</v>
      </c>
      <c r="DV12" t="s">
        <v>273</v>
      </c>
      <c r="DW12" t="s">
        <v>273</v>
      </c>
      <c r="DX12" t="s">
        <v>273</v>
      </c>
      <c r="DY12" t="s">
        <v>273</v>
      </c>
      <c r="DZ12" t="s">
        <v>273</v>
      </c>
      <c r="EA12" t="s">
        <v>273</v>
      </c>
      <c r="EB12" t="s">
        <v>273</v>
      </c>
      <c r="EC12" t="s">
        <v>273</v>
      </c>
      <c r="ED12" t="s">
        <v>274</v>
      </c>
      <c r="EE12" t="s">
        <v>274</v>
      </c>
      <c r="EF12" t="s">
        <v>274</v>
      </c>
      <c r="EG12" t="s">
        <v>274</v>
      </c>
    </row>
    <row r="13" spans="1:137" ht="14.55" customHeight="1" x14ac:dyDescent="0.3">
      <c r="A13" t="s">
        <v>289</v>
      </c>
      <c r="B13">
        <v>2038</v>
      </c>
      <c r="C13" t="s">
        <v>290</v>
      </c>
      <c r="D13" t="s">
        <v>269</v>
      </c>
      <c r="E13" t="s">
        <v>269</v>
      </c>
      <c r="F13" t="s">
        <v>270</v>
      </c>
      <c r="G13" t="s">
        <v>271</v>
      </c>
      <c r="H13" s="3">
        <v>1820387.6933500001</v>
      </c>
      <c r="I13">
        <v>184</v>
      </c>
      <c r="J13" s="3">
        <v>182.03876933500001</v>
      </c>
      <c r="K13">
        <v>619</v>
      </c>
      <c r="L13">
        <v>782</v>
      </c>
      <c r="M13">
        <v>688.95258620689697</v>
      </c>
      <c r="N13">
        <v>31.950897028060702</v>
      </c>
      <c r="O13">
        <v>0.33761471509933499</v>
      </c>
      <c r="P13">
        <v>33.3403129577637</v>
      </c>
      <c r="Q13">
        <v>9.0146045684814506</v>
      </c>
      <c r="R13">
        <v>4.84574699401856</v>
      </c>
      <c r="S13" t="s">
        <v>272</v>
      </c>
      <c r="T13" t="s">
        <v>289</v>
      </c>
      <c r="U13" t="s">
        <v>290</v>
      </c>
      <c r="V13" t="s">
        <v>290</v>
      </c>
      <c r="W13" s="3">
        <v>72</v>
      </c>
      <c r="X13" s="3">
        <v>1820000</v>
      </c>
      <c r="Y13">
        <v>3</v>
      </c>
      <c r="Z13" s="3">
        <v>45</v>
      </c>
      <c r="AA13" s="3">
        <v>52</v>
      </c>
      <c r="AB13" s="3">
        <v>55</v>
      </c>
      <c r="AC13" s="3">
        <v>61</v>
      </c>
      <c r="AD13" s="3">
        <v>60</v>
      </c>
      <c r="AE13" s="3">
        <v>65</v>
      </c>
      <c r="AF13" s="3">
        <v>63</v>
      </c>
      <c r="AG13" s="3">
        <v>65</v>
      </c>
      <c r="AH13" s="3">
        <v>64</v>
      </c>
      <c r="AI13" s="3">
        <v>65</v>
      </c>
      <c r="AJ13" s="3">
        <v>64</v>
      </c>
      <c r="AK13" s="3">
        <v>61</v>
      </c>
      <c r="AL13" s="3">
        <v>65</v>
      </c>
      <c r="AM13" s="3">
        <v>69</v>
      </c>
      <c r="AN13" s="3">
        <v>70</v>
      </c>
      <c r="AO13" s="3">
        <v>65</v>
      </c>
      <c r="AP13" s="3">
        <v>72</v>
      </c>
      <c r="AR13" s="4">
        <f t="shared" si="6"/>
        <v>39.552014256644831</v>
      </c>
      <c r="AS13" s="5">
        <f t="shared" si="7"/>
        <v>1.9444444444444444</v>
      </c>
      <c r="AT13" s="5">
        <f t="shared" si="0"/>
        <v>0.64102564102564108</v>
      </c>
      <c r="AU13" s="5">
        <f t="shared" si="1"/>
        <v>1.4545454545454546</v>
      </c>
      <c r="AV13" s="5">
        <f t="shared" si="2"/>
        <v>1.4285714285714286</v>
      </c>
      <c r="AW13" s="5">
        <f t="shared" si="3"/>
        <v>1.3071895424836599</v>
      </c>
      <c r="AX13" s="5">
        <f t="shared" si="4"/>
        <v>1.5454545454545454</v>
      </c>
      <c r="AY13" s="5">
        <f t="shared" si="5"/>
        <v>1.6216216216216217</v>
      </c>
      <c r="AZ13">
        <f t="shared" si="8"/>
        <v>1850000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40000</v>
      </c>
      <c r="BK13">
        <v>0</v>
      </c>
      <c r="BL13">
        <v>0</v>
      </c>
      <c r="BM13">
        <v>0</v>
      </c>
      <c r="BN13">
        <v>1370000</v>
      </c>
      <c r="BO13">
        <v>0</v>
      </c>
      <c r="BP13">
        <v>0</v>
      </c>
      <c r="BQ13">
        <v>0</v>
      </c>
      <c r="BR13">
        <v>440000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4</v>
      </c>
      <c r="CC13">
        <v>8</v>
      </c>
      <c r="CD13">
        <v>9</v>
      </c>
      <c r="CE13">
        <v>11</v>
      </c>
      <c r="CF13" s="17">
        <v>2.197802197802198</v>
      </c>
      <c r="CG13" s="17">
        <v>4.395604395604396</v>
      </c>
      <c r="CH13" s="17">
        <v>4.9450549450549453</v>
      </c>
      <c r="CI13" s="17">
        <v>6.0439560439560438</v>
      </c>
      <c r="CJ13" s="18">
        <v>1</v>
      </c>
      <c r="CK13" s="18">
        <v>2</v>
      </c>
      <c r="CL13" s="18">
        <v>2.25</v>
      </c>
      <c r="CM13" s="18">
        <v>2.75</v>
      </c>
      <c r="CN13" s="18">
        <v>0</v>
      </c>
      <c r="CO13" s="18">
        <v>2.197802197802198</v>
      </c>
      <c r="CP13" s="18">
        <v>2.7472527472527473</v>
      </c>
      <c r="CQ13" s="18">
        <v>3.8461538461538463</v>
      </c>
      <c r="CR13" s="18">
        <f t="shared" si="9"/>
        <v>1.5333333333333334</v>
      </c>
      <c r="CS13" s="18">
        <f t="shared" si="10"/>
        <v>0.55757575757575761</v>
      </c>
      <c r="CT13">
        <v>0</v>
      </c>
      <c r="CU13">
        <v>72.972972972972997</v>
      </c>
      <c r="CV13">
        <v>27.027027027027</v>
      </c>
      <c r="CW13">
        <v>0</v>
      </c>
      <c r="CX13">
        <v>0</v>
      </c>
      <c r="CY13">
        <v>0</v>
      </c>
      <c r="CZ13">
        <v>76.216216216216196</v>
      </c>
      <c r="DA13">
        <v>23.7837837837838</v>
      </c>
      <c r="DB13">
        <v>0</v>
      </c>
      <c r="DC13">
        <v>0</v>
      </c>
      <c r="DD13">
        <v>0</v>
      </c>
      <c r="DE13">
        <v>76.216216216216196</v>
      </c>
      <c r="DF13">
        <v>23.7837837837838</v>
      </c>
      <c r="DG13">
        <v>0</v>
      </c>
      <c r="DH13">
        <v>0</v>
      </c>
      <c r="DI13">
        <v>0</v>
      </c>
      <c r="DJ13">
        <v>76.216216216216267</v>
      </c>
      <c r="DK13">
        <v>23.7837837837838</v>
      </c>
      <c r="DL13">
        <v>0</v>
      </c>
      <c r="DM13">
        <v>0</v>
      </c>
      <c r="DN13">
        <v>0</v>
      </c>
      <c r="DO13">
        <v>76.216216216216267</v>
      </c>
      <c r="DP13">
        <v>23.7837837837838</v>
      </c>
      <c r="DQ13">
        <v>0</v>
      </c>
      <c r="DR13">
        <v>0</v>
      </c>
      <c r="DS13" t="s">
        <v>273</v>
      </c>
      <c r="DT13" t="s">
        <v>273</v>
      </c>
      <c r="DU13" t="s">
        <v>273</v>
      </c>
      <c r="DV13" t="s">
        <v>273</v>
      </c>
      <c r="DW13" t="s">
        <v>273</v>
      </c>
      <c r="DX13" t="s">
        <v>273</v>
      </c>
      <c r="DY13" t="s">
        <v>273</v>
      </c>
      <c r="DZ13" t="s">
        <v>273</v>
      </c>
      <c r="EA13" t="s">
        <v>273</v>
      </c>
      <c r="EB13" t="s">
        <v>273</v>
      </c>
      <c r="EC13" t="s">
        <v>273</v>
      </c>
      <c r="ED13" t="s">
        <v>274</v>
      </c>
      <c r="EE13" t="s">
        <v>274</v>
      </c>
      <c r="EF13" t="s">
        <v>274</v>
      </c>
      <c r="EG13" t="s">
        <v>274</v>
      </c>
    </row>
    <row r="14" spans="1:137" ht="14.55" customHeight="1" x14ac:dyDescent="0.3">
      <c r="A14" t="s">
        <v>291</v>
      </c>
      <c r="B14">
        <v>2041</v>
      </c>
      <c r="C14" t="s">
        <v>292</v>
      </c>
      <c r="D14" t="s">
        <v>269</v>
      </c>
      <c r="E14" t="s">
        <v>269</v>
      </c>
      <c r="F14" t="s">
        <v>270</v>
      </c>
      <c r="G14" t="s">
        <v>271</v>
      </c>
      <c r="H14" s="3">
        <v>7887465.9273600001</v>
      </c>
      <c r="I14">
        <v>792</v>
      </c>
      <c r="J14" s="3">
        <v>788.74659273700001</v>
      </c>
      <c r="K14">
        <v>404</v>
      </c>
      <c r="L14">
        <v>538</v>
      </c>
      <c r="M14">
        <v>465.64074933686999</v>
      </c>
      <c r="N14">
        <v>31.955774167144199</v>
      </c>
      <c r="O14">
        <v>0</v>
      </c>
      <c r="P14">
        <v>23.391931533813501</v>
      </c>
      <c r="Q14">
        <v>4.4266028404235804</v>
      </c>
      <c r="R14">
        <v>2.90060210227966</v>
      </c>
      <c r="S14" t="s">
        <v>272</v>
      </c>
      <c r="T14" t="s">
        <v>291</v>
      </c>
      <c r="U14" t="s">
        <v>292</v>
      </c>
      <c r="V14" t="s">
        <v>292</v>
      </c>
      <c r="W14" s="3">
        <v>1835</v>
      </c>
      <c r="X14" s="3">
        <v>7890000</v>
      </c>
      <c r="Y14">
        <v>3</v>
      </c>
      <c r="Z14" s="3">
        <v>850</v>
      </c>
      <c r="AA14" s="3">
        <v>1045</v>
      </c>
      <c r="AB14" s="3">
        <v>1259</v>
      </c>
      <c r="AC14" s="3">
        <v>1337</v>
      </c>
      <c r="AD14" s="3">
        <v>1340</v>
      </c>
      <c r="AE14" s="3">
        <v>1372</v>
      </c>
      <c r="AF14" s="3">
        <v>1397</v>
      </c>
      <c r="AG14" s="3">
        <v>1391</v>
      </c>
      <c r="AH14" s="3">
        <v>1445</v>
      </c>
      <c r="AI14" s="3">
        <v>1526</v>
      </c>
      <c r="AJ14" s="3">
        <v>1557</v>
      </c>
      <c r="AK14" s="3">
        <v>1596</v>
      </c>
      <c r="AL14" s="3">
        <v>1659</v>
      </c>
      <c r="AM14" s="3">
        <v>1706</v>
      </c>
      <c r="AN14" s="3">
        <v>1755</v>
      </c>
      <c r="AO14" s="3">
        <v>1801</v>
      </c>
      <c r="AP14" s="3">
        <v>1835</v>
      </c>
      <c r="AR14" s="4">
        <f t="shared" si="6"/>
        <v>232.64759770719709</v>
      </c>
      <c r="AS14" s="5">
        <f t="shared" si="7"/>
        <v>2.8676470588235294</v>
      </c>
      <c r="AT14" s="5">
        <f t="shared" si="0"/>
        <v>2.2753854332801704</v>
      </c>
      <c r="AU14" s="5">
        <f t="shared" si="1"/>
        <v>1.0961080222398729</v>
      </c>
      <c r="AV14" s="5">
        <f t="shared" si="2"/>
        <v>3.1352899069434503</v>
      </c>
      <c r="AW14" s="5">
        <f t="shared" si="3"/>
        <v>2.8304498269896197</v>
      </c>
      <c r="AX14" s="5">
        <f t="shared" si="4"/>
        <v>2.2875297855440824</v>
      </c>
      <c r="AY14" s="5">
        <f t="shared" si="5"/>
        <v>3.131955484896662</v>
      </c>
      <c r="AZ14">
        <f t="shared" si="8"/>
        <v>7940000</v>
      </c>
      <c r="BA14">
        <v>0</v>
      </c>
      <c r="BB14">
        <v>1040000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6580000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320000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64</v>
      </c>
      <c r="CC14">
        <v>76</v>
      </c>
      <c r="CD14">
        <v>82</v>
      </c>
      <c r="CE14">
        <v>92</v>
      </c>
      <c r="CF14" s="17">
        <v>8.0808080808080813</v>
      </c>
      <c r="CG14" s="17">
        <v>9.5959595959595951</v>
      </c>
      <c r="CH14" s="17">
        <v>10.353535353535353</v>
      </c>
      <c r="CI14" s="17">
        <v>11.616161616161616</v>
      </c>
      <c r="CJ14" s="18">
        <v>1</v>
      </c>
      <c r="CK14" s="18">
        <v>1.1875</v>
      </c>
      <c r="CL14" s="18">
        <v>1.28125</v>
      </c>
      <c r="CM14" s="18">
        <v>1.4375</v>
      </c>
      <c r="CN14" s="18">
        <v>0</v>
      </c>
      <c r="CO14" s="18">
        <v>1.5151515151515151</v>
      </c>
      <c r="CP14" s="18">
        <v>2.2727272727272729</v>
      </c>
      <c r="CQ14" s="18">
        <v>3.535353535353535</v>
      </c>
      <c r="CR14" s="18">
        <f t="shared" si="9"/>
        <v>2.0070588235294116</v>
      </c>
      <c r="CS14" s="18">
        <f t="shared" si="10"/>
        <v>1.3962148337595905</v>
      </c>
      <c r="CT14">
        <v>3.5264483627203997</v>
      </c>
      <c r="CU14">
        <v>91.18387909319901</v>
      </c>
      <c r="CV14">
        <v>5.2896725440805996</v>
      </c>
      <c r="CW14">
        <v>0</v>
      </c>
      <c r="CX14">
        <v>0</v>
      </c>
      <c r="CY14">
        <v>11.712846347607099</v>
      </c>
      <c r="CZ14">
        <v>84.2569269521411</v>
      </c>
      <c r="DA14">
        <v>4.0302267002518901</v>
      </c>
      <c r="DB14">
        <v>0</v>
      </c>
      <c r="DC14">
        <v>0</v>
      </c>
      <c r="DD14">
        <v>11.712846347607099</v>
      </c>
      <c r="DE14">
        <v>84.2569269521411</v>
      </c>
      <c r="DF14">
        <v>4.0302267002518901</v>
      </c>
      <c r="DG14">
        <v>0</v>
      </c>
      <c r="DH14">
        <v>0</v>
      </c>
      <c r="DI14">
        <v>11.712846347607099</v>
      </c>
      <c r="DJ14">
        <v>84.2569269521411</v>
      </c>
      <c r="DK14">
        <v>4.0302267002518901</v>
      </c>
      <c r="DL14">
        <v>0</v>
      </c>
      <c r="DM14">
        <v>0</v>
      </c>
      <c r="DN14">
        <v>13.0982367758186</v>
      </c>
      <c r="DO14">
        <v>82.871536523929507</v>
      </c>
      <c r="DP14">
        <v>4.0302267002518901</v>
      </c>
      <c r="DQ14">
        <v>0</v>
      </c>
      <c r="DR14">
        <v>0</v>
      </c>
      <c r="DS14" t="s">
        <v>273</v>
      </c>
      <c r="DT14" t="s">
        <v>273</v>
      </c>
      <c r="DU14" t="s">
        <v>273</v>
      </c>
      <c r="DV14" t="s">
        <v>273</v>
      </c>
      <c r="DW14" t="s">
        <v>273</v>
      </c>
      <c r="DX14" t="s">
        <v>273</v>
      </c>
      <c r="DY14" t="s">
        <v>273</v>
      </c>
      <c r="DZ14" t="s">
        <v>273</v>
      </c>
      <c r="EA14" t="s">
        <v>273</v>
      </c>
      <c r="EB14" t="s">
        <v>273</v>
      </c>
      <c r="EC14" t="s">
        <v>273</v>
      </c>
      <c r="ED14" t="s">
        <v>274</v>
      </c>
      <c r="EE14" t="s">
        <v>274</v>
      </c>
      <c r="EF14" t="s">
        <v>274</v>
      </c>
      <c r="EG14" t="s">
        <v>274</v>
      </c>
    </row>
    <row r="15" spans="1:137" ht="14.55" customHeight="1" x14ac:dyDescent="0.3">
      <c r="A15" t="s">
        <v>293</v>
      </c>
      <c r="B15">
        <v>2043</v>
      </c>
      <c r="C15" t="s">
        <v>294</v>
      </c>
      <c r="D15" t="s">
        <v>269</v>
      </c>
      <c r="E15" t="s">
        <v>269</v>
      </c>
      <c r="F15" t="s">
        <v>270</v>
      </c>
      <c r="G15" t="s">
        <v>271</v>
      </c>
      <c r="H15" s="3">
        <v>2495587.7083000001</v>
      </c>
      <c r="I15">
        <v>250</v>
      </c>
      <c r="J15" s="3">
        <v>249.55877083000001</v>
      </c>
      <c r="K15">
        <v>449</v>
      </c>
      <c r="L15">
        <v>502</v>
      </c>
      <c r="M15">
        <v>481.78642557652</v>
      </c>
      <c r="N15">
        <v>7.5476636541710498</v>
      </c>
      <c r="O15">
        <v>0</v>
      </c>
      <c r="P15">
        <v>21.8634548187256</v>
      </c>
      <c r="Q15">
        <v>3.4646522998809801</v>
      </c>
      <c r="R15">
        <v>2.3828544616699201</v>
      </c>
      <c r="S15" t="s">
        <v>272</v>
      </c>
      <c r="T15" t="s">
        <v>293</v>
      </c>
      <c r="U15" t="s">
        <v>294</v>
      </c>
      <c r="V15" t="s">
        <v>294</v>
      </c>
      <c r="W15" s="3">
        <v>304</v>
      </c>
      <c r="X15" s="3">
        <v>2500000</v>
      </c>
      <c r="Y15">
        <v>3</v>
      </c>
      <c r="Z15" s="3">
        <v>84</v>
      </c>
      <c r="AA15" s="3">
        <v>148</v>
      </c>
      <c r="AB15" s="3">
        <v>145</v>
      </c>
      <c r="AC15" s="3">
        <v>204</v>
      </c>
      <c r="AD15" s="3">
        <v>229</v>
      </c>
      <c r="AE15" s="3">
        <v>245</v>
      </c>
      <c r="AF15" s="3">
        <v>246</v>
      </c>
      <c r="AG15" s="3">
        <v>249</v>
      </c>
      <c r="AH15" s="3">
        <v>249</v>
      </c>
      <c r="AI15" s="3">
        <v>249</v>
      </c>
      <c r="AJ15" s="3">
        <v>255</v>
      </c>
      <c r="AK15" s="3">
        <v>250</v>
      </c>
      <c r="AL15" s="3">
        <v>270</v>
      </c>
      <c r="AM15" s="3">
        <v>278</v>
      </c>
      <c r="AN15" s="3">
        <v>293</v>
      </c>
      <c r="AO15" s="3">
        <v>289</v>
      </c>
      <c r="AP15" s="3">
        <v>304</v>
      </c>
      <c r="AR15" s="4">
        <f t="shared" si="6"/>
        <v>121.81499331357321</v>
      </c>
      <c r="AS15" s="5">
        <f t="shared" si="7"/>
        <v>9.5238095238095237</v>
      </c>
      <c r="AT15" s="5">
        <f t="shared" si="0"/>
        <v>-0.22522522522522523</v>
      </c>
      <c r="AU15" s="5">
        <f t="shared" si="1"/>
        <v>6.9655172413793096</v>
      </c>
      <c r="AV15" s="5">
        <f t="shared" si="2"/>
        <v>2.3577235772357725</v>
      </c>
      <c r="AW15" s="5">
        <f t="shared" si="3"/>
        <v>4.2717086834733893</v>
      </c>
      <c r="AX15" s="5">
        <f t="shared" si="4"/>
        <v>5.4827586206896557</v>
      </c>
      <c r="AY15" s="5">
        <f t="shared" si="5"/>
        <v>7.0785070785070792</v>
      </c>
      <c r="AZ15">
        <f t="shared" si="8"/>
        <v>2510000</v>
      </c>
      <c r="BA15">
        <v>0</v>
      </c>
      <c r="BB15">
        <v>0</v>
      </c>
      <c r="BC15">
        <v>390000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2120000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10</v>
      </c>
      <c r="CC15">
        <v>19</v>
      </c>
      <c r="CD15">
        <v>22</v>
      </c>
      <c r="CE15">
        <v>23</v>
      </c>
      <c r="CF15" s="17">
        <v>4.0650406504065035</v>
      </c>
      <c r="CG15" s="17">
        <v>7.7235772357723578</v>
      </c>
      <c r="CH15" s="17">
        <v>8.9430894308943092</v>
      </c>
      <c r="CI15" s="17">
        <v>9.3495934959349594</v>
      </c>
      <c r="CJ15" s="18">
        <v>1</v>
      </c>
      <c r="CK15" s="18">
        <v>1.9</v>
      </c>
      <c r="CL15" s="18">
        <v>2.2000000000000002</v>
      </c>
      <c r="CM15" s="18">
        <v>2.2999999999999998</v>
      </c>
      <c r="CN15" s="18">
        <v>0</v>
      </c>
      <c r="CO15" s="18">
        <v>3.6585365853658534</v>
      </c>
      <c r="CP15" s="18">
        <v>4.8780487804878048</v>
      </c>
      <c r="CQ15" s="18">
        <v>5.2845528455284558</v>
      </c>
      <c r="CR15" s="18">
        <f t="shared" si="9"/>
        <v>3.3095238095238093</v>
      </c>
      <c r="CS15" s="18">
        <f t="shared" si="10"/>
        <v>1.4389233954451346</v>
      </c>
      <c r="CT15">
        <v>0</v>
      </c>
      <c r="CU15">
        <v>100</v>
      </c>
      <c r="CV15">
        <v>0</v>
      </c>
      <c r="CW15">
        <v>0</v>
      </c>
      <c r="CX15">
        <v>0</v>
      </c>
      <c r="CY15">
        <v>0</v>
      </c>
      <c r="CZ15">
        <v>100</v>
      </c>
      <c r="DA15">
        <v>0</v>
      </c>
      <c r="DB15">
        <v>0</v>
      </c>
      <c r="DC15">
        <v>0</v>
      </c>
      <c r="DD15">
        <v>0</v>
      </c>
      <c r="DE15">
        <v>100</v>
      </c>
      <c r="DF15">
        <v>0</v>
      </c>
      <c r="DG15">
        <v>0</v>
      </c>
      <c r="DH15">
        <v>0</v>
      </c>
      <c r="DI15">
        <v>0</v>
      </c>
      <c r="DJ15">
        <v>100</v>
      </c>
      <c r="DK15">
        <v>0</v>
      </c>
      <c r="DL15">
        <v>0</v>
      </c>
      <c r="DM15">
        <v>0</v>
      </c>
      <c r="DN15">
        <v>15.5378486055777</v>
      </c>
      <c r="DO15">
        <v>84.462151394422307</v>
      </c>
      <c r="DP15">
        <v>0</v>
      </c>
      <c r="DQ15">
        <v>0</v>
      </c>
      <c r="DR15">
        <v>0</v>
      </c>
      <c r="DS15" t="s">
        <v>273</v>
      </c>
      <c r="DT15" t="s">
        <v>273</v>
      </c>
      <c r="DU15" t="s">
        <v>273</v>
      </c>
      <c r="DV15" t="s">
        <v>273</v>
      </c>
      <c r="DW15" t="s">
        <v>273</v>
      </c>
      <c r="DX15" t="s">
        <v>273</v>
      </c>
      <c r="DY15" t="s">
        <v>273</v>
      </c>
      <c r="DZ15" t="s">
        <v>273</v>
      </c>
      <c r="EA15" t="s">
        <v>273</v>
      </c>
      <c r="EB15" t="s">
        <v>273</v>
      </c>
      <c r="EC15" t="s">
        <v>273</v>
      </c>
      <c r="ED15" t="s">
        <v>274</v>
      </c>
      <c r="EE15" t="s">
        <v>274</v>
      </c>
      <c r="EF15" t="s">
        <v>274</v>
      </c>
      <c r="EG15" t="s">
        <v>274</v>
      </c>
    </row>
    <row r="16" spans="1:137" ht="14.55" customHeight="1" x14ac:dyDescent="0.3">
      <c r="A16" t="s">
        <v>295</v>
      </c>
      <c r="B16">
        <v>2044</v>
      </c>
      <c r="C16" t="s">
        <v>296</v>
      </c>
      <c r="D16" t="s">
        <v>269</v>
      </c>
      <c r="E16" t="s">
        <v>269</v>
      </c>
      <c r="F16" t="s">
        <v>270</v>
      </c>
      <c r="G16" t="s">
        <v>271</v>
      </c>
      <c r="H16" s="3">
        <v>14792799.132200001</v>
      </c>
      <c r="I16">
        <v>1474</v>
      </c>
      <c r="J16" s="3">
        <v>1479.27991322</v>
      </c>
      <c r="K16">
        <v>453</v>
      </c>
      <c r="L16">
        <v>725</v>
      </c>
      <c r="M16">
        <v>591.94162751529097</v>
      </c>
      <c r="N16">
        <v>69.639995191066404</v>
      </c>
      <c r="O16">
        <v>0</v>
      </c>
      <c r="P16">
        <v>45.921024322509801</v>
      </c>
      <c r="Q16">
        <v>9.4859075546264595</v>
      </c>
      <c r="R16">
        <v>7.0434083938598597</v>
      </c>
      <c r="S16" t="s">
        <v>272</v>
      </c>
      <c r="T16" t="s">
        <v>295</v>
      </c>
      <c r="U16" t="s">
        <v>296</v>
      </c>
      <c r="V16" t="s">
        <v>296</v>
      </c>
      <c r="W16" s="3">
        <v>725</v>
      </c>
      <c r="X16" s="3">
        <v>8350000</v>
      </c>
      <c r="Y16">
        <v>3</v>
      </c>
      <c r="Z16" s="3">
        <v>760</v>
      </c>
      <c r="AA16" s="3">
        <v>789</v>
      </c>
      <c r="AB16" s="3">
        <v>932</v>
      </c>
      <c r="AC16" s="3">
        <v>919</v>
      </c>
      <c r="AD16" s="3">
        <v>946</v>
      </c>
      <c r="AE16" s="3">
        <v>945</v>
      </c>
      <c r="AF16" s="3">
        <v>975</v>
      </c>
      <c r="AG16" s="3">
        <v>970</v>
      </c>
      <c r="AH16" s="3">
        <v>984</v>
      </c>
      <c r="AI16" s="3">
        <v>1023</v>
      </c>
      <c r="AJ16" s="3">
        <v>1071</v>
      </c>
      <c r="AK16" s="3">
        <v>1096</v>
      </c>
      <c r="AL16" s="3">
        <v>1083</v>
      </c>
      <c r="AM16" s="3">
        <v>1100</v>
      </c>
      <c r="AN16" s="3">
        <v>1127</v>
      </c>
      <c r="AO16" s="3">
        <v>1124</v>
      </c>
      <c r="AP16" s="3">
        <v>1115</v>
      </c>
      <c r="AR16" s="4">
        <f t="shared" si="6"/>
        <v>75.374510938429538</v>
      </c>
      <c r="AS16" s="5">
        <f t="shared" si="7"/>
        <v>0.47697368421052633</v>
      </c>
      <c r="AT16" s="5">
        <f t="shared" si="0"/>
        <v>2.0138008731164629</v>
      </c>
      <c r="AU16" s="5">
        <f t="shared" si="1"/>
        <v>0.46137339055793997</v>
      </c>
      <c r="AV16" s="5">
        <f t="shared" si="2"/>
        <v>1.4358974358974357</v>
      </c>
      <c r="AW16" s="5">
        <f t="shared" si="3"/>
        <v>1.3312693498452013</v>
      </c>
      <c r="AX16" s="5">
        <f t="shared" si="4"/>
        <v>0.98175965665236054</v>
      </c>
      <c r="AY16" s="5">
        <f t="shared" si="5"/>
        <v>1.2624466571834994</v>
      </c>
      <c r="AZ16">
        <f t="shared" si="8"/>
        <v>14730000</v>
      </c>
      <c r="BA16">
        <v>0</v>
      </c>
      <c r="BB16">
        <v>730000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7530000</v>
      </c>
      <c r="BK16">
        <v>0</v>
      </c>
      <c r="BL16">
        <v>0</v>
      </c>
      <c r="BM16">
        <v>0</v>
      </c>
      <c r="BN16">
        <v>0</v>
      </c>
      <c r="BO16">
        <v>1850000</v>
      </c>
      <c r="BP16">
        <v>1760000</v>
      </c>
      <c r="BQ16">
        <v>0</v>
      </c>
      <c r="BR16">
        <v>2860000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72</v>
      </c>
      <c r="CC16">
        <v>85</v>
      </c>
      <c r="CD16">
        <v>95</v>
      </c>
      <c r="CE16">
        <v>102</v>
      </c>
      <c r="CF16" s="17">
        <v>4.8846675712347354</v>
      </c>
      <c r="CG16" s="17">
        <v>5.766621438263229</v>
      </c>
      <c r="CH16" s="17">
        <v>6.445047489823609</v>
      </c>
      <c r="CI16" s="17">
        <v>6.9199457259158752</v>
      </c>
      <c r="CJ16" s="18">
        <v>1</v>
      </c>
      <c r="CK16" s="18">
        <v>1.1805555555555556</v>
      </c>
      <c r="CL16" s="18">
        <v>1.3194444444444444</v>
      </c>
      <c r="CM16" s="18">
        <v>1.4166666666666667</v>
      </c>
      <c r="CN16" s="18">
        <v>0</v>
      </c>
      <c r="CO16" s="18">
        <v>0.88195386702849388</v>
      </c>
      <c r="CP16" s="18">
        <v>1.5603799185888738</v>
      </c>
      <c r="CQ16" s="18">
        <v>2.0352781546811398</v>
      </c>
      <c r="CR16" s="18">
        <f t="shared" si="9"/>
        <v>1.4473684210526316</v>
      </c>
      <c r="CS16" s="18">
        <f t="shared" si="10"/>
        <v>1.021671826625387</v>
      </c>
      <c r="CT16">
        <v>1.154107264086897</v>
      </c>
      <c r="CU16">
        <v>69.450101832993909</v>
      </c>
      <c r="CV16">
        <v>29.395790902919199</v>
      </c>
      <c r="CW16">
        <v>0</v>
      </c>
      <c r="CX16">
        <v>0</v>
      </c>
      <c r="CY16">
        <v>2.3761031907671399</v>
      </c>
      <c r="CZ16">
        <v>66.327223353699907</v>
      </c>
      <c r="DA16">
        <v>31.2966734555329</v>
      </c>
      <c r="DB16">
        <v>0</v>
      </c>
      <c r="DC16">
        <v>0</v>
      </c>
      <c r="DD16">
        <v>2.3761031907671399</v>
      </c>
      <c r="DE16">
        <v>66.327223353699907</v>
      </c>
      <c r="DF16">
        <v>31.2966734555329</v>
      </c>
      <c r="DG16">
        <v>0</v>
      </c>
      <c r="DH16">
        <v>0</v>
      </c>
      <c r="DI16">
        <v>4.9558723693143198</v>
      </c>
      <c r="DJ16">
        <v>63.6795655125594</v>
      </c>
      <c r="DK16">
        <v>31.364562118126301</v>
      </c>
      <c r="DL16">
        <v>0</v>
      </c>
      <c r="DM16">
        <v>0</v>
      </c>
      <c r="DN16">
        <v>4.9558723693143198</v>
      </c>
      <c r="DO16">
        <v>63.6795655125594</v>
      </c>
      <c r="DP16">
        <v>31.364562118126301</v>
      </c>
      <c r="DQ16">
        <v>0</v>
      </c>
      <c r="DR16">
        <v>0</v>
      </c>
      <c r="DS16" t="s">
        <v>273</v>
      </c>
      <c r="DT16" t="s">
        <v>273</v>
      </c>
      <c r="DU16" t="s">
        <v>273</v>
      </c>
      <c r="DV16" t="s">
        <v>273</v>
      </c>
      <c r="DW16" t="s">
        <v>273</v>
      </c>
      <c r="DX16" t="s">
        <v>273</v>
      </c>
      <c r="DY16" t="s">
        <v>273</v>
      </c>
      <c r="DZ16" t="s">
        <v>273</v>
      </c>
      <c r="EA16" t="s">
        <v>273</v>
      </c>
      <c r="EB16" t="s">
        <v>273</v>
      </c>
      <c r="EC16" t="s">
        <v>273</v>
      </c>
      <c r="ED16" t="s">
        <v>274</v>
      </c>
      <c r="EE16" t="s">
        <v>274</v>
      </c>
      <c r="EF16" t="s">
        <v>274</v>
      </c>
      <c r="EG16" t="s">
        <v>274</v>
      </c>
    </row>
    <row r="17" spans="1:137" ht="14.55" customHeight="1" x14ac:dyDescent="0.3">
      <c r="A17" t="s">
        <v>297</v>
      </c>
      <c r="B17">
        <v>2045</v>
      </c>
      <c r="C17" t="s">
        <v>298</v>
      </c>
      <c r="D17" t="s">
        <v>269</v>
      </c>
      <c r="E17" t="s">
        <v>269</v>
      </c>
      <c r="F17" t="s">
        <v>270</v>
      </c>
      <c r="G17" t="s">
        <v>271</v>
      </c>
      <c r="H17" s="3">
        <v>3511348.2429</v>
      </c>
      <c r="I17">
        <v>345</v>
      </c>
      <c r="J17" s="3">
        <v>351.13482428899999</v>
      </c>
      <c r="K17">
        <v>424</v>
      </c>
      <c r="L17">
        <v>519</v>
      </c>
      <c r="M17">
        <v>472.91871737509302</v>
      </c>
      <c r="N17">
        <v>22.939853272275499</v>
      </c>
      <c r="O17">
        <v>0</v>
      </c>
      <c r="P17">
        <v>20.5164585113525</v>
      </c>
      <c r="Q17">
        <v>3.8079688549041801</v>
      </c>
      <c r="R17">
        <v>2.7097532749175999</v>
      </c>
      <c r="S17" t="s">
        <v>272</v>
      </c>
      <c r="T17" t="s">
        <v>297</v>
      </c>
      <c r="U17" t="s">
        <v>298</v>
      </c>
      <c r="V17" t="s">
        <v>298</v>
      </c>
      <c r="W17" s="3">
        <v>455</v>
      </c>
      <c r="X17" s="3">
        <v>3510000</v>
      </c>
      <c r="Y17">
        <v>3</v>
      </c>
      <c r="Z17" s="3">
        <v>207</v>
      </c>
      <c r="AA17" s="3">
        <v>234</v>
      </c>
      <c r="AB17" s="3">
        <v>284</v>
      </c>
      <c r="AC17" s="3">
        <v>305</v>
      </c>
      <c r="AD17" s="3">
        <v>315</v>
      </c>
      <c r="AE17" s="3">
        <v>326</v>
      </c>
      <c r="AF17" s="3">
        <v>316</v>
      </c>
      <c r="AG17" s="3">
        <v>332</v>
      </c>
      <c r="AH17" s="3">
        <v>332</v>
      </c>
      <c r="AI17" s="3">
        <v>351</v>
      </c>
      <c r="AJ17" s="3">
        <v>382</v>
      </c>
      <c r="AK17" s="3">
        <v>390</v>
      </c>
      <c r="AL17" s="3">
        <v>404</v>
      </c>
      <c r="AM17" s="3">
        <v>412</v>
      </c>
      <c r="AN17" s="3">
        <v>436</v>
      </c>
      <c r="AO17" s="3">
        <v>447</v>
      </c>
      <c r="AP17" s="3">
        <v>455</v>
      </c>
      <c r="AR17" s="4">
        <f t="shared" si="6"/>
        <v>129.5798560912643</v>
      </c>
      <c r="AS17" s="5">
        <f t="shared" si="7"/>
        <v>1.6304347826086956</v>
      </c>
      <c r="AT17" s="5">
        <f t="shared" si="0"/>
        <v>2.3741690408357075</v>
      </c>
      <c r="AU17" s="5">
        <f t="shared" si="1"/>
        <v>1.1267605633802817</v>
      </c>
      <c r="AV17" s="5">
        <f t="shared" si="2"/>
        <v>4.3987341772151893</v>
      </c>
      <c r="AW17" s="5">
        <f t="shared" si="3"/>
        <v>2.1881216254617786</v>
      </c>
      <c r="AX17" s="5">
        <f t="shared" si="4"/>
        <v>3.01056338028169</v>
      </c>
      <c r="AY17" s="5">
        <f t="shared" si="5"/>
        <v>3.2380206293249771</v>
      </c>
      <c r="AZ17">
        <f t="shared" si="8"/>
        <v>3470000</v>
      </c>
      <c r="BA17">
        <v>0</v>
      </c>
      <c r="BB17">
        <v>250000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3150000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70000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24</v>
      </c>
      <c r="CC17">
        <v>28</v>
      </c>
      <c r="CD17">
        <v>31</v>
      </c>
      <c r="CE17">
        <v>34</v>
      </c>
      <c r="CF17" s="17">
        <v>6.8571428571428577</v>
      </c>
      <c r="CG17" s="17">
        <v>8</v>
      </c>
      <c r="CH17" s="17">
        <v>8.8571428571428559</v>
      </c>
      <c r="CI17" s="17">
        <v>9.7142857142857135</v>
      </c>
      <c r="CJ17" s="18">
        <v>1</v>
      </c>
      <c r="CK17" s="18">
        <v>1.1666666666666667</v>
      </c>
      <c r="CL17" s="18">
        <v>1.2916666666666667</v>
      </c>
      <c r="CM17" s="18">
        <v>1.4166666666666667</v>
      </c>
      <c r="CN17" s="18">
        <v>0</v>
      </c>
      <c r="CO17" s="18">
        <v>1.1428571428571428</v>
      </c>
      <c r="CP17" s="18">
        <v>2</v>
      </c>
      <c r="CQ17" s="18">
        <v>2.8571428571428572</v>
      </c>
      <c r="CR17" s="18">
        <f t="shared" si="9"/>
        <v>1.9903381642512077</v>
      </c>
      <c r="CS17" s="18">
        <f t="shared" si="10"/>
        <v>1.4049445865302641</v>
      </c>
      <c r="CT17">
        <v>0</v>
      </c>
      <c r="CU17">
        <v>95.95375722543352</v>
      </c>
      <c r="CV17">
        <v>4.04624277456647</v>
      </c>
      <c r="CW17">
        <v>0</v>
      </c>
      <c r="CX17">
        <v>0</v>
      </c>
      <c r="CY17">
        <v>7.2254335260115603</v>
      </c>
      <c r="CZ17">
        <v>90.751445086705203</v>
      </c>
      <c r="DA17">
        <v>2.0231213872832399</v>
      </c>
      <c r="DB17">
        <v>0</v>
      </c>
      <c r="DC17">
        <v>0</v>
      </c>
      <c r="DD17">
        <v>7.2254335260115603</v>
      </c>
      <c r="DE17">
        <v>90.751445086705203</v>
      </c>
      <c r="DF17">
        <v>2.0231213872832399</v>
      </c>
      <c r="DG17">
        <v>0</v>
      </c>
      <c r="DH17">
        <v>0</v>
      </c>
      <c r="DI17">
        <v>7.2254335260115603</v>
      </c>
      <c r="DJ17">
        <v>90.751445086705203</v>
      </c>
      <c r="DK17">
        <v>2.0231213872832399</v>
      </c>
      <c r="DL17">
        <v>0</v>
      </c>
      <c r="DM17">
        <v>0</v>
      </c>
      <c r="DN17">
        <v>7.2254335260115603</v>
      </c>
      <c r="DO17">
        <v>90.751445086705203</v>
      </c>
      <c r="DP17">
        <v>2.0231213872832399</v>
      </c>
      <c r="DQ17">
        <v>0</v>
      </c>
      <c r="DR17">
        <v>0</v>
      </c>
      <c r="DS17" t="s">
        <v>273</v>
      </c>
      <c r="DT17" t="s">
        <v>273</v>
      </c>
      <c r="DU17" t="s">
        <v>273</v>
      </c>
      <c r="DV17" t="s">
        <v>273</v>
      </c>
      <c r="DW17" t="s">
        <v>273</v>
      </c>
      <c r="DX17" t="s">
        <v>273</v>
      </c>
      <c r="DY17" t="s">
        <v>273</v>
      </c>
      <c r="DZ17" t="s">
        <v>273</v>
      </c>
      <c r="EA17" t="s">
        <v>273</v>
      </c>
      <c r="EB17" t="s">
        <v>273</v>
      </c>
      <c r="EC17" t="s">
        <v>273</v>
      </c>
      <c r="ED17" t="s">
        <v>274</v>
      </c>
      <c r="EE17" t="s">
        <v>274</v>
      </c>
      <c r="EF17" t="s">
        <v>274</v>
      </c>
      <c r="EG17" t="s">
        <v>274</v>
      </c>
    </row>
    <row r="18" spans="1:137" ht="14.55" customHeight="1" x14ac:dyDescent="0.3">
      <c r="A18" t="s">
        <v>299</v>
      </c>
      <c r="B18">
        <v>2050</v>
      </c>
      <c r="C18" t="s">
        <v>300</v>
      </c>
      <c r="D18" t="s">
        <v>269</v>
      </c>
      <c r="E18" t="s">
        <v>269</v>
      </c>
      <c r="F18" t="s">
        <v>270</v>
      </c>
      <c r="G18" t="s">
        <v>271</v>
      </c>
      <c r="H18" s="3">
        <v>10285284.8594</v>
      </c>
      <c r="I18">
        <v>1023</v>
      </c>
      <c r="J18" s="3">
        <v>1028.5284859400001</v>
      </c>
      <c r="K18">
        <v>448</v>
      </c>
      <c r="L18">
        <v>733</v>
      </c>
      <c r="M18">
        <v>551.71847749984101</v>
      </c>
      <c r="N18">
        <v>72.479681088614498</v>
      </c>
      <c r="O18">
        <v>0</v>
      </c>
      <c r="P18">
        <v>38.8684272766113</v>
      </c>
      <c r="Q18">
        <v>6.8859548568725604</v>
      </c>
      <c r="R18">
        <v>4.7934064865112296</v>
      </c>
      <c r="S18" t="s">
        <v>272</v>
      </c>
      <c r="T18" t="s">
        <v>299</v>
      </c>
      <c r="U18" t="s">
        <v>300</v>
      </c>
      <c r="V18" t="s">
        <v>300</v>
      </c>
      <c r="W18" s="3">
        <v>1520</v>
      </c>
      <c r="X18" s="3">
        <v>10290000</v>
      </c>
      <c r="Y18">
        <v>3</v>
      </c>
      <c r="Z18" s="3">
        <v>916</v>
      </c>
      <c r="AA18" s="3">
        <v>987</v>
      </c>
      <c r="AB18" s="3">
        <v>1050</v>
      </c>
      <c r="AC18" s="3">
        <v>1142</v>
      </c>
      <c r="AD18" s="3">
        <v>1195</v>
      </c>
      <c r="AE18" s="3">
        <v>1211</v>
      </c>
      <c r="AF18" s="3">
        <v>1233</v>
      </c>
      <c r="AG18" s="3">
        <v>1267</v>
      </c>
      <c r="AH18" s="3">
        <v>1335</v>
      </c>
      <c r="AI18" s="3">
        <v>1333</v>
      </c>
      <c r="AJ18" s="3">
        <v>1358</v>
      </c>
      <c r="AK18" s="3">
        <v>1404</v>
      </c>
      <c r="AL18" s="3">
        <v>1405</v>
      </c>
      <c r="AM18" s="3">
        <v>1423</v>
      </c>
      <c r="AN18" s="3">
        <v>1439</v>
      </c>
      <c r="AO18" s="3">
        <v>1474</v>
      </c>
      <c r="AP18" s="3">
        <v>1520</v>
      </c>
      <c r="AR18" s="4">
        <f t="shared" si="6"/>
        <v>147.78394772516492</v>
      </c>
      <c r="AS18" s="5">
        <f t="shared" si="7"/>
        <v>0.96888646288209612</v>
      </c>
      <c r="AT18" s="5">
        <f t="shared" si="0"/>
        <v>0.70921985815602839</v>
      </c>
      <c r="AU18" s="5">
        <f t="shared" si="1"/>
        <v>1.7428571428571429</v>
      </c>
      <c r="AV18" s="5">
        <f t="shared" si="2"/>
        <v>2.3276561232765616</v>
      </c>
      <c r="AW18" s="5">
        <f t="shared" si="3"/>
        <v>0.86051888004109944</v>
      </c>
      <c r="AX18" s="5">
        <f t="shared" si="4"/>
        <v>2.2380952380952381</v>
      </c>
      <c r="AY18" s="5">
        <f t="shared" si="5"/>
        <v>1.7821314764546206</v>
      </c>
      <c r="AZ18">
        <f t="shared" si="8"/>
        <v>10260000</v>
      </c>
      <c r="BA18">
        <v>0</v>
      </c>
      <c r="BB18">
        <v>690000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6540000</v>
      </c>
      <c r="BK18">
        <v>0</v>
      </c>
      <c r="BL18">
        <v>0</v>
      </c>
      <c r="BM18">
        <v>0</v>
      </c>
      <c r="BN18">
        <v>0</v>
      </c>
      <c r="BO18">
        <v>260000</v>
      </c>
      <c r="BP18">
        <v>190000</v>
      </c>
      <c r="BQ18">
        <v>100000</v>
      </c>
      <c r="BR18">
        <v>2480000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75</v>
      </c>
      <c r="CC18">
        <v>93</v>
      </c>
      <c r="CD18">
        <v>114</v>
      </c>
      <c r="CE18">
        <v>124</v>
      </c>
      <c r="CF18" s="17">
        <v>7.2744907856450052</v>
      </c>
      <c r="CG18" s="17">
        <v>9.0203685741998072</v>
      </c>
      <c r="CH18" s="17">
        <v>11.057225994180406</v>
      </c>
      <c r="CI18" s="17">
        <v>12.027158098933075</v>
      </c>
      <c r="CJ18" s="18">
        <v>1</v>
      </c>
      <c r="CK18" s="18">
        <v>1.24</v>
      </c>
      <c r="CL18" s="18">
        <v>1.52</v>
      </c>
      <c r="CM18" s="18">
        <v>1.6533333333333333</v>
      </c>
      <c r="CN18" s="18">
        <v>0</v>
      </c>
      <c r="CO18" s="18">
        <v>1.7458777885548011</v>
      </c>
      <c r="CP18" s="18">
        <v>3.7827352085354025</v>
      </c>
      <c r="CQ18" s="18">
        <v>4.7526673132880699</v>
      </c>
      <c r="CR18" s="18">
        <f t="shared" si="9"/>
        <v>1.5534934497816595</v>
      </c>
      <c r="CS18" s="18">
        <f t="shared" si="10"/>
        <v>0.9396129736582618</v>
      </c>
      <c r="CT18">
        <v>1.8518518518518501</v>
      </c>
      <c r="CU18">
        <v>71.052631578947469</v>
      </c>
      <c r="CV18">
        <v>27.0955165692008</v>
      </c>
      <c r="CW18">
        <v>0</v>
      </c>
      <c r="CX18">
        <v>0</v>
      </c>
      <c r="CY18">
        <v>6.4327485380117002</v>
      </c>
      <c r="CZ18">
        <v>66.569200779727097</v>
      </c>
      <c r="DA18">
        <v>26.998050682261201</v>
      </c>
      <c r="DB18">
        <v>0</v>
      </c>
      <c r="DC18">
        <v>0</v>
      </c>
      <c r="DD18">
        <v>6.4327485380117002</v>
      </c>
      <c r="DE18">
        <v>66.569200779727097</v>
      </c>
      <c r="DF18">
        <v>26.998050682261201</v>
      </c>
      <c r="DG18">
        <v>0</v>
      </c>
      <c r="DH18">
        <v>0</v>
      </c>
      <c r="DI18">
        <v>6.7251461988304104</v>
      </c>
      <c r="DJ18">
        <v>66.276803118908347</v>
      </c>
      <c r="DK18">
        <v>26.998050682261201</v>
      </c>
      <c r="DL18">
        <v>0</v>
      </c>
      <c r="DM18">
        <v>0</v>
      </c>
      <c r="DN18">
        <v>6.7251461988304104</v>
      </c>
      <c r="DO18">
        <v>66.276803118908347</v>
      </c>
      <c r="DP18">
        <v>26.998050682261201</v>
      </c>
      <c r="DQ18">
        <v>0</v>
      </c>
      <c r="DR18">
        <v>0</v>
      </c>
      <c r="DS18" t="s">
        <v>273</v>
      </c>
      <c r="DT18" t="s">
        <v>273</v>
      </c>
      <c r="DU18" t="s">
        <v>273</v>
      </c>
      <c r="DV18" t="s">
        <v>273</v>
      </c>
      <c r="DW18" t="s">
        <v>273</v>
      </c>
      <c r="DX18" t="s">
        <v>273</v>
      </c>
      <c r="DY18" t="s">
        <v>273</v>
      </c>
      <c r="DZ18" t="s">
        <v>273</v>
      </c>
      <c r="EA18" t="s">
        <v>273</v>
      </c>
      <c r="EB18" t="s">
        <v>273</v>
      </c>
      <c r="EC18" t="s">
        <v>273</v>
      </c>
      <c r="ED18" t="s">
        <v>274</v>
      </c>
      <c r="EE18" t="s">
        <v>274</v>
      </c>
      <c r="EF18" t="s">
        <v>274</v>
      </c>
      <c r="EG18" t="s">
        <v>274</v>
      </c>
    </row>
    <row r="19" spans="1:137" ht="14.55" customHeight="1" x14ac:dyDescent="0.3">
      <c r="A19" t="s">
        <v>301</v>
      </c>
      <c r="B19">
        <v>2051</v>
      </c>
      <c r="C19" t="s">
        <v>302</v>
      </c>
      <c r="D19" t="s">
        <v>269</v>
      </c>
      <c r="E19" t="s">
        <v>269</v>
      </c>
      <c r="F19" t="s">
        <v>270</v>
      </c>
      <c r="G19" t="s">
        <v>271</v>
      </c>
      <c r="H19" s="3">
        <v>16610889.040100001</v>
      </c>
      <c r="I19">
        <v>723</v>
      </c>
      <c r="J19" s="3">
        <v>723.12397467599999</v>
      </c>
      <c r="K19">
        <v>415</v>
      </c>
      <c r="L19">
        <v>525</v>
      </c>
      <c r="M19">
        <v>479.42324026384802</v>
      </c>
      <c r="N19">
        <v>28.962374744887502</v>
      </c>
      <c r="O19">
        <v>0</v>
      </c>
      <c r="P19">
        <v>28.3560905456543</v>
      </c>
      <c r="Q19">
        <v>4.4953641891479501</v>
      </c>
      <c r="R19">
        <v>3.3653943538665798</v>
      </c>
      <c r="S19" t="s">
        <v>272</v>
      </c>
      <c r="T19" t="s">
        <v>301</v>
      </c>
      <c r="U19" t="s">
        <v>302</v>
      </c>
      <c r="V19" t="s">
        <v>302</v>
      </c>
      <c r="W19" s="3">
        <v>1173</v>
      </c>
      <c r="X19" s="3">
        <v>6900000</v>
      </c>
      <c r="Y19">
        <v>3</v>
      </c>
      <c r="Z19" s="3">
        <v>487</v>
      </c>
      <c r="AA19" s="3">
        <v>577</v>
      </c>
      <c r="AB19" s="3">
        <v>680</v>
      </c>
      <c r="AC19" s="3">
        <v>781</v>
      </c>
      <c r="AD19" s="3">
        <v>816</v>
      </c>
      <c r="AE19" s="3">
        <v>848</v>
      </c>
      <c r="AF19" s="3">
        <v>867</v>
      </c>
      <c r="AG19" s="3">
        <v>904</v>
      </c>
      <c r="AH19" s="3">
        <v>919</v>
      </c>
      <c r="AI19" s="3">
        <v>971</v>
      </c>
      <c r="AJ19" s="3">
        <v>1016</v>
      </c>
      <c r="AK19" s="3">
        <v>1038</v>
      </c>
      <c r="AL19" s="3">
        <v>1066</v>
      </c>
      <c r="AM19" s="3">
        <v>1086</v>
      </c>
      <c r="AN19" s="3">
        <v>1107</v>
      </c>
      <c r="AO19" s="3">
        <v>1148</v>
      </c>
      <c r="AP19" s="3">
        <v>1173</v>
      </c>
      <c r="AR19" s="4">
        <f t="shared" si="6"/>
        <v>162.21284884456634</v>
      </c>
      <c r="AS19" s="5">
        <f t="shared" si="7"/>
        <v>2.3100616016427105</v>
      </c>
      <c r="AT19" s="5">
        <f t="shared" si="0"/>
        <v>1.9834392451376852</v>
      </c>
      <c r="AU19" s="5">
        <f t="shared" si="1"/>
        <v>2.7500000000000004</v>
      </c>
      <c r="AV19" s="5">
        <f t="shared" si="2"/>
        <v>3.5294117647058822</v>
      </c>
      <c r="AW19" s="5">
        <f t="shared" si="3"/>
        <v>2.3311994202198334</v>
      </c>
      <c r="AX19" s="5">
        <f t="shared" si="4"/>
        <v>3.6249999999999996</v>
      </c>
      <c r="AY19" s="5">
        <f t="shared" si="5"/>
        <v>3.8070925134580165</v>
      </c>
      <c r="AZ19">
        <f t="shared" si="8"/>
        <v>7250000</v>
      </c>
      <c r="BA19">
        <v>0</v>
      </c>
      <c r="BB19">
        <v>1070000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4270000</v>
      </c>
      <c r="BK19">
        <v>0</v>
      </c>
      <c r="BL19">
        <v>0</v>
      </c>
      <c r="BM19">
        <v>0</v>
      </c>
      <c r="BN19">
        <v>0</v>
      </c>
      <c r="BO19">
        <v>770000</v>
      </c>
      <c r="BP19">
        <v>0</v>
      </c>
      <c r="BQ19">
        <v>0</v>
      </c>
      <c r="BR19">
        <v>320000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790000</v>
      </c>
      <c r="BZ19">
        <v>0</v>
      </c>
      <c r="CA19">
        <v>30000</v>
      </c>
      <c r="CB19">
        <v>65</v>
      </c>
      <c r="CC19">
        <v>73</v>
      </c>
      <c r="CD19">
        <v>85</v>
      </c>
      <c r="CE19">
        <v>94</v>
      </c>
      <c r="CF19" s="17">
        <v>9.5029239766081872</v>
      </c>
      <c r="CG19" s="17">
        <v>10.672514619883041</v>
      </c>
      <c r="CH19" s="17">
        <v>12.426900584795321</v>
      </c>
      <c r="CI19" s="17">
        <v>13.742690058479532</v>
      </c>
      <c r="CJ19" s="18">
        <v>1</v>
      </c>
      <c r="CK19" s="18">
        <v>1.1230769230769231</v>
      </c>
      <c r="CL19" s="18">
        <v>1.3076923076923077</v>
      </c>
      <c r="CM19" s="18">
        <v>1.4461538461538461</v>
      </c>
      <c r="CN19" s="18">
        <v>0</v>
      </c>
      <c r="CO19" s="18">
        <v>1.1695906432748537</v>
      </c>
      <c r="CP19" s="18">
        <v>2.9239766081871341</v>
      </c>
      <c r="CQ19" s="18">
        <v>4.2397660818713447</v>
      </c>
      <c r="CR19" s="18">
        <f t="shared" si="9"/>
        <v>2.2299794661190964</v>
      </c>
      <c r="CS19" s="18">
        <f t="shared" si="10"/>
        <v>1.5420070776355455</v>
      </c>
      <c r="CT19">
        <v>3.4482758620689702</v>
      </c>
      <c r="CU19">
        <v>68.551724137931089</v>
      </c>
      <c r="CV19">
        <v>14.6206896551724</v>
      </c>
      <c r="CW19">
        <v>9.6551724137930997</v>
      </c>
      <c r="CX19">
        <v>3.72413793103448</v>
      </c>
      <c r="CY19">
        <v>16</v>
      </c>
      <c r="CZ19">
        <v>63.172413793103502</v>
      </c>
      <c r="DA19">
        <v>9.5172413793103399</v>
      </c>
      <c r="DB19">
        <v>10.8965517241379</v>
      </c>
      <c r="DC19">
        <v>0.41379310344827602</v>
      </c>
      <c r="DD19">
        <v>16</v>
      </c>
      <c r="DE19">
        <v>63.172413793103502</v>
      </c>
      <c r="DF19">
        <v>9.5172413793103399</v>
      </c>
      <c r="DG19">
        <v>10.8965517241379</v>
      </c>
      <c r="DH19">
        <v>0.41379310344827602</v>
      </c>
      <c r="DI19">
        <v>14.758620689655199</v>
      </c>
      <c r="DJ19">
        <v>69.517241379310306</v>
      </c>
      <c r="DK19">
        <v>4.4137931034482802</v>
      </c>
      <c r="DL19">
        <v>10.8965517241379</v>
      </c>
      <c r="DM19">
        <v>0.41379310344827602</v>
      </c>
      <c r="DN19">
        <v>14.758620689655199</v>
      </c>
      <c r="DO19">
        <v>69.517241379310306</v>
      </c>
      <c r="DP19">
        <v>4.4137931034482802</v>
      </c>
      <c r="DQ19">
        <v>10.8965517241379</v>
      </c>
      <c r="DR19">
        <v>0.41379310344827602</v>
      </c>
      <c r="DS19" t="s">
        <v>273</v>
      </c>
      <c r="DT19" t="s">
        <v>273</v>
      </c>
      <c r="DU19" t="s">
        <v>273</v>
      </c>
      <c r="DV19" t="s">
        <v>273</v>
      </c>
      <c r="DW19" t="s">
        <v>273</v>
      </c>
      <c r="DX19" t="s">
        <v>273</v>
      </c>
      <c r="DY19" t="s">
        <v>273</v>
      </c>
      <c r="DZ19" t="s">
        <v>273</v>
      </c>
      <c r="EA19" t="s">
        <v>273</v>
      </c>
      <c r="EB19" t="s">
        <v>273</v>
      </c>
      <c r="EC19" t="s">
        <v>273</v>
      </c>
      <c r="ED19" t="s">
        <v>274</v>
      </c>
      <c r="EE19" t="s">
        <v>274</v>
      </c>
      <c r="EF19" t="s">
        <v>274</v>
      </c>
      <c r="EG19" t="s">
        <v>274</v>
      </c>
    </row>
    <row r="20" spans="1:137" ht="14.55" customHeight="1" x14ac:dyDescent="0.3">
      <c r="A20" t="s">
        <v>303</v>
      </c>
      <c r="B20">
        <v>2053</v>
      </c>
      <c r="C20" t="s">
        <v>304</v>
      </c>
      <c r="D20" t="s">
        <v>269</v>
      </c>
      <c r="E20" t="s">
        <v>269</v>
      </c>
      <c r="F20" t="s">
        <v>270</v>
      </c>
      <c r="G20" t="s">
        <v>271</v>
      </c>
      <c r="H20" s="3">
        <v>25801011.704700001</v>
      </c>
      <c r="I20">
        <v>2578</v>
      </c>
      <c r="J20" s="3">
        <v>2580.1011704799998</v>
      </c>
      <c r="K20">
        <v>420</v>
      </c>
      <c r="L20">
        <v>684</v>
      </c>
      <c r="M20">
        <v>522.17392516730899</v>
      </c>
      <c r="N20">
        <v>70.2733432586612</v>
      </c>
      <c r="O20">
        <v>0</v>
      </c>
      <c r="P20">
        <v>38.307899475097699</v>
      </c>
      <c r="Q20">
        <v>6.6597862243652299</v>
      </c>
      <c r="R20">
        <v>5.0915083885192898</v>
      </c>
      <c r="S20" t="s">
        <v>272</v>
      </c>
      <c r="T20" t="s">
        <v>303</v>
      </c>
      <c r="U20" t="s">
        <v>304</v>
      </c>
      <c r="V20" t="s">
        <v>304</v>
      </c>
      <c r="W20" s="3">
        <v>5559</v>
      </c>
      <c r="X20" s="3">
        <v>25790000</v>
      </c>
      <c r="Y20">
        <v>2</v>
      </c>
      <c r="Z20" s="3">
        <v>2592</v>
      </c>
      <c r="AA20" s="3">
        <v>3030</v>
      </c>
      <c r="AB20" s="3">
        <v>3462</v>
      </c>
      <c r="AC20" s="3">
        <v>3777</v>
      </c>
      <c r="AD20" s="3">
        <v>3849</v>
      </c>
      <c r="AE20" s="3">
        <v>4023</v>
      </c>
      <c r="AF20" s="3">
        <v>4089</v>
      </c>
      <c r="AG20" s="3">
        <v>4291</v>
      </c>
      <c r="AH20" s="3">
        <v>4447</v>
      </c>
      <c r="AI20" s="3">
        <v>4635</v>
      </c>
      <c r="AJ20" s="3">
        <v>4768</v>
      </c>
      <c r="AK20" s="3">
        <v>4914</v>
      </c>
      <c r="AL20" s="3">
        <v>5106</v>
      </c>
      <c r="AM20" s="3">
        <v>5402</v>
      </c>
      <c r="AN20" s="3">
        <v>5425</v>
      </c>
      <c r="AO20" s="3">
        <v>5521</v>
      </c>
      <c r="AP20" s="3">
        <v>5559</v>
      </c>
      <c r="AR20" s="4">
        <f t="shared" si="6"/>
        <v>215.45666749826748</v>
      </c>
      <c r="AS20" s="5">
        <f t="shared" si="7"/>
        <v>2.1122685185185186</v>
      </c>
      <c r="AT20" s="5">
        <f t="shared" si="0"/>
        <v>1.5841584158415842</v>
      </c>
      <c r="AU20" s="5">
        <f t="shared" si="1"/>
        <v>1.8110918544194106</v>
      </c>
      <c r="AV20" s="5">
        <f t="shared" si="2"/>
        <v>3.59501100513573</v>
      </c>
      <c r="AW20" s="5">
        <f t="shared" si="3"/>
        <v>1.9744008714596948</v>
      </c>
      <c r="AX20" s="5">
        <f t="shared" si="4"/>
        <v>3.0285961871750433</v>
      </c>
      <c r="AY20" s="5">
        <f t="shared" si="5"/>
        <v>3.0937187187187183</v>
      </c>
      <c r="AZ20">
        <f t="shared" si="8"/>
        <v>25770000</v>
      </c>
      <c r="BA20">
        <v>0</v>
      </c>
      <c r="BB20">
        <v>2910000</v>
      </c>
      <c r="BC20">
        <v>330000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12140000</v>
      </c>
      <c r="BK20">
        <v>0</v>
      </c>
      <c r="BL20">
        <v>0</v>
      </c>
      <c r="BM20">
        <v>4580000</v>
      </c>
      <c r="BN20">
        <v>0</v>
      </c>
      <c r="BO20">
        <v>290000</v>
      </c>
      <c r="BP20">
        <v>850000</v>
      </c>
      <c r="BQ20">
        <v>0</v>
      </c>
      <c r="BR20">
        <v>4330000</v>
      </c>
      <c r="BS20">
        <v>0</v>
      </c>
      <c r="BT20">
        <v>0</v>
      </c>
      <c r="BU20">
        <v>340000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183</v>
      </c>
      <c r="CC20">
        <v>224</v>
      </c>
      <c r="CD20">
        <v>261</v>
      </c>
      <c r="CE20">
        <v>318</v>
      </c>
      <c r="CF20" s="17">
        <v>7.0875290472501931</v>
      </c>
      <c r="CG20" s="17">
        <v>8.6754453911696352</v>
      </c>
      <c r="CH20" s="17">
        <v>10.10844306738962</v>
      </c>
      <c r="CI20" s="17">
        <v>12.316034082106894</v>
      </c>
      <c r="CJ20" s="18">
        <v>1</v>
      </c>
      <c r="CK20" s="18">
        <v>1.2240437158469946</v>
      </c>
      <c r="CL20" s="18">
        <v>1.4262295081967213</v>
      </c>
      <c r="CM20" s="18">
        <v>1.7377049180327868</v>
      </c>
      <c r="CN20" s="18">
        <v>0</v>
      </c>
      <c r="CO20" s="18">
        <v>1.5879163439194421</v>
      </c>
      <c r="CP20" s="18">
        <v>3.0209140201394269</v>
      </c>
      <c r="CQ20" s="18">
        <v>5.2285050348566999</v>
      </c>
      <c r="CR20" s="18">
        <f t="shared" si="9"/>
        <v>2.0841049382716048</v>
      </c>
      <c r="CS20" s="18">
        <f t="shared" si="10"/>
        <v>1.1993434078732821</v>
      </c>
      <c r="CT20">
        <v>3.4536282499029864</v>
      </c>
      <c r="CU20">
        <v>75.708187815289108</v>
      </c>
      <c r="CV20">
        <v>20.838183934807901</v>
      </c>
      <c r="CW20">
        <v>0</v>
      </c>
      <c r="CX20">
        <v>0</v>
      </c>
      <c r="CY20">
        <v>9.8176173845556907</v>
      </c>
      <c r="CZ20">
        <v>69.072564998059804</v>
      </c>
      <c r="DA20">
        <v>21.1098176173846</v>
      </c>
      <c r="DB20">
        <v>0</v>
      </c>
      <c r="DC20">
        <v>0</v>
      </c>
      <c r="DD20">
        <v>9.8176173845556907</v>
      </c>
      <c r="DE20">
        <v>69.072564998059804</v>
      </c>
      <c r="DF20">
        <v>21.1098176173846</v>
      </c>
      <c r="DG20">
        <v>0</v>
      </c>
      <c r="DH20">
        <v>0</v>
      </c>
      <c r="DI20">
        <v>12.57275902211877</v>
      </c>
      <c r="DJ20">
        <v>66.006984866123418</v>
      </c>
      <c r="DK20">
        <v>21.42025611175783</v>
      </c>
      <c r="DL20">
        <v>0</v>
      </c>
      <c r="DM20">
        <v>0</v>
      </c>
      <c r="DN20">
        <v>12.57275902211877</v>
      </c>
      <c r="DO20">
        <v>66.006984866123418</v>
      </c>
      <c r="DP20">
        <v>21.42025611175783</v>
      </c>
      <c r="DQ20">
        <v>0</v>
      </c>
      <c r="DR20">
        <v>0</v>
      </c>
      <c r="DS20" t="s">
        <v>273</v>
      </c>
      <c r="DT20" t="s">
        <v>273</v>
      </c>
      <c r="DU20" t="s">
        <v>273</v>
      </c>
      <c r="DV20" t="s">
        <v>273</v>
      </c>
      <c r="DW20" t="s">
        <v>273</v>
      </c>
      <c r="DX20" t="s">
        <v>273</v>
      </c>
      <c r="DY20" t="s">
        <v>273</v>
      </c>
      <c r="DZ20" t="s">
        <v>273</v>
      </c>
      <c r="EA20" t="s">
        <v>273</v>
      </c>
      <c r="EB20" t="s">
        <v>273</v>
      </c>
      <c r="EC20" t="s">
        <v>273</v>
      </c>
      <c r="ED20" t="s">
        <v>274</v>
      </c>
      <c r="EE20" t="s">
        <v>274</v>
      </c>
      <c r="EF20" t="s">
        <v>274</v>
      </c>
      <c r="EG20" t="s">
        <v>274</v>
      </c>
    </row>
    <row r="21" spans="1:137" ht="14.55" customHeight="1" x14ac:dyDescent="0.3">
      <c r="A21" t="s">
        <v>305</v>
      </c>
      <c r="B21">
        <v>2054</v>
      </c>
      <c r="C21" t="s">
        <v>306</v>
      </c>
      <c r="D21" t="s">
        <v>269</v>
      </c>
      <c r="E21" t="s">
        <v>269</v>
      </c>
      <c r="F21" t="s">
        <v>270</v>
      </c>
      <c r="G21" t="s">
        <v>271</v>
      </c>
      <c r="H21" s="3">
        <v>68480344.407900006</v>
      </c>
      <c r="I21">
        <v>4047</v>
      </c>
      <c r="J21" s="3">
        <v>4037.8628784900002</v>
      </c>
      <c r="K21">
        <v>414</v>
      </c>
      <c r="L21">
        <v>839</v>
      </c>
      <c r="M21">
        <v>539.54496385385903</v>
      </c>
      <c r="N21">
        <v>106.529727877632</v>
      </c>
      <c r="O21">
        <v>0</v>
      </c>
      <c r="P21">
        <v>41.040363311767599</v>
      </c>
      <c r="Q21">
        <v>5.4327516555786097</v>
      </c>
      <c r="R21">
        <v>4.1404786109924299</v>
      </c>
      <c r="S21" t="s">
        <v>272</v>
      </c>
      <c r="T21" t="s">
        <v>305</v>
      </c>
      <c r="U21" t="s">
        <v>306</v>
      </c>
      <c r="V21" t="s">
        <v>306</v>
      </c>
      <c r="W21" s="3">
        <v>9762</v>
      </c>
      <c r="X21" s="3">
        <v>40120000</v>
      </c>
      <c r="Y21">
        <v>2</v>
      </c>
      <c r="Z21" s="3">
        <v>5437</v>
      </c>
      <c r="AA21" s="3">
        <v>5989</v>
      </c>
      <c r="AB21" s="3">
        <v>6457</v>
      </c>
      <c r="AC21" s="3">
        <v>7271</v>
      </c>
      <c r="AD21" s="3">
        <v>7470</v>
      </c>
      <c r="AE21" s="3">
        <v>7698</v>
      </c>
      <c r="AF21" s="3">
        <v>7898</v>
      </c>
      <c r="AG21" s="3">
        <v>8108</v>
      </c>
      <c r="AH21" s="3">
        <v>8486</v>
      </c>
      <c r="AI21" s="3">
        <v>8786</v>
      </c>
      <c r="AJ21" s="3">
        <v>8950</v>
      </c>
      <c r="AK21" s="3">
        <v>9084</v>
      </c>
      <c r="AL21" s="3">
        <v>9262</v>
      </c>
      <c r="AM21" s="3">
        <v>9434</v>
      </c>
      <c r="AN21" s="3">
        <v>9494</v>
      </c>
      <c r="AO21" s="3">
        <v>9716</v>
      </c>
      <c r="AP21" s="3">
        <v>9762</v>
      </c>
      <c r="AR21" s="4">
        <f t="shared" si="6"/>
        <v>241.76155292451631</v>
      </c>
      <c r="AS21" s="5">
        <f t="shared" si="7"/>
        <v>1.2690822144565017</v>
      </c>
      <c r="AT21" s="5">
        <f t="shared" si="0"/>
        <v>0.86825847386875943</v>
      </c>
      <c r="AU21" s="5">
        <f t="shared" si="1"/>
        <v>2.2316865417376492</v>
      </c>
      <c r="AV21" s="5">
        <f t="shared" si="2"/>
        <v>2.3600911623195744</v>
      </c>
      <c r="AW21" s="5">
        <f t="shared" si="3"/>
        <v>1.103549751701306</v>
      </c>
      <c r="AX21" s="5">
        <f t="shared" si="4"/>
        <v>2.5592380362397398</v>
      </c>
      <c r="AY21" s="5">
        <f t="shared" si="5"/>
        <v>2.1499336378865532</v>
      </c>
      <c r="AZ21">
        <f t="shared" si="8"/>
        <v>40390000</v>
      </c>
      <c r="BA21">
        <v>0</v>
      </c>
      <c r="BB21">
        <v>3930000</v>
      </c>
      <c r="BC21">
        <v>0</v>
      </c>
      <c r="BD21">
        <v>0</v>
      </c>
      <c r="BE21">
        <v>0</v>
      </c>
      <c r="BF21">
        <v>600000</v>
      </c>
      <c r="BG21">
        <v>0</v>
      </c>
      <c r="BH21">
        <v>0</v>
      </c>
      <c r="BI21">
        <v>930000</v>
      </c>
      <c r="BJ21">
        <v>24370000</v>
      </c>
      <c r="BK21">
        <v>0</v>
      </c>
      <c r="BL21">
        <v>0</v>
      </c>
      <c r="BM21">
        <v>0</v>
      </c>
      <c r="BN21">
        <v>2640000</v>
      </c>
      <c r="BO21">
        <v>420000</v>
      </c>
      <c r="BP21">
        <v>2580000</v>
      </c>
      <c r="BQ21">
        <v>0</v>
      </c>
      <c r="BR21">
        <v>4080000</v>
      </c>
      <c r="BS21">
        <v>0</v>
      </c>
      <c r="BT21">
        <v>0</v>
      </c>
      <c r="BU21">
        <v>220000</v>
      </c>
      <c r="BV21">
        <v>0</v>
      </c>
      <c r="BW21">
        <v>0</v>
      </c>
      <c r="BX21">
        <v>0</v>
      </c>
      <c r="BY21">
        <v>510000</v>
      </c>
      <c r="BZ21">
        <v>0</v>
      </c>
      <c r="CA21">
        <v>110000</v>
      </c>
      <c r="CB21">
        <v>388</v>
      </c>
      <c r="CC21">
        <v>434</v>
      </c>
      <c r="CD21">
        <v>565</v>
      </c>
      <c r="CE21">
        <v>613</v>
      </c>
      <c r="CF21" s="17">
        <v>9.6421471172962221</v>
      </c>
      <c r="CG21" s="17">
        <v>10.785288270377734</v>
      </c>
      <c r="CH21" s="17">
        <v>14.040755467196819</v>
      </c>
      <c r="CI21" s="17">
        <v>15.233598409542742</v>
      </c>
      <c r="CJ21" s="18">
        <v>1</v>
      </c>
      <c r="CK21" s="18">
        <v>1.1185567010309279</v>
      </c>
      <c r="CL21" s="18">
        <v>1.4561855670103092</v>
      </c>
      <c r="CM21" s="18">
        <v>1.5798969072164948</v>
      </c>
      <c r="CN21" s="18">
        <v>0</v>
      </c>
      <c r="CO21" s="18">
        <v>1.143141153081511</v>
      </c>
      <c r="CP21" s="18">
        <v>4.3986083499005968</v>
      </c>
      <c r="CQ21" s="18">
        <v>5.5914512922465205</v>
      </c>
      <c r="CR21" s="18">
        <f t="shared" si="9"/>
        <v>1.7351480595916866</v>
      </c>
      <c r="CS21" s="18">
        <f t="shared" si="10"/>
        <v>1.09826663478234</v>
      </c>
      <c r="CT21">
        <v>5.2983411735578203</v>
      </c>
      <c r="CU21">
        <v>77.841049764793254</v>
      </c>
      <c r="CV21">
        <v>14.186679871255301</v>
      </c>
      <c r="CW21">
        <v>0.84179252290170803</v>
      </c>
      <c r="CX21">
        <v>1.8321366674919499</v>
      </c>
      <c r="CY21">
        <v>12.10695716761575</v>
      </c>
      <c r="CZ21">
        <v>69.274572914087699</v>
      </c>
      <c r="DA21">
        <v>17.009160683337491</v>
      </c>
      <c r="DB21">
        <v>1.3369645951968301</v>
      </c>
      <c r="DC21">
        <v>0.27234463976231699</v>
      </c>
      <c r="DD21">
        <v>12.23075018568953</v>
      </c>
      <c r="DE21">
        <v>69.150779896013901</v>
      </c>
      <c r="DF21">
        <v>17.009160683337491</v>
      </c>
      <c r="DG21">
        <v>1.3369645951968301</v>
      </c>
      <c r="DH21">
        <v>0.27234463976231699</v>
      </c>
      <c r="DI21">
        <v>13.369645951968311</v>
      </c>
      <c r="DJ21">
        <v>68.061401336964579</v>
      </c>
      <c r="DK21">
        <v>17.033919286952237</v>
      </c>
      <c r="DL21">
        <v>1.26268878435256</v>
      </c>
      <c r="DM21">
        <v>0.27234463976231699</v>
      </c>
      <c r="DN21">
        <v>13.518197573656851</v>
      </c>
      <c r="DO21">
        <v>67.912849715276081</v>
      </c>
      <c r="DP21">
        <v>17.033919286952237</v>
      </c>
      <c r="DQ21">
        <v>1.26268878435256</v>
      </c>
      <c r="DR21">
        <v>0.27234463976231699</v>
      </c>
      <c r="DS21" t="s">
        <v>273</v>
      </c>
      <c r="DT21" t="s">
        <v>273</v>
      </c>
      <c r="DU21" t="s">
        <v>273</v>
      </c>
      <c r="DV21" t="s">
        <v>273</v>
      </c>
      <c r="DW21" t="s">
        <v>273</v>
      </c>
      <c r="DX21" t="s">
        <v>273</v>
      </c>
      <c r="DY21" t="s">
        <v>273</v>
      </c>
      <c r="DZ21" t="s">
        <v>273</v>
      </c>
      <c r="EA21" t="s">
        <v>273</v>
      </c>
      <c r="EB21" t="s">
        <v>273</v>
      </c>
      <c r="EC21" t="s">
        <v>273</v>
      </c>
      <c r="ED21" t="s">
        <v>274</v>
      </c>
      <c r="EE21" t="s">
        <v>274</v>
      </c>
      <c r="EF21" t="s">
        <v>274</v>
      </c>
      <c r="EG21" t="s">
        <v>274</v>
      </c>
    </row>
    <row r="22" spans="1:137" ht="14.55" customHeight="1" x14ac:dyDescent="0.3">
      <c r="A22" t="s">
        <v>307</v>
      </c>
      <c r="B22">
        <v>2055</v>
      </c>
      <c r="C22" t="s">
        <v>308</v>
      </c>
      <c r="D22" t="s">
        <v>269</v>
      </c>
      <c r="E22" t="s">
        <v>269</v>
      </c>
      <c r="F22" t="s">
        <v>270</v>
      </c>
      <c r="G22" t="s">
        <v>271</v>
      </c>
      <c r="H22" s="3">
        <v>22343935.245000001</v>
      </c>
      <c r="I22">
        <v>985</v>
      </c>
      <c r="J22" s="3">
        <v>978.24754119900001</v>
      </c>
      <c r="K22">
        <v>416</v>
      </c>
      <c r="L22">
        <v>712</v>
      </c>
      <c r="M22">
        <v>546.13157542497697</v>
      </c>
      <c r="N22">
        <v>81.843650760280397</v>
      </c>
      <c r="O22">
        <v>0</v>
      </c>
      <c r="P22">
        <v>41.712375640869098</v>
      </c>
      <c r="Q22">
        <v>8.0316438674926793</v>
      </c>
      <c r="R22">
        <v>6.9390096664428702</v>
      </c>
      <c r="S22" t="s">
        <v>272</v>
      </c>
      <c r="T22" t="s">
        <v>307</v>
      </c>
      <c r="U22" t="s">
        <v>308</v>
      </c>
      <c r="V22" t="s">
        <v>308</v>
      </c>
      <c r="W22" s="3">
        <v>2317</v>
      </c>
      <c r="X22" s="3">
        <v>9730000</v>
      </c>
      <c r="Y22">
        <v>3</v>
      </c>
      <c r="Z22" s="3">
        <v>707</v>
      </c>
      <c r="AA22" s="3">
        <v>955</v>
      </c>
      <c r="AB22" s="3">
        <v>1149</v>
      </c>
      <c r="AC22" s="3">
        <v>1468</v>
      </c>
      <c r="AD22" s="3">
        <v>1571</v>
      </c>
      <c r="AE22" s="3">
        <v>1626</v>
      </c>
      <c r="AF22" s="3">
        <v>1795</v>
      </c>
      <c r="AG22" s="3">
        <v>1818</v>
      </c>
      <c r="AH22" s="3">
        <v>1935</v>
      </c>
      <c r="AI22" s="3">
        <v>1952</v>
      </c>
      <c r="AJ22" s="3">
        <v>2056</v>
      </c>
      <c r="AK22" s="3">
        <v>2106</v>
      </c>
      <c r="AL22" s="3">
        <v>2180</v>
      </c>
      <c r="AM22" s="3">
        <v>2222</v>
      </c>
      <c r="AN22" s="3">
        <v>2278</v>
      </c>
      <c r="AO22" s="3">
        <v>2320</v>
      </c>
      <c r="AP22" s="3">
        <v>2317</v>
      </c>
      <c r="AR22" s="4">
        <f t="shared" si="6"/>
        <v>236.85211589288977</v>
      </c>
      <c r="AS22" s="5">
        <f t="shared" si="7"/>
        <v>4.3847241867043847</v>
      </c>
      <c r="AT22" s="5">
        <f t="shared" si="0"/>
        <v>2.2571262361838276</v>
      </c>
      <c r="AU22" s="5">
        <f t="shared" si="1"/>
        <v>5.6222802436901658</v>
      </c>
      <c r="AV22" s="5">
        <f t="shared" si="2"/>
        <v>2.9080779944289694</v>
      </c>
      <c r="AW22" s="5">
        <f t="shared" si="3"/>
        <v>3.6775106082036775</v>
      </c>
      <c r="AX22" s="5">
        <f t="shared" si="4"/>
        <v>5.0826805918189732</v>
      </c>
      <c r="AY22" s="5">
        <f t="shared" si="5"/>
        <v>6.1546695210061539</v>
      </c>
      <c r="AZ22">
        <f t="shared" si="8"/>
        <v>9850000</v>
      </c>
      <c r="BA22">
        <v>0</v>
      </c>
      <c r="BB22">
        <v>1280000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4720000</v>
      </c>
      <c r="BK22">
        <v>0</v>
      </c>
      <c r="BL22">
        <v>0</v>
      </c>
      <c r="BM22">
        <v>0</v>
      </c>
      <c r="BN22">
        <v>10000</v>
      </c>
      <c r="BO22">
        <v>0</v>
      </c>
      <c r="BP22">
        <v>1300000</v>
      </c>
      <c r="BQ22">
        <v>0</v>
      </c>
      <c r="BR22">
        <v>1480000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1060000</v>
      </c>
      <c r="BZ22">
        <v>0</v>
      </c>
      <c r="CA22">
        <v>0</v>
      </c>
      <c r="CB22">
        <v>88</v>
      </c>
      <c r="CC22">
        <v>97</v>
      </c>
      <c r="CD22">
        <v>116</v>
      </c>
      <c r="CE22">
        <v>132</v>
      </c>
      <c r="CF22" s="17">
        <v>9.0256410256410255</v>
      </c>
      <c r="CG22" s="17">
        <v>9.9487179487179489</v>
      </c>
      <c r="CH22" s="17">
        <v>11.897435897435898</v>
      </c>
      <c r="CI22" s="17">
        <v>13.538461538461538</v>
      </c>
      <c r="CJ22" s="18">
        <v>1</v>
      </c>
      <c r="CK22" s="18">
        <v>1.1022727272727273</v>
      </c>
      <c r="CL22" s="18">
        <v>1.3181818181818181</v>
      </c>
      <c r="CM22" s="18">
        <v>1.5</v>
      </c>
      <c r="CN22" s="18">
        <v>0</v>
      </c>
      <c r="CO22" s="18">
        <v>0.92307692307692313</v>
      </c>
      <c r="CP22" s="18">
        <v>2.8717948717948718</v>
      </c>
      <c r="CQ22" s="18">
        <v>4.5128205128205128</v>
      </c>
      <c r="CR22" s="18">
        <f t="shared" si="9"/>
        <v>3.1428571428571428</v>
      </c>
      <c r="CS22" s="18">
        <f t="shared" si="10"/>
        <v>2.0952380952380953</v>
      </c>
      <c r="CT22">
        <v>4.5685279187817258</v>
      </c>
      <c r="CU22">
        <v>57.664974619289339</v>
      </c>
      <c r="CV22">
        <v>26.395939086294472</v>
      </c>
      <c r="CW22">
        <v>7.91878172588833</v>
      </c>
      <c r="CX22">
        <v>3.4517766497461899</v>
      </c>
      <c r="CY22">
        <v>10.1522842639594</v>
      </c>
      <c r="CZ22">
        <v>50.761421319797002</v>
      </c>
      <c r="DA22">
        <v>29.441624365482198</v>
      </c>
      <c r="DB22">
        <v>9.6446700507614196</v>
      </c>
      <c r="DC22">
        <v>0</v>
      </c>
      <c r="DD22">
        <v>10.1522842639594</v>
      </c>
      <c r="DE22">
        <v>50.761421319797002</v>
      </c>
      <c r="DF22">
        <v>29.441624365482198</v>
      </c>
      <c r="DG22">
        <v>9.6446700507614196</v>
      </c>
      <c r="DH22">
        <v>0</v>
      </c>
      <c r="DI22">
        <v>12.994923857868001</v>
      </c>
      <c r="DJ22">
        <v>48.020304568527898</v>
      </c>
      <c r="DK22">
        <v>28.223350253807101</v>
      </c>
      <c r="DL22">
        <v>10.761421319797</v>
      </c>
      <c r="DM22">
        <v>0</v>
      </c>
      <c r="DN22">
        <v>12.994923857868001</v>
      </c>
      <c r="DO22">
        <v>48.020304568527898</v>
      </c>
      <c r="DP22">
        <v>28.223350253807101</v>
      </c>
      <c r="DQ22">
        <v>10.761421319797</v>
      </c>
      <c r="DR22">
        <v>0</v>
      </c>
      <c r="DS22" t="s">
        <v>273</v>
      </c>
      <c r="DT22" t="s">
        <v>273</v>
      </c>
      <c r="DU22" t="s">
        <v>273</v>
      </c>
      <c r="DV22" t="s">
        <v>273</v>
      </c>
      <c r="DW22" t="s">
        <v>273</v>
      </c>
      <c r="DX22" t="s">
        <v>273</v>
      </c>
      <c r="DY22" t="s">
        <v>273</v>
      </c>
      <c r="DZ22" t="s">
        <v>273</v>
      </c>
      <c r="EA22" t="s">
        <v>273</v>
      </c>
      <c r="EB22" t="s">
        <v>273</v>
      </c>
      <c r="EC22" t="s">
        <v>273</v>
      </c>
      <c r="ED22" t="s">
        <v>274</v>
      </c>
      <c r="EE22" t="s">
        <v>274</v>
      </c>
      <c r="EF22" t="s">
        <v>274</v>
      </c>
      <c r="EG22" t="s">
        <v>274</v>
      </c>
    </row>
    <row r="23" spans="1:137" ht="14.55" customHeight="1" x14ac:dyDescent="0.3">
      <c r="A23" t="s">
        <v>309</v>
      </c>
      <c r="B23">
        <v>2061</v>
      </c>
      <c r="C23" t="s">
        <v>310</v>
      </c>
      <c r="D23" t="s">
        <v>269</v>
      </c>
      <c r="E23" t="s">
        <v>269</v>
      </c>
      <c r="F23" t="s">
        <v>270</v>
      </c>
      <c r="G23" t="s">
        <v>311</v>
      </c>
      <c r="H23" s="3">
        <v>1925079.22658</v>
      </c>
      <c r="I23">
        <v>195</v>
      </c>
      <c r="J23" s="3">
        <v>192.50792265800001</v>
      </c>
      <c r="K23">
        <v>570</v>
      </c>
      <c r="L23">
        <v>722</v>
      </c>
      <c r="M23">
        <v>650.86411744622706</v>
      </c>
      <c r="N23">
        <v>40.967815056660797</v>
      </c>
      <c r="O23">
        <v>0</v>
      </c>
      <c r="P23">
        <v>32.821449279785199</v>
      </c>
      <c r="Q23">
        <v>6.7184267044067401</v>
      </c>
      <c r="R23">
        <v>4.2465801239013699</v>
      </c>
      <c r="S23" t="s">
        <v>272</v>
      </c>
      <c r="T23" t="s">
        <v>309</v>
      </c>
      <c r="U23" t="s">
        <v>310</v>
      </c>
      <c r="V23" t="s">
        <v>310</v>
      </c>
      <c r="W23" s="3">
        <v>282</v>
      </c>
      <c r="X23" s="3">
        <v>1930000</v>
      </c>
      <c r="Y23">
        <v>3</v>
      </c>
      <c r="Z23" s="3">
        <v>147</v>
      </c>
      <c r="AA23" s="3">
        <v>153</v>
      </c>
      <c r="AB23" s="3">
        <v>171</v>
      </c>
      <c r="AC23" s="3">
        <v>252</v>
      </c>
      <c r="AD23" s="3">
        <v>253</v>
      </c>
      <c r="AE23" s="3">
        <v>264</v>
      </c>
      <c r="AF23" s="3">
        <v>268</v>
      </c>
      <c r="AG23" s="3">
        <v>270</v>
      </c>
      <c r="AH23" s="3">
        <v>260</v>
      </c>
      <c r="AI23" s="3">
        <v>275</v>
      </c>
      <c r="AJ23" s="3">
        <v>273</v>
      </c>
      <c r="AK23" s="3">
        <v>283</v>
      </c>
      <c r="AL23" s="3">
        <v>272</v>
      </c>
      <c r="AM23" s="3">
        <v>282</v>
      </c>
      <c r="AN23" s="3">
        <v>285</v>
      </c>
      <c r="AO23" s="3">
        <v>289</v>
      </c>
      <c r="AP23" s="3">
        <v>282</v>
      </c>
      <c r="AR23" s="4">
        <f t="shared" si="6"/>
        <v>146.48747755747547</v>
      </c>
      <c r="AS23" s="5">
        <f t="shared" si="7"/>
        <v>0.51020408163265307</v>
      </c>
      <c r="AT23" s="5">
        <f t="shared" si="0"/>
        <v>1.3071895424836601</v>
      </c>
      <c r="AU23" s="5">
        <f t="shared" si="1"/>
        <v>5.6725146198830414</v>
      </c>
      <c r="AV23" s="5">
        <f t="shared" si="2"/>
        <v>0.5223880597014926</v>
      </c>
      <c r="AW23" s="5">
        <f t="shared" si="3"/>
        <v>0.96038415366146457</v>
      </c>
      <c r="AX23" s="5">
        <f t="shared" si="4"/>
        <v>3.2456140350877196</v>
      </c>
      <c r="AY23" s="5">
        <f t="shared" si="5"/>
        <v>2.4820739106453393</v>
      </c>
      <c r="AZ23">
        <f t="shared" si="8"/>
        <v>1960000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1790000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170000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12</v>
      </c>
      <c r="CC23">
        <v>14</v>
      </c>
      <c r="CD23">
        <v>17</v>
      </c>
      <c r="CE23">
        <v>18</v>
      </c>
      <c r="CF23" s="17">
        <v>6.25</v>
      </c>
      <c r="CG23" s="17">
        <v>7.291666666666667</v>
      </c>
      <c r="CH23" s="17">
        <v>8.8541666666666679</v>
      </c>
      <c r="CI23" s="17">
        <v>9.375</v>
      </c>
      <c r="CJ23" s="18">
        <v>1</v>
      </c>
      <c r="CK23" s="18">
        <v>1.1666666666666667</v>
      </c>
      <c r="CL23" s="18">
        <v>1.4166666666666667</v>
      </c>
      <c r="CM23" s="18">
        <v>1.5</v>
      </c>
      <c r="CN23" s="18">
        <v>0</v>
      </c>
      <c r="CO23" s="18">
        <v>1.0416666666666665</v>
      </c>
      <c r="CP23" s="18">
        <v>2.604166666666667</v>
      </c>
      <c r="CQ23" s="18">
        <v>3.125</v>
      </c>
      <c r="CR23" s="18">
        <f t="shared" si="9"/>
        <v>1.9183673469387754</v>
      </c>
      <c r="CS23" s="18">
        <f t="shared" si="10"/>
        <v>1.2789115646258502</v>
      </c>
      <c r="CT23">
        <v>0</v>
      </c>
      <c r="CU23">
        <v>94.89795918367345</v>
      </c>
      <c r="CV23">
        <v>5.1020408163265296</v>
      </c>
      <c r="CW23">
        <v>0</v>
      </c>
      <c r="CX23">
        <v>0</v>
      </c>
      <c r="CY23">
        <v>0</v>
      </c>
      <c r="CZ23">
        <v>90.816326530612301</v>
      </c>
      <c r="DA23">
        <v>9.1836734693877595</v>
      </c>
      <c r="DB23">
        <v>0</v>
      </c>
      <c r="DC23">
        <v>0</v>
      </c>
      <c r="DD23">
        <v>0</v>
      </c>
      <c r="DE23">
        <v>90.816326530612301</v>
      </c>
      <c r="DF23">
        <v>9.1836734693877595</v>
      </c>
      <c r="DG23">
        <v>0</v>
      </c>
      <c r="DH23">
        <v>0</v>
      </c>
      <c r="DI23">
        <v>0</v>
      </c>
      <c r="DJ23">
        <v>91.326530612244895</v>
      </c>
      <c r="DK23">
        <v>8.6734693877550999</v>
      </c>
      <c r="DL23">
        <v>0</v>
      </c>
      <c r="DM23">
        <v>0</v>
      </c>
      <c r="DN23">
        <v>0</v>
      </c>
      <c r="DO23">
        <v>91.326530612244895</v>
      </c>
      <c r="DP23">
        <v>8.6734693877550999</v>
      </c>
      <c r="DQ23">
        <v>0</v>
      </c>
      <c r="DR23">
        <v>0</v>
      </c>
      <c r="DS23" t="s">
        <v>312</v>
      </c>
      <c r="DT23" t="s">
        <v>313</v>
      </c>
      <c r="DU23">
        <v>288</v>
      </c>
      <c r="DV23">
        <v>5586</v>
      </c>
      <c r="DW23" t="s">
        <v>314</v>
      </c>
      <c r="DX23">
        <v>107</v>
      </c>
      <c r="DY23">
        <v>0</v>
      </c>
      <c r="DZ23">
        <v>107</v>
      </c>
      <c r="EA23">
        <v>443445</v>
      </c>
      <c r="EB23">
        <v>0</v>
      </c>
      <c r="EC23">
        <v>443445</v>
      </c>
      <c r="ED23" t="s">
        <v>274</v>
      </c>
      <c r="EE23" t="s">
        <v>274</v>
      </c>
      <c r="EF23" t="s">
        <v>274</v>
      </c>
      <c r="EG23" t="s">
        <v>274</v>
      </c>
    </row>
    <row r="24" spans="1:137" ht="14.55" customHeight="1" x14ac:dyDescent="0.3">
      <c r="A24" t="s">
        <v>315</v>
      </c>
      <c r="B24">
        <v>2063</v>
      </c>
      <c r="C24" t="s">
        <v>316</v>
      </c>
      <c r="D24" t="s">
        <v>269</v>
      </c>
      <c r="E24" t="s">
        <v>269</v>
      </c>
      <c r="F24" t="s">
        <v>270</v>
      </c>
      <c r="G24" t="s">
        <v>311</v>
      </c>
      <c r="H24" s="3">
        <v>4894179.6386900004</v>
      </c>
      <c r="I24">
        <v>490</v>
      </c>
      <c r="J24" s="3">
        <v>489.41796386900006</v>
      </c>
      <c r="K24">
        <v>687</v>
      </c>
      <c r="L24">
        <v>827</v>
      </c>
      <c r="M24">
        <v>762.21997047376203</v>
      </c>
      <c r="N24">
        <v>26.096422766791701</v>
      </c>
      <c r="O24">
        <v>0</v>
      </c>
      <c r="P24">
        <v>32.051097869873097</v>
      </c>
      <c r="Q24">
        <v>6.1811442375183097</v>
      </c>
      <c r="R24">
        <v>3.8314371109008798</v>
      </c>
      <c r="S24" t="s">
        <v>272</v>
      </c>
      <c r="T24" t="s">
        <v>315</v>
      </c>
      <c r="U24" t="s">
        <v>316</v>
      </c>
      <c r="V24" t="s">
        <v>316</v>
      </c>
      <c r="W24" s="3">
        <v>786</v>
      </c>
      <c r="X24" s="3">
        <v>4890000</v>
      </c>
      <c r="Y24">
        <v>3</v>
      </c>
      <c r="Z24" s="3">
        <v>510</v>
      </c>
      <c r="AA24" s="3">
        <v>511</v>
      </c>
      <c r="AB24" s="3">
        <v>514</v>
      </c>
      <c r="AC24" s="3">
        <v>608</v>
      </c>
      <c r="AD24" s="3">
        <v>608</v>
      </c>
      <c r="AE24" s="3">
        <v>644</v>
      </c>
      <c r="AF24" s="3">
        <v>660</v>
      </c>
      <c r="AG24" s="3">
        <v>661</v>
      </c>
      <c r="AH24" s="3">
        <v>665</v>
      </c>
      <c r="AI24" s="3">
        <v>659</v>
      </c>
      <c r="AJ24" s="3">
        <v>670</v>
      </c>
      <c r="AK24" s="3">
        <v>684</v>
      </c>
      <c r="AL24" s="3">
        <v>687</v>
      </c>
      <c r="AM24" s="3">
        <v>729</v>
      </c>
      <c r="AN24" s="3">
        <v>757</v>
      </c>
      <c r="AO24" s="3">
        <v>772</v>
      </c>
      <c r="AP24" s="3">
        <v>786</v>
      </c>
      <c r="AR24" s="4">
        <f t="shared" si="6"/>
        <v>160.59892730263257</v>
      </c>
      <c r="AS24" s="5">
        <f t="shared" si="7"/>
        <v>2.4509803921568627E-2</v>
      </c>
      <c r="AT24" s="5">
        <f t="shared" si="0"/>
        <v>6.5231572080887146E-2</v>
      </c>
      <c r="AU24" s="5">
        <f t="shared" si="1"/>
        <v>2.840466926070039</v>
      </c>
      <c r="AV24" s="5">
        <f t="shared" si="2"/>
        <v>1.9090909090909092</v>
      </c>
      <c r="AW24" s="5">
        <f t="shared" si="3"/>
        <v>4.61361014994233E-2</v>
      </c>
      <c r="AX24" s="5">
        <f t="shared" si="4"/>
        <v>2.6459143968871595</v>
      </c>
      <c r="AY24" s="5">
        <f t="shared" si="5"/>
        <v>1.4626391096979332</v>
      </c>
      <c r="AZ24">
        <f t="shared" si="8"/>
        <v>4880000</v>
      </c>
      <c r="BA24">
        <v>0</v>
      </c>
      <c r="BB24">
        <v>370000</v>
      </c>
      <c r="BC24">
        <v>10000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4080000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390000</v>
      </c>
      <c r="BR24">
        <v>30000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19</v>
      </c>
      <c r="CC24">
        <v>25</v>
      </c>
      <c r="CD24">
        <v>33</v>
      </c>
      <c r="CE24">
        <v>36</v>
      </c>
      <c r="CF24" s="17">
        <v>3.8775510204081631</v>
      </c>
      <c r="CG24" s="17">
        <v>5.1020408163265305</v>
      </c>
      <c r="CH24" s="17">
        <v>6.7346938775510203</v>
      </c>
      <c r="CI24" s="17">
        <v>7.3469387755102051</v>
      </c>
      <c r="CJ24" s="18">
        <v>1</v>
      </c>
      <c r="CK24" s="18">
        <v>1.3157894736842106</v>
      </c>
      <c r="CL24" s="18">
        <v>1.736842105263158</v>
      </c>
      <c r="CM24" s="18">
        <v>1.8947368421052631</v>
      </c>
      <c r="CN24" s="18">
        <v>0</v>
      </c>
      <c r="CO24" s="18">
        <v>1.2244897959183674</v>
      </c>
      <c r="CP24" s="18">
        <v>2.8571428571428572</v>
      </c>
      <c r="CQ24" s="18">
        <v>3.4693877551020407</v>
      </c>
      <c r="CR24" s="18">
        <f t="shared" si="9"/>
        <v>1.4294117647058824</v>
      </c>
      <c r="CS24" s="18">
        <f t="shared" si="10"/>
        <v>0.75441176470588245</v>
      </c>
      <c r="CT24">
        <v>2.049180327868855</v>
      </c>
      <c r="CU24">
        <v>86.47540983606558</v>
      </c>
      <c r="CV24">
        <v>11.4754098360656</v>
      </c>
      <c r="CW24">
        <v>0</v>
      </c>
      <c r="CX24">
        <v>0</v>
      </c>
      <c r="CY24">
        <v>7.7868852459016358</v>
      </c>
      <c r="CZ24">
        <v>83.811475409836106</v>
      </c>
      <c r="DA24">
        <v>8.4016393442622999</v>
      </c>
      <c r="DB24">
        <v>0</v>
      </c>
      <c r="DC24">
        <v>0</v>
      </c>
      <c r="DD24">
        <v>7.7868852459016358</v>
      </c>
      <c r="DE24">
        <v>83.811475409836106</v>
      </c>
      <c r="DF24">
        <v>8.4016393442622999</v>
      </c>
      <c r="DG24">
        <v>0</v>
      </c>
      <c r="DH24">
        <v>0</v>
      </c>
      <c r="DI24">
        <v>7.7868852459016358</v>
      </c>
      <c r="DJ24">
        <v>83.606557377049199</v>
      </c>
      <c r="DK24">
        <v>8.6065573770491799</v>
      </c>
      <c r="DL24">
        <v>0</v>
      </c>
      <c r="DM24">
        <v>0</v>
      </c>
      <c r="DN24">
        <v>7.7868852459016358</v>
      </c>
      <c r="DO24">
        <v>83.606557377049199</v>
      </c>
      <c r="DP24">
        <v>8.6065573770491799</v>
      </c>
      <c r="DQ24">
        <v>0</v>
      </c>
      <c r="DR24">
        <v>0</v>
      </c>
      <c r="DS24" t="s">
        <v>273</v>
      </c>
      <c r="DT24" t="s">
        <v>273</v>
      </c>
      <c r="DU24" t="s">
        <v>273</v>
      </c>
      <c r="DV24" t="s">
        <v>273</v>
      </c>
      <c r="DW24" t="s">
        <v>273</v>
      </c>
      <c r="DX24" t="s">
        <v>273</v>
      </c>
      <c r="DY24" t="s">
        <v>273</v>
      </c>
      <c r="DZ24" t="s">
        <v>273</v>
      </c>
      <c r="EA24" t="s">
        <v>273</v>
      </c>
      <c r="EB24" t="s">
        <v>273</v>
      </c>
      <c r="EC24" t="s">
        <v>273</v>
      </c>
      <c r="ED24" t="s">
        <v>274</v>
      </c>
      <c r="EE24" t="s">
        <v>274</v>
      </c>
      <c r="EF24" t="s">
        <v>274</v>
      </c>
      <c r="EG24" t="s">
        <v>274</v>
      </c>
    </row>
    <row r="25" spans="1:137" ht="14.55" customHeight="1" x14ac:dyDescent="0.3">
      <c r="A25" t="s">
        <v>317</v>
      </c>
      <c r="B25">
        <v>2066</v>
      </c>
      <c r="C25" t="s">
        <v>318</v>
      </c>
      <c r="D25" t="s">
        <v>269</v>
      </c>
      <c r="E25" t="s">
        <v>269</v>
      </c>
      <c r="F25" t="s">
        <v>270</v>
      </c>
      <c r="G25" t="s">
        <v>311</v>
      </c>
      <c r="H25" s="3">
        <v>2025058.14842</v>
      </c>
      <c r="I25">
        <v>200</v>
      </c>
      <c r="J25" s="3">
        <v>202.50581484200001</v>
      </c>
      <c r="K25">
        <v>655</v>
      </c>
      <c r="L25">
        <v>824</v>
      </c>
      <c r="M25">
        <v>733.45197923426394</v>
      </c>
      <c r="N25">
        <v>36.588063219995</v>
      </c>
      <c r="O25">
        <v>0</v>
      </c>
      <c r="P25">
        <v>29.628889083862301</v>
      </c>
      <c r="Q25">
        <v>6.0009012222290004</v>
      </c>
      <c r="R25">
        <v>4.0531172752380398</v>
      </c>
      <c r="S25" t="s">
        <v>272</v>
      </c>
      <c r="T25" t="s">
        <v>317</v>
      </c>
      <c r="U25" t="s">
        <v>318</v>
      </c>
      <c r="V25" t="s">
        <v>318</v>
      </c>
      <c r="W25" s="3">
        <v>302</v>
      </c>
      <c r="X25" s="3">
        <v>2030000</v>
      </c>
      <c r="Y25">
        <v>3</v>
      </c>
      <c r="Z25" s="3">
        <v>132</v>
      </c>
      <c r="AA25" s="3">
        <v>151</v>
      </c>
      <c r="AB25" s="3">
        <v>197</v>
      </c>
      <c r="AC25" s="3">
        <v>230</v>
      </c>
      <c r="AD25" s="3">
        <v>247</v>
      </c>
      <c r="AE25" s="3">
        <v>247</v>
      </c>
      <c r="AF25" s="3">
        <v>240</v>
      </c>
      <c r="AG25" s="3">
        <v>249</v>
      </c>
      <c r="AH25" s="3">
        <v>260</v>
      </c>
      <c r="AI25" s="3">
        <v>258</v>
      </c>
      <c r="AJ25" s="3">
        <v>262</v>
      </c>
      <c r="AK25" s="3">
        <v>262</v>
      </c>
      <c r="AL25" s="3">
        <v>259</v>
      </c>
      <c r="AM25" s="3">
        <v>277</v>
      </c>
      <c r="AN25" s="3">
        <v>278</v>
      </c>
      <c r="AO25" s="3">
        <v>291</v>
      </c>
      <c r="AP25" s="3">
        <v>302</v>
      </c>
      <c r="AR25" s="4">
        <f t="shared" si="6"/>
        <v>149.13152011739902</v>
      </c>
      <c r="AS25" s="5">
        <f t="shared" si="7"/>
        <v>1.7992424242424243</v>
      </c>
      <c r="AT25" s="5">
        <f t="shared" si="0"/>
        <v>3.384841795437822</v>
      </c>
      <c r="AU25" s="5">
        <f t="shared" si="1"/>
        <v>2.1827411167512691</v>
      </c>
      <c r="AV25" s="5">
        <f t="shared" si="2"/>
        <v>2.5833333333333335</v>
      </c>
      <c r="AW25" s="5">
        <f t="shared" si="3"/>
        <v>2.8966131907308377</v>
      </c>
      <c r="AX25" s="5">
        <f t="shared" si="4"/>
        <v>2.6649746192893407</v>
      </c>
      <c r="AY25" s="5">
        <f t="shared" si="5"/>
        <v>3.4807534807534806</v>
      </c>
      <c r="AZ25">
        <f t="shared" si="8"/>
        <v>2010000</v>
      </c>
      <c r="BA25">
        <v>0</v>
      </c>
      <c r="BB25">
        <v>150000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1510000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270000</v>
      </c>
      <c r="BR25">
        <v>80000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14</v>
      </c>
      <c r="CC25">
        <v>18</v>
      </c>
      <c r="CD25">
        <v>17</v>
      </c>
      <c r="CE25">
        <v>20</v>
      </c>
      <c r="CF25" s="17">
        <v>6.8627450980392162</v>
      </c>
      <c r="CG25" s="17">
        <v>8.8235294117647065</v>
      </c>
      <c r="CH25" s="17">
        <v>8.3333333333333321</v>
      </c>
      <c r="CI25" s="17">
        <v>9.8039215686274517</v>
      </c>
      <c r="CJ25" s="18">
        <v>1</v>
      </c>
      <c r="CK25" s="18">
        <v>1.2857142857142858</v>
      </c>
      <c r="CL25" s="18">
        <v>1.2142857142857142</v>
      </c>
      <c r="CM25" s="18">
        <v>1.4285714285714286</v>
      </c>
      <c r="CN25" s="18">
        <v>0</v>
      </c>
      <c r="CO25" s="18">
        <v>1.9607843137254901</v>
      </c>
      <c r="CP25" s="18">
        <v>1.4705882352941175</v>
      </c>
      <c r="CQ25" s="18">
        <v>2.9411764705882351</v>
      </c>
      <c r="CR25" s="18">
        <f t="shared" si="9"/>
        <v>2.0984848484848486</v>
      </c>
      <c r="CS25" s="18">
        <f t="shared" si="10"/>
        <v>1.468939393939394</v>
      </c>
      <c r="CT25">
        <v>0</v>
      </c>
      <c r="CU25">
        <v>76.616915422885597</v>
      </c>
      <c r="CV25">
        <v>23.383084577114399</v>
      </c>
      <c r="CW25">
        <v>0</v>
      </c>
      <c r="CX25">
        <v>0</v>
      </c>
      <c r="CY25">
        <v>7.4626865671641802</v>
      </c>
      <c r="CZ25">
        <v>75.124378109452707</v>
      </c>
      <c r="DA25">
        <v>17.412935323383099</v>
      </c>
      <c r="DB25">
        <v>0</v>
      </c>
      <c r="DC25">
        <v>0</v>
      </c>
      <c r="DD25">
        <v>7.4626865671641802</v>
      </c>
      <c r="DE25">
        <v>75.124378109452707</v>
      </c>
      <c r="DF25">
        <v>17.412935323383099</v>
      </c>
      <c r="DG25">
        <v>0</v>
      </c>
      <c r="DH25">
        <v>0</v>
      </c>
      <c r="DI25">
        <v>7.4626865671641802</v>
      </c>
      <c r="DJ25">
        <v>75.124378109452707</v>
      </c>
      <c r="DK25">
        <v>17.412935323383099</v>
      </c>
      <c r="DL25">
        <v>0</v>
      </c>
      <c r="DM25">
        <v>0</v>
      </c>
      <c r="DN25">
        <v>7.4626865671641802</v>
      </c>
      <c r="DO25">
        <v>75.124378109452707</v>
      </c>
      <c r="DP25">
        <v>17.412935323383099</v>
      </c>
      <c r="DQ25">
        <v>0</v>
      </c>
      <c r="DR25">
        <v>0</v>
      </c>
      <c r="DS25" t="s">
        <v>273</v>
      </c>
      <c r="DT25" t="s">
        <v>273</v>
      </c>
      <c r="DU25" t="s">
        <v>273</v>
      </c>
      <c r="DV25" t="s">
        <v>273</v>
      </c>
      <c r="DW25" t="s">
        <v>273</v>
      </c>
      <c r="DX25" t="s">
        <v>273</v>
      </c>
      <c r="DY25" t="s">
        <v>273</v>
      </c>
      <c r="DZ25" t="s">
        <v>273</v>
      </c>
      <c r="EA25" t="s">
        <v>273</v>
      </c>
      <c r="EB25" t="s">
        <v>273</v>
      </c>
      <c r="EC25" t="s">
        <v>273</v>
      </c>
      <c r="ED25" t="s">
        <v>274</v>
      </c>
      <c r="EE25" t="s">
        <v>274</v>
      </c>
      <c r="EF25" t="s">
        <v>274</v>
      </c>
      <c r="EG25" t="s">
        <v>274</v>
      </c>
    </row>
    <row r="26" spans="1:137" ht="14.55" customHeight="1" x14ac:dyDescent="0.3">
      <c r="A26" t="s">
        <v>319</v>
      </c>
      <c r="B26">
        <v>2067</v>
      </c>
      <c r="C26" t="s">
        <v>320</v>
      </c>
      <c r="D26" t="s">
        <v>269</v>
      </c>
      <c r="E26" t="s">
        <v>269</v>
      </c>
      <c r="F26" t="s">
        <v>270</v>
      </c>
      <c r="G26" t="s">
        <v>311</v>
      </c>
      <c r="H26" s="3">
        <v>7485372.5933299996</v>
      </c>
      <c r="I26">
        <v>746</v>
      </c>
      <c r="J26" s="3">
        <v>748.53725933299995</v>
      </c>
      <c r="K26">
        <v>811</v>
      </c>
      <c r="L26">
        <v>1116</v>
      </c>
      <c r="M26">
        <v>959.17343270495405</v>
      </c>
      <c r="N26">
        <v>60.269769795968699</v>
      </c>
      <c r="O26">
        <v>0</v>
      </c>
      <c r="P26">
        <v>38.470649719238303</v>
      </c>
      <c r="Q26">
        <v>7.9821062088012704</v>
      </c>
      <c r="R26">
        <v>4.8751559257507298</v>
      </c>
      <c r="S26" t="s">
        <v>272</v>
      </c>
      <c r="T26" t="s">
        <v>319</v>
      </c>
      <c r="U26" t="s">
        <v>320</v>
      </c>
      <c r="V26" t="s">
        <v>320</v>
      </c>
      <c r="W26" s="3">
        <v>364</v>
      </c>
      <c r="X26" s="3">
        <v>7490000</v>
      </c>
      <c r="Y26">
        <v>3</v>
      </c>
      <c r="Z26" s="3">
        <v>332</v>
      </c>
      <c r="AA26" s="3">
        <v>314</v>
      </c>
      <c r="AB26" s="3">
        <v>346</v>
      </c>
      <c r="AC26" s="3">
        <v>353</v>
      </c>
      <c r="AD26" s="3">
        <v>341</v>
      </c>
      <c r="AE26" s="3">
        <v>339</v>
      </c>
      <c r="AF26" s="3">
        <v>351</v>
      </c>
      <c r="AG26" s="3">
        <v>346</v>
      </c>
      <c r="AH26" s="3">
        <v>359</v>
      </c>
      <c r="AI26" s="3">
        <v>372</v>
      </c>
      <c r="AJ26" s="3">
        <v>373</v>
      </c>
      <c r="AK26" s="3">
        <v>373</v>
      </c>
      <c r="AL26" s="3">
        <v>377</v>
      </c>
      <c r="AM26" s="3">
        <v>385</v>
      </c>
      <c r="AN26" s="3">
        <v>378</v>
      </c>
      <c r="AO26" s="3">
        <v>372</v>
      </c>
      <c r="AP26" s="3">
        <v>364</v>
      </c>
      <c r="AR26" s="4">
        <f t="shared" si="6"/>
        <v>48.628173876655111</v>
      </c>
      <c r="AS26" s="5">
        <f t="shared" si="7"/>
        <v>-0.67771084337349397</v>
      </c>
      <c r="AT26" s="5">
        <f t="shared" si="0"/>
        <v>1.132342533616419</v>
      </c>
      <c r="AU26" s="5">
        <f t="shared" si="1"/>
        <v>0.1445086705202312</v>
      </c>
      <c r="AV26" s="5">
        <f t="shared" si="2"/>
        <v>0.37037037037037035</v>
      </c>
      <c r="AW26" s="5">
        <f t="shared" si="3"/>
        <v>0.24805102763997164</v>
      </c>
      <c r="AX26" s="5">
        <f t="shared" si="4"/>
        <v>0.26011560693641617</v>
      </c>
      <c r="AY26" s="5">
        <f t="shared" si="5"/>
        <v>0.26050146532074242</v>
      </c>
      <c r="AZ26">
        <f t="shared" si="8"/>
        <v>7480000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5530000</v>
      </c>
      <c r="BK26">
        <v>0</v>
      </c>
      <c r="BL26">
        <v>0</v>
      </c>
      <c r="BM26">
        <v>0</v>
      </c>
      <c r="BN26">
        <v>0</v>
      </c>
      <c r="BO26">
        <v>90000</v>
      </c>
      <c r="BP26">
        <v>0</v>
      </c>
      <c r="BQ26">
        <v>1520000</v>
      </c>
      <c r="BR26">
        <v>200000</v>
      </c>
      <c r="BS26">
        <v>0</v>
      </c>
      <c r="BT26">
        <v>0</v>
      </c>
      <c r="BU26">
        <v>140000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16</v>
      </c>
      <c r="CC26">
        <v>19</v>
      </c>
      <c r="CD26">
        <v>24</v>
      </c>
      <c r="CE26">
        <v>27</v>
      </c>
      <c r="CF26" s="17">
        <v>2.14190093708166</v>
      </c>
      <c r="CG26" s="17">
        <v>2.5435073627844713</v>
      </c>
      <c r="CH26" s="17">
        <v>3.2128514056224895</v>
      </c>
      <c r="CI26" s="17">
        <v>3.6144578313253009</v>
      </c>
      <c r="CJ26" s="18">
        <v>1</v>
      </c>
      <c r="CK26" s="18">
        <v>1.1875</v>
      </c>
      <c r="CL26" s="18">
        <v>1.5</v>
      </c>
      <c r="CM26" s="18">
        <v>1.6875</v>
      </c>
      <c r="CN26" s="18">
        <v>0</v>
      </c>
      <c r="CO26" s="18">
        <v>0.40160642570281119</v>
      </c>
      <c r="CP26" s="18">
        <v>1.07095046854083</v>
      </c>
      <c r="CQ26" s="18">
        <v>1.4725568942436411</v>
      </c>
      <c r="CR26" s="18">
        <f t="shared" si="9"/>
        <v>1.1596385542168675</v>
      </c>
      <c r="CS26" s="18">
        <f t="shared" si="10"/>
        <v>0.6871932173136992</v>
      </c>
      <c r="CT26">
        <v>0</v>
      </c>
      <c r="CU26">
        <v>67.914438502673832</v>
      </c>
      <c r="CV26">
        <v>32.085561497326196</v>
      </c>
      <c r="CW26">
        <v>0</v>
      </c>
      <c r="CX26">
        <v>0</v>
      </c>
      <c r="CY26">
        <v>0</v>
      </c>
      <c r="CZ26">
        <v>73.796791443850296</v>
      </c>
      <c r="DA26">
        <v>26.203208556149701</v>
      </c>
      <c r="DB26">
        <v>0</v>
      </c>
      <c r="DC26">
        <v>0</v>
      </c>
      <c r="DD26">
        <v>0</v>
      </c>
      <c r="DE26">
        <v>73.796791443850296</v>
      </c>
      <c r="DF26">
        <v>26.203208556149701</v>
      </c>
      <c r="DG26">
        <v>0</v>
      </c>
      <c r="DH26">
        <v>0</v>
      </c>
      <c r="DI26">
        <v>0</v>
      </c>
      <c r="DJ26">
        <v>75.133689839572227</v>
      </c>
      <c r="DK26">
        <v>24.866310160427801</v>
      </c>
      <c r="DL26">
        <v>0</v>
      </c>
      <c r="DM26">
        <v>0</v>
      </c>
      <c r="DN26">
        <v>0</v>
      </c>
      <c r="DO26">
        <v>75.133689839572227</v>
      </c>
      <c r="DP26">
        <v>24.866310160427801</v>
      </c>
      <c r="DQ26">
        <v>0</v>
      </c>
      <c r="DR26">
        <v>0</v>
      </c>
      <c r="DS26" t="s">
        <v>273</v>
      </c>
      <c r="DT26" t="s">
        <v>273</v>
      </c>
      <c r="DU26" t="s">
        <v>273</v>
      </c>
      <c r="DV26" t="s">
        <v>273</v>
      </c>
      <c r="DW26" t="s">
        <v>273</v>
      </c>
      <c r="DX26" t="s">
        <v>273</v>
      </c>
      <c r="DY26" t="s">
        <v>273</v>
      </c>
      <c r="DZ26" t="s">
        <v>273</v>
      </c>
      <c r="EA26" t="s">
        <v>273</v>
      </c>
      <c r="EB26" t="s">
        <v>273</v>
      </c>
      <c r="EC26" t="s">
        <v>273</v>
      </c>
      <c r="ED26" t="s">
        <v>274</v>
      </c>
      <c r="EE26" t="s">
        <v>274</v>
      </c>
      <c r="EF26" t="s">
        <v>274</v>
      </c>
      <c r="EG26" t="s">
        <v>274</v>
      </c>
    </row>
    <row r="27" spans="1:137" ht="14.55" customHeight="1" x14ac:dyDescent="0.3">
      <c r="A27" t="s">
        <v>321</v>
      </c>
      <c r="B27">
        <v>2068</v>
      </c>
      <c r="C27" t="s">
        <v>322</v>
      </c>
      <c r="D27" t="s">
        <v>269</v>
      </c>
      <c r="E27" t="s">
        <v>269</v>
      </c>
      <c r="F27" t="s">
        <v>270</v>
      </c>
      <c r="G27" t="s">
        <v>311</v>
      </c>
      <c r="H27" s="3">
        <v>6314273.45383</v>
      </c>
      <c r="I27">
        <v>626</v>
      </c>
      <c r="J27" s="3">
        <v>631.42734538299999</v>
      </c>
      <c r="K27">
        <v>549</v>
      </c>
      <c r="L27">
        <v>796</v>
      </c>
      <c r="M27">
        <v>683.05200332157006</v>
      </c>
      <c r="N27">
        <v>53.936411543353103</v>
      </c>
      <c r="O27">
        <v>0</v>
      </c>
      <c r="P27">
        <v>39.733551025390597</v>
      </c>
      <c r="Q27">
        <v>6.4087247848510698</v>
      </c>
      <c r="R27">
        <v>4.2300796508789098</v>
      </c>
      <c r="S27" t="s">
        <v>272</v>
      </c>
      <c r="T27" t="s">
        <v>321</v>
      </c>
      <c r="U27" t="s">
        <v>322</v>
      </c>
      <c r="V27" t="s">
        <v>322</v>
      </c>
      <c r="W27" s="3">
        <v>830</v>
      </c>
      <c r="X27" s="3">
        <v>6310000</v>
      </c>
      <c r="Y27">
        <v>3</v>
      </c>
      <c r="Z27" s="3">
        <v>350</v>
      </c>
      <c r="AA27" s="3">
        <v>414</v>
      </c>
      <c r="AB27" s="3">
        <v>550</v>
      </c>
      <c r="AC27" s="3">
        <v>610</v>
      </c>
      <c r="AD27" s="3">
        <v>643</v>
      </c>
      <c r="AE27" s="3">
        <v>658</v>
      </c>
      <c r="AF27" s="3">
        <v>709</v>
      </c>
      <c r="AG27" s="3">
        <v>732</v>
      </c>
      <c r="AH27" s="3">
        <v>752</v>
      </c>
      <c r="AI27" s="3">
        <v>742</v>
      </c>
      <c r="AJ27" s="3">
        <v>738</v>
      </c>
      <c r="AK27" s="3">
        <v>760</v>
      </c>
      <c r="AL27" s="3">
        <v>786</v>
      </c>
      <c r="AM27" s="3">
        <v>823</v>
      </c>
      <c r="AN27" s="3">
        <v>825</v>
      </c>
      <c r="AO27" s="3">
        <v>846</v>
      </c>
      <c r="AP27" s="3">
        <v>830</v>
      </c>
      <c r="AR27" s="4">
        <f t="shared" si="6"/>
        <v>131.44821903406057</v>
      </c>
      <c r="AS27" s="5">
        <f t="shared" si="7"/>
        <v>2.2857142857142856</v>
      </c>
      <c r="AT27" s="5">
        <f t="shared" si="0"/>
        <v>3.6500268384326358</v>
      </c>
      <c r="AU27" s="5">
        <f t="shared" si="1"/>
        <v>2.8909090909090907</v>
      </c>
      <c r="AV27" s="5">
        <f t="shared" si="2"/>
        <v>1.7066290550070522</v>
      </c>
      <c r="AW27" s="5">
        <f t="shared" si="3"/>
        <v>3.3613445378151261</v>
      </c>
      <c r="AX27" s="5">
        <f t="shared" si="4"/>
        <v>2.545454545454545</v>
      </c>
      <c r="AY27" s="5">
        <f t="shared" si="5"/>
        <v>3.7065637065637063</v>
      </c>
      <c r="AZ27">
        <f t="shared" si="8"/>
        <v>6300000</v>
      </c>
      <c r="BA27">
        <v>0</v>
      </c>
      <c r="BB27">
        <v>370000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4540000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290000</v>
      </c>
      <c r="BQ27">
        <v>60000</v>
      </c>
      <c r="BR27">
        <v>1040000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25</v>
      </c>
      <c r="CC27">
        <v>30</v>
      </c>
      <c r="CD27">
        <v>37</v>
      </c>
      <c r="CE27">
        <v>45</v>
      </c>
      <c r="CF27" s="17">
        <v>3.9556962025316458</v>
      </c>
      <c r="CG27" s="17">
        <v>4.7468354430379751</v>
      </c>
      <c r="CH27" s="17">
        <v>5.8544303797468356</v>
      </c>
      <c r="CI27" s="17">
        <v>7.1202531645569627</v>
      </c>
      <c r="CJ27" s="18">
        <v>1</v>
      </c>
      <c r="CK27" s="18">
        <v>1.2</v>
      </c>
      <c r="CL27" s="18">
        <v>1.48</v>
      </c>
      <c r="CM27" s="18">
        <v>1.8</v>
      </c>
      <c r="CN27" s="18">
        <v>0</v>
      </c>
      <c r="CO27" s="18">
        <v>0.79113924050632911</v>
      </c>
      <c r="CP27" s="18">
        <v>1.89873417721519</v>
      </c>
      <c r="CQ27" s="18">
        <v>3.1645569620253164</v>
      </c>
      <c r="CR27" s="18">
        <f t="shared" si="9"/>
        <v>2.3514285714285714</v>
      </c>
      <c r="CS27" s="18">
        <f t="shared" si="10"/>
        <v>1.3063492063492064</v>
      </c>
      <c r="CT27">
        <v>0.634920634920635</v>
      </c>
      <c r="CU27">
        <v>76.190476190476204</v>
      </c>
      <c r="CV27">
        <v>23.174603174603199</v>
      </c>
      <c r="CW27">
        <v>0</v>
      </c>
      <c r="CX27">
        <v>0</v>
      </c>
      <c r="CY27">
        <v>6.0317460317460299</v>
      </c>
      <c r="CZ27">
        <v>71.269841269841294</v>
      </c>
      <c r="DA27">
        <v>22.698412698412699</v>
      </c>
      <c r="DB27">
        <v>0</v>
      </c>
      <c r="DC27">
        <v>0</v>
      </c>
      <c r="DD27">
        <v>6.0317460317460299</v>
      </c>
      <c r="DE27">
        <v>71.269841269841294</v>
      </c>
      <c r="DF27">
        <v>22.698412698412699</v>
      </c>
      <c r="DG27">
        <v>0</v>
      </c>
      <c r="DH27">
        <v>0</v>
      </c>
      <c r="DI27">
        <v>5.8730158730158699</v>
      </c>
      <c r="DJ27">
        <v>72.063492063492106</v>
      </c>
      <c r="DK27">
        <v>22.063492063492099</v>
      </c>
      <c r="DL27">
        <v>0</v>
      </c>
      <c r="DM27">
        <v>0</v>
      </c>
      <c r="DN27">
        <v>5.8730158730158699</v>
      </c>
      <c r="DO27">
        <v>72.063492063492106</v>
      </c>
      <c r="DP27">
        <v>22.063492063492099</v>
      </c>
      <c r="DQ27">
        <v>0</v>
      </c>
      <c r="DR27">
        <v>0</v>
      </c>
      <c r="DS27" t="s">
        <v>273</v>
      </c>
      <c r="DT27" t="s">
        <v>273</v>
      </c>
      <c r="DU27" t="s">
        <v>273</v>
      </c>
      <c r="DV27" t="s">
        <v>273</v>
      </c>
      <c r="DW27" t="s">
        <v>273</v>
      </c>
      <c r="DX27" t="s">
        <v>273</v>
      </c>
      <c r="DY27" t="s">
        <v>273</v>
      </c>
      <c r="DZ27" t="s">
        <v>273</v>
      </c>
      <c r="EA27" t="s">
        <v>273</v>
      </c>
      <c r="EB27" t="s">
        <v>273</v>
      </c>
      <c r="EC27" t="s">
        <v>273</v>
      </c>
      <c r="ED27" t="s">
        <v>274</v>
      </c>
      <c r="EE27" t="s">
        <v>274</v>
      </c>
      <c r="EF27" t="s">
        <v>274</v>
      </c>
      <c r="EG27" t="s">
        <v>274</v>
      </c>
    </row>
    <row r="28" spans="1:137" ht="14.55" customHeight="1" x14ac:dyDescent="0.3">
      <c r="A28" t="s">
        <v>323</v>
      </c>
      <c r="B28">
        <v>2072</v>
      </c>
      <c r="C28" t="s">
        <v>324</v>
      </c>
      <c r="D28" t="s">
        <v>269</v>
      </c>
      <c r="E28" t="s">
        <v>269</v>
      </c>
      <c r="F28" t="s">
        <v>270</v>
      </c>
      <c r="G28" t="s">
        <v>311</v>
      </c>
      <c r="H28" s="3">
        <v>4883029.7463199999</v>
      </c>
      <c r="I28">
        <v>493</v>
      </c>
      <c r="J28" s="3">
        <v>488.30297463199997</v>
      </c>
      <c r="K28">
        <v>537</v>
      </c>
      <c r="L28">
        <v>759</v>
      </c>
      <c r="M28">
        <v>625.67281540325803</v>
      </c>
      <c r="N28">
        <v>46.966650836034702</v>
      </c>
      <c r="O28">
        <v>0</v>
      </c>
      <c r="P28">
        <v>37.619350433349602</v>
      </c>
      <c r="Q28">
        <v>9.2594184875488299</v>
      </c>
      <c r="R28">
        <v>6.9638190269470197</v>
      </c>
      <c r="S28" t="s">
        <v>272</v>
      </c>
      <c r="T28" t="s">
        <v>323</v>
      </c>
      <c r="U28" t="s">
        <v>324</v>
      </c>
      <c r="V28" t="s">
        <v>324</v>
      </c>
      <c r="W28" s="3">
        <v>335</v>
      </c>
      <c r="X28" s="3">
        <v>4880000</v>
      </c>
      <c r="Y28">
        <v>3</v>
      </c>
      <c r="Z28" s="3">
        <v>197</v>
      </c>
      <c r="AA28" s="3">
        <v>222</v>
      </c>
      <c r="AB28" s="3">
        <v>263</v>
      </c>
      <c r="AC28" s="3">
        <v>274</v>
      </c>
      <c r="AD28" s="3">
        <v>268</v>
      </c>
      <c r="AE28" s="3">
        <v>277</v>
      </c>
      <c r="AF28" s="3">
        <v>277</v>
      </c>
      <c r="AG28" s="3">
        <v>284</v>
      </c>
      <c r="AH28" s="3">
        <v>289</v>
      </c>
      <c r="AI28" s="3">
        <v>304</v>
      </c>
      <c r="AJ28" s="3">
        <v>320</v>
      </c>
      <c r="AK28" s="3">
        <v>318</v>
      </c>
      <c r="AL28" s="3">
        <v>332</v>
      </c>
      <c r="AM28" s="3">
        <v>332</v>
      </c>
      <c r="AN28" s="3">
        <v>344</v>
      </c>
      <c r="AO28" s="3">
        <v>339</v>
      </c>
      <c r="AP28" s="3">
        <v>335</v>
      </c>
      <c r="AR28" s="4">
        <f t="shared" si="6"/>
        <v>68.604947625491363</v>
      </c>
      <c r="AS28" s="5">
        <f t="shared" si="7"/>
        <v>1.5862944162436547</v>
      </c>
      <c r="AT28" s="5">
        <f t="shared" si="0"/>
        <v>2.0520520520520518</v>
      </c>
      <c r="AU28" s="5">
        <f t="shared" si="1"/>
        <v>0.53231939163498099</v>
      </c>
      <c r="AV28" s="5">
        <f t="shared" si="2"/>
        <v>2.0938628158844765</v>
      </c>
      <c r="AW28" s="5">
        <f t="shared" si="3"/>
        <v>1.9707375335921171</v>
      </c>
      <c r="AX28" s="5">
        <f t="shared" si="4"/>
        <v>1.3688212927756656</v>
      </c>
      <c r="AY28" s="5">
        <f t="shared" si="5"/>
        <v>1.8932638221978322</v>
      </c>
      <c r="AZ28">
        <f t="shared" si="8"/>
        <v>4930000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3560000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1370000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29</v>
      </c>
      <c r="CC28">
        <v>32</v>
      </c>
      <c r="CD28">
        <v>40</v>
      </c>
      <c r="CE28">
        <v>40</v>
      </c>
      <c r="CF28" s="17">
        <v>5.9793814432989691</v>
      </c>
      <c r="CG28" s="17">
        <v>6.5979381443298974</v>
      </c>
      <c r="CH28" s="17">
        <v>8.2474226804123703</v>
      </c>
      <c r="CI28" s="17">
        <v>8.2474226804123703</v>
      </c>
      <c r="CJ28" s="18">
        <v>1</v>
      </c>
      <c r="CK28" s="18">
        <v>1.103448275862069</v>
      </c>
      <c r="CL28" s="18">
        <v>1.3793103448275863</v>
      </c>
      <c r="CM28" s="18">
        <v>1.3793103448275863</v>
      </c>
      <c r="CN28" s="18">
        <v>0</v>
      </c>
      <c r="CO28" s="18">
        <v>0.61855670103092786</v>
      </c>
      <c r="CP28" s="18">
        <v>2.268041237113402</v>
      </c>
      <c r="CQ28" s="18">
        <v>2.268041237113402</v>
      </c>
      <c r="CR28" s="18">
        <f t="shared" si="9"/>
        <v>1.6852791878172588</v>
      </c>
      <c r="CS28" s="18">
        <f t="shared" si="10"/>
        <v>1.2218274111675125</v>
      </c>
      <c r="CT28">
        <v>0</v>
      </c>
      <c r="CU28">
        <v>75.659229208924998</v>
      </c>
      <c r="CV28">
        <v>24.340770791075101</v>
      </c>
      <c r="CW28">
        <v>0</v>
      </c>
      <c r="CX28">
        <v>0</v>
      </c>
      <c r="CY28">
        <v>0</v>
      </c>
      <c r="CZ28">
        <v>72.210953346856002</v>
      </c>
      <c r="DA28">
        <v>27.789046653143998</v>
      </c>
      <c r="DB28">
        <v>0</v>
      </c>
      <c r="DC28">
        <v>0</v>
      </c>
      <c r="DD28">
        <v>0</v>
      </c>
      <c r="DE28">
        <v>72.210953346856002</v>
      </c>
      <c r="DF28">
        <v>27.789046653143998</v>
      </c>
      <c r="DG28">
        <v>0</v>
      </c>
      <c r="DH28">
        <v>0</v>
      </c>
      <c r="DI28">
        <v>0</v>
      </c>
      <c r="DJ28">
        <v>72.210953346856002</v>
      </c>
      <c r="DK28">
        <v>27.789046653143998</v>
      </c>
      <c r="DL28">
        <v>0</v>
      </c>
      <c r="DM28">
        <v>0</v>
      </c>
      <c r="DN28">
        <v>0</v>
      </c>
      <c r="DO28">
        <v>72.210953346856002</v>
      </c>
      <c r="DP28">
        <v>27.789046653143998</v>
      </c>
      <c r="DQ28">
        <v>0</v>
      </c>
      <c r="DR28">
        <v>0</v>
      </c>
      <c r="DS28" t="s">
        <v>312</v>
      </c>
      <c r="DT28" t="s">
        <v>313</v>
      </c>
      <c r="DU28">
        <v>380</v>
      </c>
      <c r="DV28">
        <v>5586</v>
      </c>
      <c r="DW28" t="s">
        <v>314</v>
      </c>
      <c r="DX28">
        <v>107</v>
      </c>
      <c r="DY28">
        <v>0</v>
      </c>
      <c r="DZ28">
        <v>107</v>
      </c>
      <c r="EA28">
        <v>443445</v>
      </c>
      <c r="EB28">
        <v>0</v>
      </c>
      <c r="EC28">
        <v>443445</v>
      </c>
      <c r="ED28" t="s">
        <v>274</v>
      </c>
      <c r="EE28" t="s">
        <v>274</v>
      </c>
      <c r="EF28" t="s">
        <v>274</v>
      </c>
      <c r="EG28" t="s">
        <v>274</v>
      </c>
    </row>
    <row r="29" spans="1:137" ht="14.55" customHeight="1" x14ac:dyDescent="0.3">
      <c r="A29" t="s">
        <v>325</v>
      </c>
      <c r="B29">
        <v>2079</v>
      </c>
      <c r="C29" t="s">
        <v>326</v>
      </c>
      <c r="D29" t="s">
        <v>269</v>
      </c>
      <c r="E29" t="s">
        <v>269</v>
      </c>
      <c r="F29" t="s">
        <v>270</v>
      </c>
      <c r="G29" t="s">
        <v>311</v>
      </c>
      <c r="H29" s="3">
        <v>3307742.6556899999</v>
      </c>
      <c r="I29">
        <v>331</v>
      </c>
      <c r="J29" s="3">
        <v>330.77426556899997</v>
      </c>
      <c r="K29">
        <v>726</v>
      </c>
      <c r="L29">
        <v>1008</v>
      </c>
      <c r="M29">
        <v>867.07260464193598</v>
      </c>
      <c r="N29">
        <v>83.755429171081403</v>
      </c>
      <c r="O29">
        <v>0</v>
      </c>
      <c r="P29">
        <v>30.340196609497099</v>
      </c>
      <c r="Q29">
        <v>6.9727096557617196</v>
      </c>
      <c r="R29">
        <v>4.1312398910522496</v>
      </c>
      <c r="S29" t="s">
        <v>272</v>
      </c>
      <c r="T29" t="s">
        <v>325</v>
      </c>
      <c r="U29" t="s">
        <v>326</v>
      </c>
      <c r="V29" t="s">
        <v>326</v>
      </c>
      <c r="W29" s="3">
        <v>222</v>
      </c>
      <c r="X29" s="3">
        <v>3310000</v>
      </c>
      <c r="Y29">
        <v>3</v>
      </c>
      <c r="Z29" s="3">
        <v>108</v>
      </c>
      <c r="AA29" s="3">
        <v>153</v>
      </c>
      <c r="AB29" s="3">
        <v>169</v>
      </c>
      <c r="AC29" s="3">
        <v>133</v>
      </c>
      <c r="AD29" s="3">
        <v>151</v>
      </c>
      <c r="AE29" s="3">
        <v>162</v>
      </c>
      <c r="AF29" s="3">
        <v>159</v>
      </c>
      <c r="AG29" s="3">
        <v>176</v>
      </c>
      <c r="AH29" s="3">
        <v>187</v>
      </c>
      <c r="AI29" s="3">
        <v>190</v>
      </c>
      <c r="AJ29" s="3">
        <v>197</v>
      </c>
      <c r="AK29" s="3">
        <v>198</v>
      </c>
      <c r="AL29" s="3">
        <v>191</v>
      </c>
      <c r="AM29" s="3">
        <v>185</v>
      </c>
      <c r="AN29" s="3">
        <v>199</v>
      </c>
      <c r="AO29" s="3">
        <v>212</v>
      </c>
      <c r="AP29" s="3">
        <v>222</v>
      </c>
      <c r="AR29" s="4">
        <f t="shared" si="6"/>
        <v>67.115257475703018</v>
      </c>
      <c r="AS29" s="5">
        <f t="shared" si="7"/>
        <v>5.2083333333333339</v>
      </c>
      <c r="AT29" s="5">
        <f t="shared" si="0"/>
        <v>1.1619462599854757</v>
      </c>
      <c r="AU29" s="5">
        <f t="shared" si="1"/>
        <v>-0.59171597633136097</v>
      </c>
      <c r="AV29" s="5">
        <f t="shared" si="2"/>
        <v>3.9622641509433967</v>
      </c>
      <c r="AW29" s="5">
        <f t="shared" si="3"/>
        <v>3.3224400871459689</v>
      </c>
      <c r="AX29" s="5">
        <f t="shared" si="4"/>
        <v>1.5680473372781063</v>
      </c>
      <c r="AY29" s="5">
        <f t="shared" si="5"/>
        <v>2.8528528528528532</v>
      </c>
      <c r="AZ29">
        <f t="shared" si="8"/>
        <v>3350000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2540000</v>
      </c>
      <c r="BK29">
        <v>0</v>
      </c>
      <c r="BL29">
        <v>0</v>
      </c>
      <c r="BM29">
        <v>0</v>
      </c>
      <c r="BN29">
        <v>0</v>
      </c>
      <c r="BO29">
        <v>230000</v>
      </c>
      <c r="BP29">
        <v>0</v>
      </c>
      <c r="BQ29">
        <v>200000</v>
      </c>
      <c r="BR29">
        <v>380000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13</v>
      </c>
      <c r="CC29">
        <v>13</v>
      </c>
      <c r="CD29">
        <v>17</v>
      </c>
      <c r="CE29">
        <v>18</v>
      </c>
      <c r="CF29" s="17">
        <v>3.8690476190476191</v>
      </c>
      <c r="CG29" s="17">
        <v>3.8690476190476191</v>
      </c>
      <c r="CH29" s="17">
        <v>5.0595238095238093</v>
      </c>
      <c r="CI29" s="17">
        <v>5.3571428571428568</v>
      </c>
      <c r="CJ29" s="18">
        <v>1</v>
      </c>
      <c r="CK29" s="18">
        <v>1</v>
      </c>
      <c r="CL29" s="18">
        <v>1.3076923076923077</v>
      </c>
      <c r="CM29" s="18">
        <v>1.3846153846153846</v>
      </c>
      <c r="CN29" s="18">
        <v>0</v>
      </c>
      <c r="CO29" s="18">
        <v>0</v>
      </c>
      <c r="CP29" s="18">
        <v>1.1904761904761905</v>
      </c>
      <c r="CQ29" s="18">
        <v>1.4880952380952379</v>
      </c>
      <c r="CR29" s="18">
        <f t="shared" si="9"/>
        <v>1.712962962962963</v>
      </c>
      <c r="CS29" s="18">
        <f t="shared" si="10"/>
        <v>1.2371399176954734</v>
      </c>
      <c r="CT29">
        <v>0</v>
      </c>
      <c r="CU29">
        <v>65.074626865671604</v>
      </c>
      <c r="CV29">
        <v>34.626865671641802</v>
      </c>
      <c r="CW29">
        <v>0</v>
      </c>
      <c r="CX29">
        <v>0.29850746268656703</v>
      </c>
      <c r="CY29">
        <v>0</v>
      </c>
      <c r="CZ29">
        <v>75.820895522388099</v>
      </c>
      <c r="DA29">
        <v>24.179104477611901</v>
      </c>
      <c r="DB29">
        <v>0</v>
      </c>
      <c r="DC29">
        <v>0</v>
      </c>
      <c r="DD29">
        <v>0</v>
      </c>
      <c r="DE29">
        <v>75.820895522388071</v>
      </c>
      <c r="DF29">
        <v>24.179104477611901</v>
      </c>
      <c r="DG29">
        <v>0</v>
      </c>
      <c r="DH29">
        <v>0</v>
      </c>
      <c r="DI29">
        <v>0</v>
      </c>
      <c r="DJ29">
        <v>82.686567164179152</v>
      </c>
      <c r="DK29">
        <v>17.313432835820901</v>
      </c>
      <c r="DL29">
        <v>0</v>
      </c>
      <c r="DM29">
        <v>0</v>
      </c>
      <c r="DN29">
        <v>0</v>
      </c>
      <c r="DO29">
        <v>82.686567164179152</v>
      </c>
      <c r="DP29">
        <v>17.313432835820901</v>
      </c>
      <c r="DQ29">
        <v>0</v>
      </c>
      <c r="DR29">
        <v>0</v>
      </c>
      <c r="DS29" t="s">
        <v>273</v>
      </c>
      <c r="DT29" t="s">
        <v>273</v>
      </c>
      <c r="DU29" t="s">
        <v>273</v>
      </c>
      <c r="DV29" t="s">
        <v>273</v>
      </c>
      <c r="DW29" t="s">
        <v>273</v>
      </c>
      <c r="DX29" t="s">
        <v>273</v>
      </c>
      <c r="DY29" t="s">
        <v>273</v>
      </c>
      <c r="DZ29" t="s">
        <v>273</v>
      </c>
      <c r="EA29" t="s">
        <v>273</v>
      </c>
      <c r="EB29" t="s">
        <v>273</v>
      </c>
      <c r="EC29" t="s">
        <v>273</v>
      </c>
      <c r="ED29" t="s">
        <v>274</v>
      </c>
      <c r="EE29" t="s">
        <v>274</v>
      </c>
      <c r="EF29" t="s">
        <v>274</v>
      </c>
      <c r="EG29" t="s">
        <v>274</v>
      </c>
    </row>
    <row r="30" spans="1:137" ht="14.55" customHeight="1" x14ac:dyDescent="0.3">
      <c r="A30" t="s">
        <v>327</v>
      </c>
      <c r="B30">
        <v>2086</v>
      </c>
      <c r="C30" t="s">
        <v>328</v>
      </c>
      <c r="D30" t="s">
        <v>269</v>
      </c>
      <c r="E30" t="s">
        <v>269</v>
      </c>
      <c r="F30" t="s">
        <v>270</v>
      </c>
      <c r="G30" t="s">
        <v>311</v>
      </c>
      <c r="H30" s="3">
        <v>4291986.6152799996</v>
      </c>
      <c r="I30">
        <v>429</v>
      </c>
      <c r="J30" s="3">
        <v>429.19866152799995</v>
      </c>
      <c r="K30">
        <v>669</v>
      </c>
      <c r="L30">
        <v>929</v>
      </c>
      <c r="M30">
        <v>768.14412349075405</v>
      </c>
      <c r="N30">
        <v>55.6664663675204</v>
      </c>
      <c r="O30">
        <v>0</v>
      </c>
      <c r="P30">
        <v>32.584495544433601</v>
      </c>
      <c r="Q30">
        <v>7.7021031379699698</v>
      </c>
      <c r="R30">
        <v>4.7518053054809597</v>
      </c>
      <c r="S30" t="s">
        <v>272</v>
      </c>
      <c r="T30" t="s">
        <v>327</v>
      </c>
      <c r="U30" t="s">
        <v>328</v>
      </c>
      <c r="V30" t="s">
        <v>328</v>
      </c>
      <c r="W30" s="3">
        <v>533</v>
      </c>
      <c r="X30" s="3">
        <v>4290000</v>
      </c>
      <c r="Y30">
        <v>3</v>
      </c>
      <c r="Z30" s="3">
        <v>334</v>
      </c>
      <c r="AA30" s="3">
        <v>376</v>
      </c>
      <c r="AB30" s="3">
        <v>414</v>
      </c>
      <c r="AC30" s="3">
        <v>424</v>
      </c>
      <c r="AD30" s="3">
        <v>422</v>
      </c>
      <c r="AE30" s="3">
        <v>427</v>
      </c>
      <c r="AF30" s="3">
        <v>431</v>
      </c>
      <c r="AG30" s="3">
        <v>437</v>
      </c>
      <c r="AH30" s="3">
        <v>428</v>
      </c>
      <c r="AI30" s="3">
        <v>453</v>
      </c>
      <c r="AJ30" s="3">
        <v>487</v>
      </c>
      <c r="AK30" s="3">
        <v>506</v>
      </c>
      <c r="AL30" s="3">
        <v>516</v>
      </c>
      <c r="AM30" s="3">
        <v>510</v>
      </c>
      <c r="AN30" s="3">
        <v>527</v>
      </c>
      <c r="AO30" s="3">
        <v>527</v>
      </c>
      <c r="AP30" s="3">
        <v>533</v>
      </c>
      <c r="AR30" s="4">
        <f t="shared" si="6"/>
        <v>124.1849166310199</v>
      </c>
      <c r="AS30" s="5">
        <f t="shared" si="7"/>
        <v>1.5718562874251496</v>
      </c>
      <c r="AT30" s="5">
        <f t="shared" si="0"/>
        <v>1.1229314420803782</v>
      </c>
      <c r="AU30" s="5">
        <f t="shared" si="1"/>
        <v>0.41062801932367154</v>
      </c>
      <c r="AV30" s="5">
        <f t="shared" si="2"/>
        <v>2.3665893271461713</v>
      </c>
      <c r="AW30" s="5">
        <f t="shared" si="3"/>
        <v>1.4089468122578372</v>
      </c>
      <c r="AX30" s="5">
        <f t="shared" si="4"/>
        <v>1.4371980676328504</v>
      </c>
      <c r="AY30" s="5">
        <f t="shared" si="5"/>
        <v>1.6102929276581972</v>
      </c>
      <c r="AZ30">
        <f t="shared" si="8"/>
        <v>4300000</v>
      </c>
      <c r="BA30">
        <v>0</v>
      </c>
      <c r="BB30">
        <v>270000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3320000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40000</v>
      </c>
      <c r="BR30">
        <v>670000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16</v>
      </c>
      <c r="CC30">
        <v>21</v>
      </c>
      <c r="CD30">
        <v>26</v>
      </c>
      <c r="CE30">
        <v>29</v>
      </c>
      <c r="CF30" s="17">
        <v>3.7209302325581395</v>
      </c>
      <c r="CG30" s="17">
        <v>4.8837209302325579</v>
      </c>
      <c r="CH30" s="17">
        <v>6.0465116279069768</v>
      </c>
      <c r="CI30" s="17">
        <v>6.7441860465116283</v>
      </c>
      <c r="CJ30" s="18">
        <v>1</v>
      </c>
      <c r="CK30" s="18">
        <v>1.3125</v>
      </c>
      <c r="CL30" s="18">
        <v>1.625</v>
      </c>
      <c r="CM30" s="18">
        <v>1.8125</v>
      </c>
      <c r="CN30" s="18">
        <v>0</v>
      </c>
      <c r="CO30" s="18">
        <v>1.1627906976744187</v>
      </c>
      <c r="CP30" s="18">
        <v>2.3255813953488373</v>
      </c>
      <c r="CQ30" s="18">
        <v>3.0232558139534884</v>
      </c>
      <c r="CR30" s="18">
        <f t="shared" si="9"/>
        <v>1.5269461077844311</v>
      </c>
      <c r="CS30" s="18">
        <f t="shared" si="10"/>
        <v>0.84245302498451369</v>
      </c>
      <c r="CT30">
        <v>0</v>
      </c>
      <c r="CU30">
        <v>81.162790697674424</v>
      </c>
      <c r="CV30">
        <v>18.837209302325601</v>
      </c>
      <c r="CW30">
        <v>0</v>
      </c>
      <c r="CX30">
        <v>0</v>
      </c>
      <c r="CY30">
        <v>0</v>
      </c>
      <c r="CZ30">
        <v>84.883720930232599</v>
      </c>
      <c r="DA30">
        <v>15.116279069767399</v>
      </c>
      <c r="DB30">
        <v>0</v>
      </c>
      <c r="DC30">
        <v>0</v>
      </c>
      <c r="DD30">
        <v>0</v>
      </c>
      <c r="DE30">
        <v>84.883720930232599</v>
      </c>
      <c r="DF30">
        <v>15.116279069767399</v>
      </c>
      <c r="DG30">
        <v>0</v>
      </c>
      <c r="DH30">
        <v>0</v>
      </c>
      <c r="DI30">
        <v>6.2790697674418601</v>
      </c>
      <c r="DJ30">
        <v>77.209302325581405</v>
      </c>
      <c r="DK30">
        <v>16.511627906976699</v>
      </c>
      <c r="DL30">
        <v>0</v>
      </c>
      <c r="DM30">
        <v>0</v>
      </c>
      <c r="DN30">
        <v>6.2790697674418601</v>
      </c>
      <c r="DO30">
        <v>77.209302325581405</v>
      </c>
      <c r="DP30">
        <v>16.511627906976699</v>
      </c>
      <c r="DQ30">
        <v>0</v>
      </c>
      <c r="DR30">
        <v>0</v>
      </c>
      <c r="DS30" t="s">
        <v>273</v>
      </c>
      <c r="DT30" t="s">
        <v>273</v>
      </c>
      <c r="DU30" t="s">
        <v>273</v>
      </c>
      <c r="DV30" t="s">
        <v>273</v>
      </c>
      <c r="DW30" t="s">
        <v>273</v>
      </c>
      <c r="DX30" t="s">
        <v>273</v>
      </c>
      <c r="DY30" t="s">
        <v>273</v>
      </c>
      <c r="DZ30" t="s">
        <v>273</v>
      </c>
      <c r="EA30" t="s">
        <v>273</v>
      </c>
      <c r="EB30" t="s">
        <v>273</v>
      </c>
      <c r="EC30" t="s">
        <v>273</v>
      </c>
      <c r="ED30" t="s">
        <v>274</v>
      </c>
      <c r="EE30" t="s">
        <v>274</v>
      </c>
      <c r="EF30" t="s">
        <v>274</v>
      </c>
      <c r="EG30" t="s">
        <v>274</v>
      </c>
    </row>
    <row r="31" spans="1:137" ht="14.55" customHeight="1" x14ac:dyDescent="0.3">
      <c r="A31" t="s">
        <v>329</v>
      </c>
      <c r="B31">
        <v>2087</v>
      </c>
      <c r="C31" t="s">
        <v>330</v>
      </c>
      <c r="D31" t="s">
        <v>269</v>
      </c>
      <c r="E31" t="s">
        <v>269</v>
      </c>
      <c r="F31" t="s">
        <v>270</v>
      </c>
      <c r="G31" t="s">
        <v>311</v>
      </c>
      <c r="H31" s="3">
        <v>8926625.0044400003</v>
      </c>
      <c r="I31">
        <v>890</v>
      </c>
      <c r="J31" s="3">
        <v>892.66250044399999</v>
      </c>
      <c r="K31">
        <v>674</v>
      </c>
      <c r="L31">
        <v>876</v>
      </c>
      <c r="M31">
        <v>761.76758544652705</v>
      </c>
      <c r="N31">
        <v>47.3732534828262</v>
      </c>
      <c r="O31">
        <v>0</v>
      </c>
      <c r="P31">
        <v>26.348768234252901</v>
      </c>
      <c r="Q31">
        <v>6.0591964721679696</v>
      </c>
      <c r="R31">
        <v>3.5689744949340798</v>
      </c>
      <c r="S31" t="s">
        <v>272</v>
      </c>
      <c r="T31" t="s">
        <v>329</v>
      </c>
      <c r="U31" t="s">
        <v>330</v>
      </c>
      <c r="V31" t="s">
        <v>330</v>
      </c>
      <c r="W31" s="3">
        <v>1044</v>
      </c>
      <c r="X31" s="3">
        <v>8930000</v>
      </c>
      <c r="Y31">
        <v>3</v>
      </c>
      <c r="Z31" s="3">
        <v>634</v>
      </c>
      <c r="AA31" s="3">
        <v>745</v>
      </c>
      <c r="AB31" s="3">
        <v>923</v>
      </c>
      <c r="AC31" s="3">
        <v>942</v>
      </c>
      <c r="AD31" s="3">
        <v>959</v>
      </c>
      <c r="AE31" s="3">
        <v>989</v>
      </c>
      <c r="AF31" s="3">
        <v>995</v>
      </c>
      <c r="AG31" s="3">
        <v>1004</v>
      </c>
      <c r="AH31" s="3">
        <v>1018</v>
      </c>
      <c r="AI31" s="3">
        <v>1000</v>
      </c>
      <c r="AJ31" s="3">
        <v>1011</v>
      </c>
      <c r="AK31" s="3">
        <v>1015</v>
      </c>
      <c r="AL31" s="3">
        <v>995</v>
      </c>
      <c r="AM31" s="3">
        <v>998</v>
      </c>
      <c r="AN31" s="3">
        <v>1076</v>
      </c>
      <c r="AO31" s="3">
        <v>1045</v>
      </c>
      <c r="AP31" s="3">
        <v>1044</v>
      </c>
      <c r="AR31" s="4">
        <f t="shared" si="6"/>
        <v>116.95349580392663</v>
      </c>
      <c r="AS31" s="5">
        <f t="shared" si="7"/>
        <v>2.1884858044164037</v>
      </c>
      <c r="AT31" s="5">
        <f t="shared" si="0"/>
        <v>2.6547352721849369</v>
      </c>
      <c r="AU31" s="5">
        <f t="shared" si="1"/>
        <v>0.7800650054171181</v>
      </c>
      <c r="AV31" s="5">
        <f t="shared" si="2"/>
        <v>0.49246231155778886</v>
      </c>
      <c r="AW31" s="5">
        <f t="shared" si="3"/>
        <v>2.6813880126182967</v>
      </c>
      <c r="AX31" s="5">
        <f t="shared" si="4"/>
        <v>0.65547128927410614</v>
      </c>
      <c r="AY31" s="5">
        <f t="shared" si="5"/>
        <v>1.7478045869213061</v>
      </c>
      <c r="AZ31">
        <f t="shared" si="8"/>
        <v>8910000</v>
      </c>
      <c r="BA31">
        <v>0</v>
      </c>
      <c r="BB31">
        <v>330000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7750000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580000</v>
      </c>
      <c r="BR31">
        <v>250000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43</v>
      </c>
      <c r="CC31">
        <v>54</v>
      </c>
      <c r="CD31">
        <v>59</v>
      </c>
      <c r="CE31">
        <v>65</v>
      </c>
      <c r="CF31" s="17">
        <v>4.8044692737430168</v>
      </c>
      <c r="CG31" s="17">
        <v>6.033519553072626</v>
      </c>
      <c r="CH31" s="17">
        <v>6.5921787709497206</v>
      </c>
      <c r="CI31" s="17">
        <v>7.2625698324022352</v>
      </c>
      <c r="CJ31" s="18">
        <v>1</v>
      </c>
      <c r="CK31" s="18">
        <v>1.2558139534883721</v>
      </c>
      <c r="CL31" s="18">
        <v>1.3720930232558139</v>
      </c>
      <c r="CM31" s="18">
        <v>1.5116279069767442</v>
      </c>
      <c r="CN31" s="18">
        <v>0</v>
      </c>
      <c r="CO31" s="18">
        <v>1.2290502793296088</v>
      </c>
      <c r="CP31" s="18">
        <v>1.7877094972067038</v>
      </c>
      <c r="CQ31" s="18">
        <v>2.4581005586592175</v>
      </c>
      <c r="CR31" s="18">
        <f t="shared" si="9"/>
        <v>1.5741324921135647</v>
      </c>
      <c r="CS31" s="18">
        <f t="shared" si="10"/>
        <v>1.0413491870905121</v>
      </c>
      <c r="CT31">
        <v>0.673400673400673</v>
      </c>
      <c r="CU31">
        <v>91.24579124579131</v>
      </c>
      <c r="CV31">
        <v>8.0808080808080796</v>
      </c>
      <c r="CW31">
        <v>0</v>
      </c>
      <c r="CX31">
        <v>0</v>
      </c>
      <c r="CY31">
        <v>3.8159371492704799</v>
      </c>
      <c r="CZ31">
        <v>86.980920314253694</v>
      </c>
      <c r="DA31">
        <v>9.2031425364758697</v>
      </c>
      <c r="DB31">
        <v>0</v>
      </c>
      <c r="DC31">
        <v>0</v>
      </c>
      <c r="DD31">
        <v>3.8159371492704799</v>
      </c>
      <c r="DE31">
        <v>86.980920314253694</v>
      </c>
      <c r="DF31">
        <v>9.2031425364758697</v>
      </c>
      <c r="DG31">
        <v>0</v>
      </c>
      <c r="DH31">
        <v>0</v>
      </c>
      <c r="DI31">
        <v>3.7037037037037002</v>
      </c>
      <c r="DJ31">
        <v>86.980920314253694</v>
      </c>
      <c r="DK31">
        <v>9.3153759820426494</v>
      </c>
      <c r="DL31">
        <v>0</v>
      </c>
      <c r="DM31">
        <v>0</v>
      </c>
      <c r="DN31">
        <v>3.7037037037037002</v>
      </c>
      <c r="DO31">
        <v>86.980920314253694</v>
      </c>
      <c r="DP31">
        <v>9.3153759820426494</v>
      </c>
      <c r="DQ31">
        <v>0</v>
      </c>
      <c r="DR31">
        <v>0</v>
      </c>
      <c r="DS31" t="s">
        <v>273</v>
      </c>
      <c r="DT31" t="s">
        <v>273</v>
      </c>
      <c r="DU31" t="s">
        <v>273</v>
      </c>
      <c r="DV31" t="s">
        <v>273</v>
      </c>
      <c r="DW31" t="s">
        <v>273</v>
      </c>
      <c r="DX31" t="s">
        <v>273</v>
      </c>
      <c r="DY31" t="s">
        <v>273</v>
      </c>
      <c r="DZ31" t="s">
        <v>273</v>
      </c>
      <c r="EA31" t="s">
        <v>273</v>
      </c>
      <c r="EB31" t="s">
        <v>273</v>
      </c>
      <c r="EC31" t="s">
        <v>273</v>
      </c>
      <c r="ED31" t="s">
        <v>274</v>
      </c>
      <c r="EE31" t="s">
        <v>274</v>
      </c>
      <c r="EF31" t="s">
        <v>274</v>
      </c>
      <c r="EG31" t="s">
        <v>274</v>
      </c>
    </row>
    <row r="32" spans="1:137" ht="14.55" customHeight="1" x14ac:dyDescent="0.3">
      <c r="A32" t="s">
        <v>331</v>
      </c>
      <c r="B32">
        <v>2089</v>
      </c>
      <c r="C32" t="s">
        <v>332</v>
      </c>
      <c r="D32" t="s">
        <v>269</v>
      </c>
      <c r="E32" t="s">
        <v>269</v>
      </c>
      <c r="F32" t="s">
        <v>270</v>
      </c>
      <c r="G32" t="s">
        <v>311</v>
      </c>
      <c r="H32" s="3">
        <v>2200635.51639</v>
      </c>
      <c r="I32">
        <v>222</v>
      </c>
      <c r="J32" s="3">
        <v>220.06355164000001</v>
      </c>
      <c r="K32">
        <v>548</v>
      </c>
      <c r="L32">
        <v>716</v>
      </c>
      <c r="M32">
        <v>628.97552238805997</v>
      </c>
      <c r="N32">
        <v>31.171667162382199</v>
      </c>
      <c r="O32">
        <v>0</v>
      </c>
      <c r="P32">
        <v>34.262527465820298</v>
      </c>
      <c r="Q32">
        <v>7.9595842361450204</v>
      </c>
      <c r="R32">
        <v>5.45863914489746</v>
      </c>
      <c r="S32" t="s">
        <v>272</v>
      </c>
      <c r="T32" t="s">
        <v>331</v>
      </c>
      <c r="U32" t="s">
        <v>332</v>
      </c>
      <c r="V32" t="s">
        <v>332</v>
      </c>
      <c r="W32" s="3">
        <v>394</v>
      </c>
      <c r="X32" s="3">
        <v>2200000</v>
      </c>
      <c r="Y32">
        <v>3</v>
      </c>
      <c r="Z32" s="3">
        <v>132</v>
      </c>
      <c r="AA32" s="3">
        <v>148</v>
      </c>
      <c r="AB32" s="3">
        <v>167</v>
      </c>
      <c r="AC32" s="3">
        <v>314</v>
      </c>
      <c r="AD32" s="3">
        <v>342</v>
      </c>
      <c r="AE32" s="3">
        <v>362</v>
      </c>
      <c r="AF32" s="3">
        <v>372</v>
      </c>
      <c r="AG32" s="3">
        <v>354</v>
      </c>
      <c r="AH32" s="3">
        <v>355</v>
      </c>
      <c r="AI32" s="3">
        <v>364</v>
      </c>
      <c r="AJ32" s="3">
        <v>399</v>
      </c>
      <c r="AK32" s="3">
        <v>388</v>
      </c>
      <c r="AL32" s="3">
        <v>392</v>
      </c>
      <c r="AM32" s="3">
        <v>389</v>
      </c>
      <c r="AN32" s="3">
        <v>391</v>
      </c>
      <c r="AO32" s="3">
        <v>385</v>
      </c>
      <c r="AP32" s="3">
        <v>394</v>
      </c>
      <c r="AR32" s="4">
        <f t="shared" si="6"/>
        <v>179.03918984482311</v>
      </c>
      <c r="AS32" s="5">
        <f t="shared" si="7"/>
        <v>1.5151515151515151</v>
      </c>
      <c r="AT32" s="5">
        <f t="shared" si="0"/>
        <v>1.4264264264264264</v>
      </c>
      <c r="AU32" s="5">
        <f t="shared" si="1"/>
        <v>12.275449101796406</v>
      </c>
      <c r="AV32" s="5">
        <f t="shared" si="2"/>
        <v>0.59139784946236562</v>
      </c>
      <c r="AW32" s="5">
        <f t="shared" si="3"/>
        <v>1.5597147950089125</v>
      </c>
      <c r="AX32" s="5">
        <f t="shared" si="4"/>
        <v>6.796407185628742</v>
      </c>
      <c r="AY32" s="5">
        <f t="shared" si="5"/>
        <v>5.3644553644553641</v>
      </c>
      <c r="AZ32">
        <f t="shared" si="8"/>
        <v>2230000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1800000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430000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9</v>
      </c>
      <c r="CC32">
        <v>11</v>
      </c>
      <c r="CD32">
        <v>18</v>
      </c>
      <c r="CE32">
        <v>25</v>
      </c>
      <c r="CF32" s="17">
        <v>4.0540540540540544</v>
      </c>
      <c r="CG32" s="17">
        <v>4.954954954954955</v>
      </c>
      <c r="CH32" s="17">
        <v>8.1081081081081088</v>
      </c>
      <c r="CI32" s="17">
        <v>11.261261261261261</v>
      </c>
      <c r="CJ32" s="18">
        <v>1</v>
      </c>
      <c r="CK32" s="18">
        <v>1.2222222222222223</v>
      </c>
      <c r="CL32" s="18">
        <v>2</v>
      </c>
      <c r="CM32" s="18">
        <v>2.7777777777777777</v>
      </c>
      <c r="CN32" s="18">
        <v>0</v>
      </c>
      <c r="CO32" s="18">
        <v>0.90090090090090091</v>
      </c>
      <c r="CP32" s="18">
        <v>4.0540540540540544</v>
      </c>
      <c r="CQ32" s="18">
        <v>7.2072072072072073</v>
      </c>
      <c r="CR32" s="18">
        <f t="shared" si="9"/>
        <v>2.9469696969696968</v>
      </c>
      <c r="CS32" s="18">
        <f t="shared" si="10"/>
        <v>1.0609090909090908</v>
      </c>
      <c r="CT32">
        <v>0</v>
      </c>
      <c r="CU32">
        <v>73.991031390134594</v>
      </c>
      <c r="CV32">
        <v>26.008968609865502</v>
      </c>
      <c r="CW32">
        <v>0</v>
      </c>
      <c r="CX32">
        <v>0</v>
      </c>
      <c r="CY32">
        <v>0</v>
      </c>
      <c r="CZ32">
        <v>80.717488789237706</v>
      </c>
      <c r="DA32">
        <v>19.282511210762301</v>
      </c>
      <c r="DB32">
        <v>0</v>
      </c>
      <c r="DC32">
        <v>0</v>
      </c>
      <c r="DD32">
        <v>0</v>
      </c>
      <c r="DE32">
        <v>80.717488789237706</v>
      </c>
      <c r="DF32">
        <v>19.282511210762301</v>
      </c>
      <c r="DG32">
        <v>0</v>
      </c>
      <c r="DH32">
        <v>0</v>
      </c>
      <c r="DI32">
        <v>0</v>
      </c>
      <c r="DJ32">
        <v>80.717488789237706</v>
      </c>
      <c r="DK32">
        <v>19.282511210762301</v>
      </c>
      <c r="DL32">
        <v>0</v>
      </c>
      <c r="DM32">
        <v>0</v>
      </c>
      <c r="DN32">
        <v>0</v>
      </c>
      <c r="DO32">
        <v>80.717488789237706</v>
      </c>
      <c r="DP32">
        <v>19.282511210762301</v>
      </c>
      <c r="DQ32">
        <v>0</v>
      </c>
      <c r="DR32">
        <v>0</v>
      </c>
      <c r="DS32" t="s">
        <v>312</v>
      </c>
      <c r="DT32" t="s">
        <v>313</v>
      </c>
      <c r="DU32">
        <v>493</v>
      </c>
      <c r="DV32">
        <v>5586</v>
      </c>
      <c r="DW32" t="s">
        <v>314</v>
      </c>
      <c r="DX32">
        <v>107</v>
      </c>
      <c r="DY32">
        <v>0</v>
      </c>
      <c r="DZ32">
        <v>107</v>
      </c>
      <c r="EA32">
        <v>443445</v>
      </c>
      <c r="EB32">
        <v>0</v>
      </c>
      <c r="EC32">
        <v>443445</v>
      </c>
      <c r="ED32" t="s">
        <v>274</v>
      </c>
      <c r="EE32" t="s">
        <v>274</v>
      </c>
      <c r="EF32" t="s">
        <v>274</v>
      </c>
      <c r="EG32" t="s">
        <v>274</v>
      </c>
    </row>
    <row r="33" spans="1:137" ht="14.55" customHeight="1" x14ac:dyDescent="0.3">
      <c r="A33" t="s">
        <v>333</v>
      </c>
      <c r="B33">
        <v>2096</v>
      </c>
      <c r="C33" t="s">
        <v>334</v>
      </c>
      <c r="D33" t="s">
        <v>269</v>
      </c>
      <c r="E33" t="s">
        <v>269</v>
      </c>
      <c r="F33" t="s">
        <v>270</v>
      </c>
      <c r="G33" t="s">
        <v>311</v>
      </c>
      <c r="H33" s="3">
        <v>10890501.472899999</v>
      </c>
      <c r="I33">
        <v>1089</v>
      </c>
      <c r="J33" s="3">
        <v>1089.05014729</v>
      </c>
      <c r="K33">
        <v>670</v>
      </c>
      <c r="L33">
        <v>828</v>
      </c>
      <c r="M33">
        <v>730.00066257077503</v>
      </c>
      <c r="N33">
        <v>36.5286043345358</v>
      </c>
      <c r="O33">
        <v>0</v>
      </c>
      <c r="P33">
        <v>26.950412750244102</v>
      </c>
      <c r="Q33">
        <v>6.3320183753967303</v>
      </c>
      <c r="R33">
        <v>4.0053687095642099</v>
      </c>
      <c r="S33" t="s">
        <v>272</v>
      </c>
      <c r="T33" t="s">
        <v>333</v>
      </c>
      <c r="U33" t="s">
        <v>334</v>
      </c>
      <c r="V33" t="s">
        <v>334</v>
      </c>
      <c r="W33" s="3">
        <v>5366</v>
      </c>
      <c r="X33" s="3">
        <v>10890000</v>
      </c>
      <c r="Y33">
        <v>3</v>
      </c>
      <c r="Z33" s="3">
        <v>3533</v>
      </c>
      <c r="AA33" s="3">
        <v>4021</v>
      </c>
      <c r="AB33" s="3">
        <v>3862</v>
      </c>
      <c r="AC33" s="3">
        <v>4107</v>
      </c>
      <c r="AD33" s="3">
        <v>4169</v>
      </c>
      <c r="AE33" s="3">
        <v>4272</v>
      </c>
      <c r="AF33" s="3">
        <v>4390</v>
      </c>
      <c r="AG33" s="3">
        <v>4523</v>
      </c>
      <c r="AH33" s="3">
        <v>4621</v>
      </c>
      <c r="AI33" s="3">
        <v>4841</v>
      </c>
      <c r="AJ33" s="3">
        <v>4973</v>
      </c>
      <c r="AK33" s="3">
        <v>5108</v>
      </c>
      <c r="AL33" s="3">
        <v>5193</v>
      </c>
      <c r="AM33" s="3">
        <v>5204</v>
      </c>
      <c r="AN33" s="3">
        <v>5304</v>
      </c>
      <c r="AO33" s="3">
        <v>5280</v>
      </c>
      <c r="AP33" s="3">
        <v>5366</v>
      </c>
      <c r="AR33" s="4">
        <f t="shared" si="6"/>
        <v>492.72294883323707</v>
      </c>
      <c r="AS33" s="5">
        <f t="shared" si="7"/>
        <v>1.7265779790546281</v>
      </c>
      <c r="AT33" s="5">
        <f t="shared" si="0"/>
        <v>-0.43936002652739781</v>
      </c>
      <c r="AU33" s="5">
        <f t="shared" si="1"/>
        <v>1.3671672708441223</v>
      </c>
      <c r="AV33" s="5">
        <f t="shared" si="2"/>
        <v>2.2232346241457859</v>
      </c>
      <c r="AW33" s="5">
        <f t="shared" si="3"/>
        <v>0.54777642729891274</v>
      </c>
      <c r="AX33" s="5">
        <f t="shared" si="4"/>
        <v>1.9471776281719317</v>
      </c>
      <c r="AY33" s="5">
        <f t="shared" si="5"/>
        <v>1.4022230552091859</v>
      </c>
      <c r="AZ33">
        <f t="shared" si="8"/>
        <v>10880000</v>
      </c>
      <c r="BA33">
        <v>0</v>
      </c>
      <c r="BB33">
        <v>1180000</v>
      </c>
      <c r="BC33">
        <v>1090000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7360000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790000</v>
      </c>
      <c r="BS33">
        <v>0</v>
      </c>
      <c r="BT33">
        <v>0</v>
      </c>
      <c r="BU33">
        <v>460000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155</v>
      </c>
      <c r="CC33">
        <v>199</v>
      </c>
      <c r="CD33">
        <v>208</v>
      </c>
      <c r="CE33">
        <v>238</v>
      </c>
      <c r="CF33" s="17">
        <v>14.246323529411764</v>
      </c>
      <c r="CG33" s="17">
        <v>18.290441176470587</v>
      </c>
      <c r="CH33" s="17">
        <v>19.117647058823529</v>
      </c>
      <c r="CI33" s="17">
        <v>21.875</v>
      </c>
      <c r="CJ33" s="18">
        <v>1</v>
      </c>
      <c r="CK33" s="18">
        <v>1.2838709677419355</v>
      </c>
      <c r="CL33" s="18">
        <v>1.3419354838709678</v>
      </c>
      <c r="CM33" s="18">
        <v>1.5354838709677419</v>
      </c>
      <c r="CN33" s="18">
        <v>0</v>
      </c>
      <c r="CO33" s="18">
        <v>4.0441176470588234</v>
      </c>
      <c r="CP33" s="18">
        <v>4.8713235294117645</v>
      </c>
      <c r="CQ33" s="18">
        <v>7.6286764705882355</v>
      </c>
      <c r="CR33" s="18">
        <f t="shared" si="9"/>
        <v>1.4729691480328333</v>
      </c>
      <c r="CS33" s="18">
        <f t="shared" si="10"/>
        <v>0.95928663002138304</v>
      </c>
      <c r="CT33">
        <v>8.3639705882352899</v>
      </c>
      <c r="CU33">
        <v>79.319852941176507</v>
      </c>
      <c r="CV33">
        <v>12.3161764705882</v>
      </c>
      <c r="CW33">
        <v>0</v>
      </c>
      <c r="CX33">
        <v>0</v>
      </c>
      <c r="CY33">
        <v>18.75</v>
      </c>
      <c r="CZ33">
        <v>69.761029411764696</v>
      </c>
      <c r="DA33">
        <v>11.48897058823529</v>
      </c>
      <c r="DB33">
        <v>0</v>
      </c>
      <c r="DC33">
        <v>0</v>
      </c>
      <c r="DD33">
        <v>18.75</v>
      </c>
      <c r="DE33">
        <v>69.761029411764696</v>
      </c>
      <c r="DF33">
        <v>11.48897058823529</v>
      </c>
      <c r="DG33">
        <v>0</v>
      </c>
      <c r="DH33">
        <v>0</v>
      </c>
      <c r="DI33">
        <v>20.128676470588218</v>
      </c>
      <c r="DJ33">
        <v>68.382352941176507</v>
      </c>
      <c r="DK33">
        <v>11.488970588235301</v>
      </c>
      <c r="DL33">
        <v>0</v>
      </c>
      <c r="DM33">
        <v>0</v>
      </c>
      <c r="DN33">
        <v>20.863970588235301</v>
      </c>
      <c r="DO33">
        <v>67.647058823529406</v>
      </c>
      <c r="DP33">
        <v>11.488970588235301</v>
      </c>
      <c r="DQ33">
        <v>0</v>
      </c>
      <c r="DR33">
        <v>0</v>
      </c>
      <c r="DS33" t="s">
        <v>273</v>
      </c>
      <c r="DT33" t="s">
        <v>273</v>
      </c>
      <c r="DU33" t="s">
        <v>273</v>
      </c>
      <c r="DV33" t="s">
        <v>273</v>
      </c>
      <c r="DW33" t="s">
        <v>273</v>
      </c>
      <c r="DX33" t="s">
        <v>273</v>
      </c>
      <c r="DY33" t="s">
        <v>273</v>
      </c>
      <c r="DZ33" t="s">
        <v>273</v>
      </c>
      <c r="EA33" t="s">
        <v>273</v>
      </c>
      <c r="EB33" t="s">
        <v>273</v>
      </c>
      <c r="EC33" t="s">
        <v>273</v>
      </c>
      <c r="ED33" t="s">
        <v>274</v>
      </c>
      <c r="EE33" t="s">
        <v>274</v>
      </c>
      <c r="EF33" t="s">
        <v>274</v>
      </c>
      <c r="EG33" t="s">
        <v>274</v>
      </c>
    </row>
    <row r="34" spans="1:137" ht="14.55" customHeight="1" x14ac:dyDescent="0.3">
      <c r="A34" t="s">
        <v>335</v>
      </c>
      <c r="B34">
        <v>2097</v>
      </c>
      <c r="C34" t="s">
        <v>336</v>
      </c>
      <c r="D34" t="s">
        <v>269</v>
      </c>
      <c r="E34" t="s">
        <v>269</v>
      </c>
      <c r="F34" t="s">
        <v>270</v>
      </c>
      <c r="G34" t="s">
        <v>311</v>
      </c>
      <c r="H34" s="3">
        <v>11199708.465700001</v>
      </c>
      <c r="I34">
        <v>1118</v>
      </c>
      <c r="J34" s="3">
        <v>1119.97084657</v>
      </c>
      <c r="K34">
        <v>558</v>
      </c>
      <c r="L34">
        <v>849</v>
      </c>
      <c r="M34">
        <v>659.07297899800506</v>
      </c>
      <c r="N34">
        <v>55.592242546158801</v>
      </c>
      <c r="O34">
        <v>0</v>
      </c>
      <c r="P34">
        <v>31.944614410400401</v>
      </c>
      <c r="Q34">
        <v>6.7172260284423801</v>
      </c>
      <c r="R34">
        <v>4.1592874526977504</v>
      </c>
      <c r="S34" t="s">
        <v>272</v>
      </c>
      <c r="T34" t="s">
        <v>335</v>
      </c>
      <c r="U34" t="s">
        <v>336</v>
      </c>
      <c r="V34" t="s">
        <v>336</v>
      </c>
      <c r="W34" s="3">
        <v>1524</v>
      </c>
      <c r="X34" s="3">
        <v>11200000</v>
      </c>
      <c r="Y34">
        <v>3</v>
      </c>
      <c r="Z34" s="3">
        <v>790</v>
      </c>
      <c r="AA34" s="3">
        <v>874</v>
      </c>
      <c r="AB34" s="3">
        <v>973</v>
      </c>
      <c r="AC34" s="3">
        <v>1153</v>
      </c>
      <c r="AD34" s="3">
        <v>1188</v>
      </c>
      <c r="AE34" s="3">
        <v>1211</v>
      </c>
      <c r="AF34" s="3">
        <v>1202</v>
      </c>
      <c r="AG34" s="3">
        <v>1218</v>
      </c>
      <c r="AH34" s="3">
        <v>1265</v>
      </c>
      <c r="AI34" s="3">
        <v>1336</v>
      </c>
      <c r="AJ34" s="3">
        <v>1404</v>
      </c>
      <c r="AK34" s="3">
        <v>1470</v>
      </c>
      <c r="AL34" s="3">
        <v>1473</v>
      </c>
      <c r="AM34" s="3">
        <v>1500</v>
      </c>
      <c r="AN34" s="3">
        <v>1505</v>
      </c>
      <c r="AO34" s="3">
        <v>1526</v>
      </c>
      <c r="AP34" s="3">
        <v>1524</v>
      </c>
      <c r="AR34" s="4">
        <f t="shared" si="6"/>
        <v>136.07497058225857</v>
      </c>
      <c r="AS34" s="5">
        <f t="shared" si="7"/>
        <v>1.3291139240506329</v>
      </c>
      <c r="AT34" s="5">
        <f t="shared" si="0"/>
        <v>1.2585812356979404</v>
      </c>
      <c r="AU34" s="5">
        <f t="shared" si="1"/>
        <v>2.3535457348406985</v>
      </c>
      <c r="AV34" s="5">
        <f t="shared" si="2"/>
        <v>2.6788685524126454</v>
      </c>
      <c r="AW34" s="5">
        <f t="shared" si="3"/>
        <v>1.3626209977661952</v>
      </c>
      <c r="AX34" s="5">
        <f t="shared" si="4"/>
        <v>2.8314491264131556</v>
      </c>
      <c r="AY34" s="5">
        <f t="shared" si="5"/>
        <v>2.511118713650359</v>
      </c>
      <c r="AZ34">
        <f t="shared" si="8"/>
        <v>11160000</v>
      </c>
      <c r="BA34">
        <v>0</v>
      </c>
      <c r="BB34">
        <v>380000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9380000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840000</v>
      </c>
      <c r="BR34">
        <v>560000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79</v>
      </c>
      <c r="CC34">
        <v>89</v>
      </c>
      <c r="CD34">
        <v>99</v>
      </c>
      <c r="CE34">
        <v>120</v>
      </c>
      <c r="CF34" s="17">
        <v>7.0284697508896796</v>
      </c>
      <c r="CG34" s="17">
        <v>7.9181494661921707</v>
      </c>
      <c r="CH34" s="17">
        <v>8.807829181494661</v>
      </c>
      <c r="CI34" s="17">
        <v>10.676156583629894</v>
      </c>
      <c r="CJ34" s="18">
        <v>1</v>
      </c>
      <c r="CK34" s="18">
        <v>1.1265822784810127</v>
      </c>
      <c r="CL34" s="18">
        <v>1.2531645569620253</v>
      </c>
      <c r="CM34" s="18">
        <v>1.518987341772152</v>
      </c>
      <c r="CN34" s="18">
        <v>0</v>
      </c>
      <c r="CO34" s="18">
        <v>0.88967971530249124</v>
      </c>
      <c r="CP34" s="18">
        <v>1.7793594306049825</v>
      </c>
      <c r="CQ34" s="18">
        <v>3.6476868327402134</v>
      </c>
      <c r="CR34" s="18">
        <f t="shared" si="9"/>
        <v>1.8987341772151898</v>
      </c>
      <c r="CS34" s="18">
        <f t="shared" si="10"/>
        <v>1.2499999999999998</v>
      </c>
      <c r="CT34">
        <v>2.59856630824373</v>
      </c>
      <c r="CU34">
        <v>84.408602150537689</v>
      </c>
      <c r="CV34">
        <v>12.9928315412186</v>
      </c>
      <c r="CW34">
        <v>0</v>
      </c>
      <c r="CX34">
        <v>0</v>
      </c>
      <c r="CY34">
        <v>0.98566308243727596</v>
      </c>
      <c r="CZ34">
        <v>86.559139784946197</v>
      </c>
      <c r="DA34">
        <v>12.455197132616499</v>
      </c>
      <c r="DB34">
        <v>0</v>
      </c>
      <c r="DC34">
        <v>0</v>
      </c>
      <c r="DD34">
        <v>0.98566308243727596</v>
      </c>
      <c r="DE34">
        <v>86.559139784946197</v>
      </c>
      <c r="DF34">
        <v>12.455197132616499</v>
      </c>
      <c r="DG34">
        <v>0</v>
      </c>
      <c r="DH34">
        <v>0</v>
      </c>
      <c r="DI34">
        <v>3.4050179211469498</v>
      </c>
      <c r="DJ34">
        <v>84.050179211469498</v>
      </c>
      <c r="DK34">
        <v>12.544802867383501</v>
      </c>
      <c r="DL34">
        <v>0</v>
      </c>
      <c r="DM34">
        <v>0</v>
      </c>
      <c r="DN34">
        <v>3.4050179211469498</v>
      </c>
      <c r="DO34">
        <v>84.050179211469498</v>
      </c>
      <c r="DP34">
        <v>12.544802867383501</v>
      </c>
      <c r="DQ34">
        <v>0</v>
      </c>
      <c r="DR34">
        <v>0</v>
      </c>
      <c r="DS34" t="s">
        <v>312</v>
      </c>
      <c r="DT34" t="s">
        <v>337</v>
      </c>
      <c r="DU34">
        <v>1588</v>
      </c>
      <c r="DV34">
        <v>5586</v>
      </c>
      <c r="DW34" t="s">
        <v>314</v>
      </c>
      <c r="DX34">
        <v>107</v>
      </c>
      <c r="DY34">
        <v>0</v>
      </c>
      <c r="DZ34">
        <v>107</v>
      </c>
      <c r="EA34">
        <v>443445</v>
      </c>
      <c r="EB34">
        <v>0</v>
      </c>
      <c r="EC34">
        <v>443445</v>
      </c>
      <c r="ED34" t="s">
        <v>274</v>
      </c>
      <c r="EE34" t="s">
        <v>274</v>
      </c>
      <c r="EF34" t="s">
        <v>274</v>
      </c>
      <c r="EG34" t="s">
        <v>274</v>
      </c>
    </row>
    <row r="35" spans="1:137" ht="14.55" customHeight="1" x14ac:dyDescent="0.3">
      <c r="A35" t="s">
        <v>338</v>
      </c>
      <c r="B35">
        <v>2099</v>
      </c>
      <c r="C35" t="s">
        <v>339</v>
      </c>
      <c r="D35" t="s">
        <v>269</v>
      </c>
      <c r="E35" t="s">
        <v>269</v>
      </c>
      <c r="F35" t="s">
        <v>270</v>
      </c>
      <c r="G35" t="s">
        <v>311</v>
      </c>
      <c r="H35" s="3">
        <v>20284477.357700001</v>
      </c>
      <c r="I35">
        <v>2023</v>
      </c>
      <c r="J35" s="3">
        <v>2028.4477357700002</v>
      </c>
      <c r="K35">
        <v>685</v>
      </c>
      <c r="L35">
        <v>917</v>
      </c>
      <c r="M35">
        <v>781.32813107110496</v>
      </c>
      <c r="N35">
        <v>46.323127802418703</v>
      </c>
      <c r="O35">
        <v>0</v>
      </c>
      <c r="P35">
        <v>39.3784790039063</v>
      </c>
      <c r="Q35">
        <v>6.7775559425354004</v>
      </c>
      <c r="R35">
        <v>4.4806394577026403</v>
      </c>
      <c r="S35" t="s">
        <v>272</v>
      </c>
      <c r="T35" t="s">
        <v>338</v>
      </c>
      <c r="U35" t="s">
        <v>339</v>
      </c>
      <c r="V35" t="s">
        <v>339</v>
      </c>
      <c r="W35" s="3">
        <v>2281</v>
      </c>
      <c r="X35" s="3">
        <v>20280000</v>
      </c>
      <c r="Y35">
        <v>3</v>
      </c>
      <c r="Z35" s="3">
        <v>1521</v>
      </c>
      <c r="AA35" s="3">
        <v>1688</v>
      </c>
      <c r="AB35" s="3">
        <v>1797</v>
      </c>
      <c r="AC35" s="3">
        <v>1932</v>
      </c>
      <c r="AD35" s="3">
        <v>1957</v>
      </c>
      <c r="AE35" s="3">
        <v>1994</v>
      </c>
      <c r="AF35" s="3">
        <v>2054</v>
      </c>
      <c r="AG35" s="3">
        <v>2071</v>
      </c>
      <c r="AH35" s="3">
        <v>2124</v>
      </c>
      <c r="AI35" s="3">
        <v>2153</v>
      </c>
      <c r="AJ35" s="3">
        <v>2195</v>
      </c>
      <c r="AK35" s="3">
        <v>2230</v>
      </c>
      <c r="AL35" s="3">
        <v>2243</v>
      </c>
      <c r="AM35" s="3">
        <v>2214</v>
      </c>
      <c r="AN35" s="3">
        <v>2199</v>
      </c>
      <c r="AO35" s="3">
        <v>2239</v>
      </c>
      <c r="AP35" s="3">
        <v>2281</v>
      </c>
      <c r="AR35" s="4">
        <f t="shared" si="6"/>
        <v>112.45051867871423</v>
      </c>
      <c r="AS35" s="5">
        <f t="shared" si="7"/>
        <v>1.3724523339907955</v>
      </c>
      <c r="AT35" s="5">
        <f t="shared" si="0"/>
        <v>0.71748288572933117</v>
      </c>
      <c r="AU35" s="5">
        <f t="shared" si="1"/>
        <v>1.4301613800779076</v>
      </c>
      <c r="AV35" s="5">
        <f t="shared" si="2"/>
        <v>1.1051606621226875</v>
      </c>
      <c r="AW35" s="5">
        <f t="shared" si="3"/>
        <v>1.0674092122055925</v>
      </c>
      <c r="AX35" s="5">
        <f t="shared" si="4"/>
        <v>1.3466889259877575</v>
      </c>
      <c r="AY35" s="5">
        <f t="shared" si="5"/>
        <v>1.3504628889244272</v>
      </c>
      <c r="AZ35">
        <f t="shared" si="8"/>
        <v>20220000</v>
      </c>
      <c r="BA35">
        <v>0</v>
      </c>
      <c r="BB35">
        <v>480000</v>
      </c>
      <c r="BC35">
        <v>230000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16690000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1090000</v>
      </c>
      <c r="BR35">
        <v>1730000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133</v>
      </c>
      <c r="CC35">
        <v>154</v>
      </c>
      <c r="CD35">
        <v>158</v>
      </c>
      <c r="CE35">
        <v>188</v>
      </c>
      <c r="CF35" s="17">
        <v>6.5614208189442529</v>
      </c>
      <c r="CG35" s="17">
        <v>7.5974346324617663</v>
      </c>
      <c r="CH35" s="17">
        <v>7.7947705969412935</v>
      </c>
      <c r="CI35" s="17">
        <v>9.2747903305377406</v>
      </c>
      <c r="CJ35" s="18">
        <v>1</v>
      </c>
      <c r="CK35" s="18">
        <v>1.1578947368421053</v>
      </c>
      <c r="CL35" s="18">
        <v>1.1879699248120301</v>
      </c>
      <c r="CM35" s="18">
        <v>1.4135338345864661</v>
      </c>
      <c r="CN35" s="18">
        <v>0</v>
      </c>
      <c r="CO35" s="18">
        <v>1.0360138135175136</v>
      </c>
      <c r="CP35" s="18">
        <v>1.2333497779970399</v>
      </c>
      <c r="CQ35" s="18">
        <v>2.7133695115934877</v>
      </c>
      <c r="CR35" s="18">
        <f t="shared" si="9"/>
        <v>1.455621301775148</v>
      </c>
      <c r="CS35" s="18">
        <f t="shared" si="10"/>
        <v>1.0297746443409292</v>
      </c>
      <c r="CT35">
        <v>1.137487636003957</v>
      </c>
      <c r="CU35">
        <v>85.509396636993102</v>
      </c>
      <c r="CV35">
        <v>13.353115727003001</v>
      </c>
      <c r="CW35">
        <v>0</v>
      </c>
      <c r="CX35">
        <v>0</v>
      </c>
      <c r="CY35">
        <v>2.4727992087042501</v>
      </c>
      <c r="CZ35">
        <v>83.630069238377899</v>
      </c>
      <c r="DA35">
        <v>13.8971315529179</v>
      </c>
      <c r="DB35">
        <v>0</v>
      </c>
      <c r="DC35">
        <v>0</v>
      </c>
      <c r="DD35">
        <v>2.4727992087042501</v>
      </c>
      <c r="DE35">
        <v>83.630069238377899</v>
      </c>
      <c r="DF35">
        <v>13.8971315529179</v>
      </c>
      <c r="DG35">
        <v>0</v>
      </c>
      <c r="DH35">
        <v>0</v>
      </c>
      <c r="DI35">
        <v>3.5113748763600396</v>
      </c>
      <c r="DJ35">
        <v>82.542037586548005</v>
      </c>
      <c r="DK35">
        <v>13.946587537092</v>
      </c>
      <c r="DL35">
        <v>0</v>
      </c>
      <c r="DM35">
        <v>0</v>
      </c>
      <c r="DN35">
        <v>3.5113748763600396</v>
      </c>
      <c r="DO35">
        <v>82.542037586548005</v>
      </c>
      <c r="DP35">
        <v>13.946587537092</v>
      </c>
      <c r="DQ35">
        <v>0</v>
      </c>
      <c r="DR35">
        <v>0</v>
      </c>
      <c r="DS35" t="s">
        <v>273</v>
      </c>
      <c r="DT35" t="s">
        <v>273</v>
      </c>
      <c r="DU35" t="s">
        <v>273</v>
      </c>
      <c r="DV35" t="s">
        <v>273</v>
      </c>
      <c r="DW35" t="s">
        <v>273</v>
      </c>
      <c r="DX35" t="s">
        <v>273</v>
      </c>
      <c r="DY35" t="s">
        <v>273</v>
      </c>
      <c r="DZ35" t="s">
        <v>273</v>
      </c>
      <c r="EA35" t="s">
        <v>273</v>
      </c>
      <c r="EB35" t="s">
        <v>273</v>
      </c>
      <c r="EC35" t="s">
        <v>273</v>
      </c>
      <c r="ED35" t="s">
        <v>274</v>
      </c>
      <c r="EE35" t="s">
        <v>274</v>
      </c>
      <c r="EF35" t="s">
        <v>274</v>
      </c>
      <c r="EG35" t="s">
        <v>274</v>
      </c>
    </row>
    <row r="36" spans="1:137" ht="14.55" customHeight="1" x14ac:dyDescent="0.3">
      <c r="A36" t="s">
        <v>340</v>
      </c>
      <c r="B36">
        <v>2102</v>
      </c>
      <c r="C36" t="s">
        <v>341</v>
      </c>
      <c r="D36" t="s">
        <v>269</v>
      </c>
      <c r="E36" t="s">
        <v>269</v>
      </c>
      <c r="F36" t="s">
        <v>270</v>
      </c>
      <c r="G36" t="s">
        <v>311</v>
      </c>
      <c r="H36" s="3">
        <v>14930739.851299999</v>
      </c>
      <c r="I36">
        <v>1497</v>
      </c>
      <c r="J36" s="3">
        <v>1493.07398513</v>
      </c>
      <c r="K36">
        <v>641</v>
      </c>
      <c r="L36">
        <v>892</v>
      </c>
      <c r="M36">
        <v>776.37622629888699</v>
      </c>
      <c r="N36">
        <v>57.796965511400202</v>
      </c>
      <c r="O36">
        <v>0</v>
      </c>
      <c r="P36">
        <v>34.999649047851598</v>
      </c>
      <c r="Q36">
        <v>7.3967628479003897</v>
      </c>
      <c r="R36">
        <v>4.7757029533386204</v>
      </c>
      <c r="S36" t="s">
        <v>272</v>
      </c>
      <c r="T36" t="s">
        <v>340</v>
      </c>
      <c r="U36" t="s">
        <v>341</v>
      </c>
      <c r="V36" t="s">
        <v>341</v>
      </c>
      <c r="W36" s="3">
        <v>3271</v>
      </c>
      <c r="X36" s="3">
        <v>14930000</v>
      </c>
      <c r="Y36">
        <v>3</v>
      </c>
      <c r="Z36" s="3">
        <v>1204</v>
      </c>
      <c r="AA36" s="3">
        <v>1412</v>
      </c>
      <c r="AB36" s="3">
        <v>1948</v>
      </c>
      <c r="AC36" s="3">
        <v>2181</v>
      </c>
      <c r="AD36" s="3">
        <v>2238</v>
      </c>
      <c r="AE36" s="3">
        <v>2316</v>
      </c>
      <c r="AF36" s="3">
        <v>2362</v>
      </c>
      <c r="AG36" s="3">
        <v>2410</v>
      </c>
      <c r="AH36" s="3">
        <v>2489</v>
      </c>
      <c r="AI36" s="3">
        <v>2564</v>
      </c>
      <c r="AJ36" s="3">
        <v>2717</v>
      </c>
      <c r="AK36" s="3">
        <v>2827</v>
      </c>
      <c r="AL36" s="3">
        <v>2936</v>
      </c>
      <c r="AM36" s="3">
        <v>3030</v>
      </c>
      <c r="AN36" s="3">
        <v>3079</v>
      </c>
      <c r="AO36" s="3">
        <v>3198</v>
      </c>
      <c r="AP36" s="3">
        <v>3271</v>
      </c>
      <c r="AR36" s="4">
        <f t="shared" si="6"/>
        <v>219.07822603413709</v>
      </c>
      <c r="AS36" s="5">
        <f t="shared" si="7"/>
        <v>2.1594684385382057</v>
      </c>
      <c r="AT36" s="5">
        <f t="shared" si="0"/>
        <v>4.2178155492603082</v>
      </c>
      <c r="AU36" s="5">
        <f t="shared" si="1"/>
        <v>2.1252566735112937</v>
      </c>
      <c r="AV36" s="5">
        <f t="shared" si="2"/>
        <v>3.848433530906012</v>
      </c>
      <c r="AW36" s="5">
        <f t="shared" si="3"/>
        <v>3.6349423490326367</v>
      </c>
      <c r="AX36" s="5">
        <f t="shared" si="4"/>
        <v>3.3957905544147842</v>
      </c>
      <c r="AY36" s="5">
        <f t="shared" si="5"/>
        <v>4.6399389422645241</v>
      </c>
      <c r="AZ36">
        <f t="shared" si="8"/>
        <v>15000000</v>
      </c>
      <c r="BA36">
        <v>0</v>
      </c>
      <c r="BB36">
        <v>1170000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10220000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2050000</v>
      </c>
      <c r="BR36">
        <v>1560000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80</v>
      </c>
      <c r="CC36">
        <v>112</v>
      </c>
      <c r="CD36">
        <v>126</v>
      </c>
      <c r="CE36">
        <v>149</v>
      </c>
      <c r="CF36" s="17">
        <v>5.3799596503026228</v>
      </c>
      <c r="CG36" s="17">
        <v>7.5319435104236723</v>
      </c>
      <c r="CH36" s="17">
        <v>8.4734364492266305</v>
      </c>
      <c r="CI36" s="17">
        <v>10.020174848688635</v>
      </c>
      <c r="CJ36" s="18">
        <v>1</v>
      </c>
      <c r="CK36" s="18">
        <v>1.4</v>
      </c>
      <c r="CL36" s="18">
        <v>1.575</v>
      </c>
      <c r="CM36" s="18">
        <v>1.8625</v>
      </c>
      <c r="CN36" s="18">
        <v>0</v>
      </c>
      <c r="CO36" s="18">
        <v>2.151983860121049</v>
      </c>
      <c r="CP36" s="18">
        <v>3.0934767989240082</v>
      </c>
      <c r="CQ36" s="18">
        <v>4.640215198386012</v>
      </c>
      <c r="CR36" s="18">
        <f t="shared" si="9"/>
        <v>2.5166112956810633</v>
      </c>
      <c r="CS36" s="18">
        <f t="shared" si="10"/>
        <v>1.351200695667685</v>
      </c>
      <c r="CT36">
        <v>1</v>
      </c>
      <c r="CU36">
        <v>78.866666666666674</v>
      </c>
      <c r="CV36">
        <v>20.133333333333301</v>
      </c>
      <c r="CW36">
        <v>0</v>
      </c>
      <c r="CX36">
        <v>0</v>
      </c>
      <c r="CY36">
        <v>7.06666666666667</v>
      </c>
      <c r="CZ36">
        <v>69</v>
      </c>
      <c r="DA36">
        <v>23.933333333333302</v>
      </c>
      <c r="DB36">
        <v>0</v>
      </c>
      <c r="DC36">
        <v>0</v>
      </c>
      <c r="DD36">
        <v>6.93333333333333</v>
      </c>
      <c r="DE36">
        <v>69.133333333333297</v>
      </c>
      <c r="DF36">
        <v>23.933333333333302</v>
      </c>
      <c r="DG36">
        <v>0</v>
      </c>
      <c r="DH36">
        <v>0</v>
      </c>
      <c r="DI36">
        <v>7.8</v>
      </c>
      <c r="DJ36">
        <v>68.133333333333297</v>
      </c>
      <c r="DK36">
        <v>24.066666666666698</v>
      </c>
      <c r="DL36">
        <v>0</v>
      </c>
      <c r="DM36">
        <v>0</v>
      </c>
      <c r="DN36">
        <v>7.8</v>
      </c>
      <c r="DO36">
        <v>68.133333333333297</v>
      </c>
      <c r="DP36">
        <v>24.066666666666698</v>
      </c>
      <c r="DQ36">
        <v>0</v>
      </c>
      <c r="DR36">
        <v>0</v>
      </c>
      <c r="DS36" t="s">
        <v>273</v>
      </c>
      <c r="DT36" t="s">
        <v>273</v>
      </c>
      <c r="DU36" t="s">
        <v>273</v>
      </c>
      <c r="DV36" t="s">
        <v>273</v>
      </c>
      <c r="DW36" t="s">
        <v>273</v>
      </c>
      <c r="DX36" t="s">
        <v>273</v>
      </c>
      <c r="DY36" t="s">
        <v>273</v>
      </c>
      <c r="DZ36" t="s">
        <v>273</v>
      </c>
      <c r="EA36" t="s">
        <v>273</v>
      </c>
      <c r="EB36" t="s">
        <v>273</v>
      </c>
      <c r="EC36" t="s">
        <v>273</v>
      </c>
      <c r="ED36" t="s">
        <v>274</v>
      </c>
      <c r="EE36" t="s">
        <v>274</v>
      </c>
      <c r="EF36" t="s">
        <v>274</v>
      </c>
      <c r="EG36" t="s">
        <v>274</v>
      </c>
    </row>
    <row r="37" spans="1:137" ht="14.55" customHeight="1" x14ac:dyDescent="0.3">
      <c r="A37" t="s">
        <v>342</v>
      </c>
      <c r="B37">
        <v>2113</v>
      </c>
      <c r="C37" t="s">
        <v>343</v>
      </c>
      <c r="D37" t="s">
        <v>269</v>
      </c>
      <c r="E37" t="s">
        <v>269</v>
      </c>
      <c r="F37" t="s">
        <v>270</v>
      </c>
      <c r="G37" t="s">
        <v>311</v>
      </c>
      <c r="H37" s="3">
        <v>24018581.438700002</v>
      </c>
      <c r="I37">
        <v>2394</v>
      </c>
      <c r="J37" s="3">
        <v>2401.8581438700003</v>
      </c>
      <c r="K37">
        <v>708</v>
      </c>
      <c r="L37">
        <v>984</v>
      </c>
      <c r="M37">
        <v>841.16163080036097</v>
      </c>
      <c r="N37">
        <v>62.380908516987397</v>
      </c>
      <c r="O37">
        <v>0</v>
      </c>
      <c r="P37">
        <v>33.665256500244098</v>
      </c>
      <c r="Q37">
        <v>6.14180707931519</v>
      </c>
      <c r="R37">
        <v>4.0159010887145996</v>
      </c>
      <c r="S37" t="s">
        <v>272</v>
      </c>
      <c r="T37" t="s">
        <v>342</v>
      </c>
      <c r="U37" t="s">
        <v>343</v>
      </c>
      <c r="V37" t="s">
        <v>343</v>
      </c>
      <c r="W37" s="3">
        <v>2330</v>
      </c>
      <c r="X37" s="3">
        <v>24020000</v>
      </c>
      <c r="Y37">
        <v>3</v>
      </c>
      <c r="Z37" s="3">
        <v>1343</v>
      </c>
      <c r="AA37" s="3">
        <v>1531</v>
      </c>
      <c r="AB37" s="3">
        <v>1806</v>
      </c>
      <c r="AC37" s="3">
        <v>1838</v>
      </c>
      <c r="AD37" s="3">
        <v>1835</v>
      </c>
      <c r="AE37" s="3">
        <v>1900</v>
      </c>
      <c r="AF37" s="3">
        <v>1954</v>
      </c>
      <c r="AG37" s="3">
        <v>1974</v>
      </c>
      <c r="AH37" s="3">
        <v>2024</v>
      </c>
      <c r="AI37" s="3">
        <v>2118</v>
      </c>
      <c r="AJ37" s="3">
        <v>2134</v>
      </c>
      <c r="AK37" s="3">
        <v>2183</v>
      </c>
      <c r="AL37" s="3">
        <v>2251</v>
      </c>
      <c r="AM37" s="3">
        <v>2271</v>
      </c>
      <c r="AN37" s="3">
        <v>2287</v>
      </c>
      <c r="AO37" s="3">
        <v>2324</v>
      </c>
      <c r="AP37" s="3">
        <v>2330</v>
      </c>
      <c r="AR37" s="4">
        <f t="shared" si="6"/>
        <v>97.008226982372122</v>
      </c>
      <c r="AS37" s="5">
        <f t="shared" si="7"/>
        <v>1.7498138495904692</v>
      </c>
      <c r="AT37" s="5">
        <f t="shared" si="0"/>
        <v>1.9957906959866465</v>
      </c>
      <c r="AU37" s="5">
        <f t="shared" si="1"/>
        <v>0.81949058693244736</v>
      </c>
      <c r="AV37" s="5">
        <f t="shared" si="2"/>
        <v>1.9242579324462641</v>
      </c>
      <c r="AW37" s="5">
        <f t="shared" si="3"/>
        <v>2.0279444614778153</v>
      </c>
      <c r="AX37" s="5">
        <f t="shared" si="4"/>
        <v>1.4507198228128459</v>
      </c>
      <c r="AY37" s="5">
        <f t="shared" si="5"/>
        <v>1.9862751806162082</v>
      </c>
      <c r="AZ37">
        <f t="shared" si="8"/>
        <v>23930000</v>
      </c>
      <c r="BA37">
        <v>0</v>
      </c>
      <c r="BB37">
        <v>420000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20170000</v>
      </c>
      <c r="BK37">
        <v>0</v>
      </c>
      <c r="BL37">
        <v>0</v>
      </c>
      <c r="BM37">
        <v>0</v>
      </c>
      <c r="BN37">
        <v>0</v>
      </c>
      <c r="BO37">
        <v>920000</v>
      </c>
      <c r="BP37">
        <v>0</v>
      </c>
      <c r="BQ37">
        <v>1720000</v>
      </c>
      <c r="BR37">
        <v>700000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107</v>
      </c>
      <c r="CC37">
        <v>124</v>
      </c>
      <c r="CD37">
        <v>147</v>
      </c>
      <c r="CE37">
        <v>166</v>
      </c>
      <c r="CF37" s="17">
        <v>4.4527673741156892</v>
      </c>
      <c r="CG37" s="17">
        <v>5.1602163961714531</v>
      </c>
      <c r="CH37" s="17">
        <v>6.1173533083645442</v>
      </c>
      <c r="CI37" s="17">
        <v>6.9080316271327504</v>
      </c>
      <c r="CJ37" s="18">
        <v>1</v>
      </c>
      <c r="CK37" s="18">
        <v>1.1588785046728971</v>
      </c>
      <c r="CL37" s="18">
        <v>1.3738317757009346</v>
      </c>
      <c r="CM37" s="18">
        <v>1.5514018691588785</v>
      </c>
      <c r="CN37" s="18">
        <v>0</v>
      </c>
      <c r="CO37" s="18">
        <v>0.70744902205576365</v>
      </c>
      <c r="CP37" s="18">
        <v>1.6645859342488558</v>
      </c>
      <c r="CQ37" s="18">
        <v>2.4552642530170621</v>
      </c>
      <c r="CR37" s="18">
        <f t="shared" si="9"/>
        <v>1.6909903201787044</v>
      </c>
      <c r="CS37" s="18">
        <f t="shared" si="10"/>
        <v>1.0899756883079601</v>
      </c>
      <c r="CT37">
        <v>0.41788549937317199</v>
      </c>
      <c r="CU37">
        <v>84.078562473882101</v>
      </c>
      <c r="CV37">
        <v>15.252820727120742</v>
      </c>
      <c r="CW37">
        <v>0</v>
      </c>
      <c r="CX37">
        <v>0.250731299623903</v>
      </c>
      <c r="CY37">
        <v>1.42081069786878</v>
      </c>
      <c r="CZ37">
        <v>87.839531968240706</v>
      </c>
      <c r="DA37">
        <v>10.7396573338905</v>
      </c>
      <c r="DB37">
        <v>0</v>
      </c>
      <c r="DC37">
        <v>0</v>
      </c>
      <c r="DD37">
        <v>1.42081069786878</v>
      </c>
      <c r="DE37">
        <v>87.797743418303398</v>
      </c>
      <c r="DF37">
        <v>10.7814458838278</v>
      </c>
      <c r="DG37">
        <v>0</v>
      </c>
      <c r="DH37">
        <v>0</v>
      </c>
      <c r="DI37">
        <v>1.7551190973673201</v>
      </c>
      <c r="DJ37">
        <v>88.13205181780198</v>
      </c>
      <c r="DK37">
        <v>10.1128290848308</v>
      </c>
      <c r="DL37">
        <v>0</v>
      </c>
      <c r="DM37">
        <v>0</v>
      </c>
      <c r="DN37">
        <v>1.7551190973673201</v>
      </c>
      <c r="DO37">
        <v>88.13205181780198</v>
      </c>
      <c r="DP37">
        <v>10.1128290848308</v>
      </c>
      <c r="DQ37">
        <v>0</v>
      </c>
      <c r="DR37">
        <v>0</v>
      </c>
      <c r="DS37" t="s">
        <v>273</v>
      </c>
      <c r="DT37" t="s">
        <v>273</v>
      </c>
      <c r="DU37" t="s">
        <v>273</v>
      </c>
      <c r="DV37" t="s">
        <v>273</v>
      </c>
      <c r="DW37" t="s">
        <v>273</v>
      </c>
      <c r="DX37" t="s">
        <v>273</v>
      </c>
      <c r="DY37" t="s">
        <v>273</v>
      </c>
      <c r="DZ37" t="s">
        <v>273</v>
      </c>
      <c r="EA37" t="s">
        <v>273</v>
      </c>
      <c r="EB37" t="s">
        <v>273</v>
      </c>
      <c r="EC37" t="s">
        <v>273</v>
      </c>
      <c r="ED37" t="s">
        <v>274</v>
      </c>
      <c r="EE37" t="s">
        <v>274</v>
      </c>
      <c r="EF37" t="s">
        <v>274</v>
      </c>
      <c r="EG37" t="s">
        <v>274</v>
      </c>
    </row>
    <row r="38" spans="1:137" ht="14.55" customHeight="1" x14ac:dyDescent="0.3">
      <c r="A38" t="s">
        <v>344</v>
      </c>
      <c r="B38">
        <v>2114</v>
      </c>
      <c r="C38" t="s">
        <v>345</v>
      </c>
      <c r="D38" t="s">
        <v>269</v>
      </c>
      <c r="E38" t="s">
        <v>269</v>
      </c>
      <c r="F38" t="s">
        <v>270</v>
      </c>
      <c r="G38" t="s">
        <v>311</v>
      </c>
      <c r="H38" s="3">
        <v>15472553.9651</v>
      </c>
      <c r="I38">
        <v>1547</v>
      </c>
      <c r="J38" s="3">
        <v>1547.2553965099999</v>
      </c>
      <c r="K38">
        <v>630</v>
      </c>
      <c r="L38">
        <v>1204</v>
      </c>
      <c r="M38">
        <v>802.89576975245905</v>
      </c>
      <c r="N38">
        <v>140.02650416078299</v>
      </c>
      <c r="O38">
        <v>0</v>
      </c>
      <c r="P38">
        <v>38.363624572753899</v>
      </c>
      <c r="Q38">
        <v>7.5135436058044398</v>
      </c>
      <c r="R38">
        <v>5.1243810653686497</v>
      </c>
      <c r="S38" t="s">
        <v>272</v>
      </c>
      <c r="T38" t="s">
        <v>344</v>
      </c>
      <c r="U38" t="s">
        <v>345</v>
      </c>
      <c r="V38" t="s">
        <v>345</v>
      </c>
      <c r="W38" s="3">
        <v>1498</v>
      </c>
      <c r="X38" s="3">
        <v>15480000</v>
      </c>
      <c r="Y38">
        <v>3</v>
      </c>
      <c r="Z38" s="3">
        <v>821</v>
      </c>
      <c r="AA38" s="3">
        <v>949</v>
      </c>
      <c r="AB38" s="3">
        <v>1091</v>
      </c>
      <c r="AC38" s="3">
        <v>1165</v>
      </c>
      <c r="AD38" s="3">
        <v>1198</v>
      </c>
      <c r="AE38" s="3">
        <v>1222</v>
      </c>
      <c r="AF38" s="3">
        <v>1243</v>
      </c>
      <c r="AG38" s="3">
        <v>1258</v>
      </c>
      <c r="AH38" s="3">
        <v>1275</v>
      </c>
      <c r="AI38" s="3">
        <v>1310</v>
      </c>
      <c r="AJ38" s="3">
        <v>1297</v>
      </c>
      <c r="AK38" s="3">
        <v>1295</v>
      </c>
      <c r="AL38" s="3">
        <v>1304</v>
      </c>
      <c r="AM38" s="3">
        <v>1347</v>
      </c>
      <c r="AN38" s="3">
        <v>1384</v>
      </c>
      <c r="AO38" s="3">
        <v>1441</v>
      </c>
      <c r="AP38" s="3">
        <v>1498</v>
      </c>
      <c r="AR38" s="4">
        <f t="shared" si="6"/>
        <v>96.816595591063987</v>
      </c>
      <c r="AS38" s="5">
        <f t="shared" si="7"/>
        <v>1.9488428745432398</v>
      </c>
      <c r="AT38" s="5">
        <f t="shared" si="0"/>
        <v>1.6625687858564571</v>
      </c>
      <c r="AU38" s="5">
        <f t="shared" si="1"/>
        <v>1.3932172318973419</v>
      </c>
      <c r="AV38" s="5">
        <f t="shared" si="2"/>
        <v>2.0514883346741755</v>
      </c>
      <c r="AW38" s="5">
        <f t="shared" si="3"/>
        <v>1.9345131475245396</v>
      </c>
      <c r="AX38" s="5">
        <f t="shared" si="4"/>
        <v>1.8652612282309806</v>
      </c>
      <c r="AY38" s="5">
        <f t="shared" si="5"/>
        <v>2.2286598413273198</v>
      </c>
      <c r="AZ38">
        <f t="shared" si="8"/>
        <v>15450000</v>
      </c>
      <c r="BA38">
        <v>0</v>
      </c>
      <c r="BB38">
        <v>490000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10720000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2510000</v>
      </c>
      <c r="BR38">
        <v>1470000</v>
      </c>
      <c r="BS38">
        <v>0</v>
      </c>
      <c r="BT38">
        <v>0</v>
      </c>
      <c r="BU38">
        <v>260000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69</v>
      </c>
      <c r="CC38">
        <v>82</v>
      </c>
      <c r="CD38">
        <v>87</v>
      </c>
      <c r="CE38">
        <v>98</v>
      </c>
      <c r="CF38" s="17">
        <v>4.4544867656552611</v>
      </c>
      <c r="CG38" s="17">
        <v>5.2937378954163981</v>
      </c>
      <c r="CH38" s="17">
        <v>5.616526791478373</v>
      </c>
      <c r="CI38" s="17">
        <v>6.3266623628147194</v>
      </c>
      <c r="CJ38" s="18">
        <v>1</v>
      </c>
      <c r="CK38" s="18">
        <v>1.1884057971014492</v>
      </c>
      <c r="CL38" s="18">
        <v>1.2608695652173914</v>
      </c>
      <c r="CM38" s="18">
        <v>1.4202898550724639</v>
      </c>
      <c r="CN38" s="18">
        <v>0</v>
      </c>
      <c r="CO38" s="18">
        <v>0.83925112976113625</v>
      </c>
      <c r="CP38" s="18">
        <v>1.1620400258231116</v>
      </c>
      <c r="CQ38" s="18">
        <v>1.8721755971594578</v>
      </c>
      <c r="CR38" s="18">
        <f t="shared" si="9"/>
        <v>1.6406820950060901</v>
      </c>
      <c r="CS38" s="18">
        <f t="shared" si="10"/>
        <v>1.1551741281165326</v>
      </c>
      <c r="CT38">
        <v>0</v>
      </c>
      <c r="CU38">
        <v>71.779935275080902</v>
      </c>
      <c r="CV38">
        <v>28.220064724919141</v>
      </c>
      <c r="CW38">
        <v>0</v>
      </c>
      <c r="CX38">
        <v>0</v>
      </c>
      <c r="CY38">
        <v>2.97734627831715</v>
      </c>
      <c r="CZ38">
        <v>70.097087378640794</v>
      </c>
      <c r="DA38">
        <v>26.9255663430421</v>
      </c>
      <c r="DB38">
        <v>0</v>
      </c>
      <c r="DC38">
        <v>0</v>
      </c>
      <c r="DD38">
        <v>2.97734627831715</v>
      </c>
      <c r="DE38">
        <v>70.097087378640794</v>
      </c>
      <c r="DF38">
        <v>26.9255663430421</v>
      </c>
      <c r="DG38">
        <v>0</v>
      </c>
      <c r="DH38">
        <v>0</v>
      </c>
      <c r="DI38">
        <v>3.17152103559871</v>
      </c>
      <c r="DJ38">
        <v>69.385113268608393</v>
      </c>
      <c r="DK38">
        <v>27.443365695792931</v>
      </c>
      <c r="DL38">
        <v>0</v>
      </c>
      <c r="DM38">
        <v>0</v>
      </c>
      <c r="DN38">
        <v>3.17152103559871</v>
      </c>
      <c r="DO38">
        <v>69.385113268608393</v>
      </c>
      <c r="DP38">
        <v>27.443365695792931</v>
      </c>
      <c r="DQ38">
        <v>0</v>
      </c>
      <c r="DR38">
        <v>0</v>
      </c>
      <c r="DS38" t="s">
        <v>273</v>
      </c>
      <c r="DT38" t="s">
        <v>273</v>
      </c>
      <c r="DU38" t="s">
        <v>273</v>
      </c>
      <c r="DV38" t="s">
        <v>273</v>
      </c>
      <c r="DW38" t="s">
        <v>273</v>
      </c>
      <c r="DX38" t="s">
        <v>273</v>
      </c>
      <c r="DY38" t="s">
        <v>273</v>
      </c>
      <c r="DZ38" t="s">
        <v>273</v>
      </c>
      <c r="EA38" t="s">
        <v>273</v>
      </c>
      <c r="EB38" t="s">
        <v>273</v>
      </c>
      <c r="EC38" t="s">
        <v>273</v>
      </c>
      <c r="ED38" t="s">
        <v>274</v>
      </c>
      <c r="EE38" t="s">
        <v>274</v>
      </c>
      <c r="EF38" t="s">
        <v>274</v>
      </c>
      <c r="EG38" t="s">
        <v>274</v>
      </c>
    </row>
    <row r="39" spans="1:137" ht="14.55" customHeight="1" x14ac:dyDescent="0.3">
      <c r="A39" t="s">
        <v>346</v>
      </c>
      <c r="B39">
        <v>2115</v>
      </c>
      <c r="C39" t="s">
        <v>347</v>
      </c>
      <c r="D39" t="s">
        <v>269</v>
      </c>
      <c r="E39" t="s">
        <v>269</v>
      </c>
      <c r="F39" t="s">
        <v>270</v>
      </c>
      <c r="G39" t="s">
        <v>311</v>
      </c>
      <c r="H39" s="3">
        <v>10179874.2369</v>
      </c>
      <c r="I39">
        <v>1012</v>
      </c>
      <c r="J39" s="3">
        <v>1017.98742369</v>
      </c>
      <c r="K39">
        <v>553</v>
      </c>
      <c r="L39">
        <v>731</v>
      </c>
      <c r="M39">
        <v>665.98950350956295</v>
      </c>
      <c r="N39">
        <v>33.688153780475602</v>
      </c>
      <c r="O39">
        <v>0</v>
      </c>
      <c r="P39">
        <v>29.0109157562256</v>
      </c>
      <c r="Q39">
        <v>6.5377030372619602</v>
      </c>
      <c r="R39">
        <v>3.8611218929290798</v>
      </c>
      <c r="S39" t="s">
        <v>272</v>
      </c>
      <c r="T39" t="s">
        <v>346</v>
      </c>
      <c r="U39" t="s">
        <v>347</v>
      </c>
      <c r="V39" t="s">
        <v>347</v>
      </c>
      <c r="W39" s="3">
        <v>973</v>
      </c>
      <c r="X39" s="3">
        <v>10180000</v>
      </c>
      <c r="Y39">
        <v>3</v>
      </c>
      <c r="Z39" s="3">
        <v>520</v>
      </c>
      <c r="AA39" s="3">
        <v>608</v>
      </c>
      <c r="AB39" s="3">
        <v>698</v>
      </c>
      <c r="AC39" s="3">
        <v>721</v>
      </c>
      <c r="AD39" s="3">
        <v>746</v>
      </c>
      <c r="AE39" s="3">
        <v>772</v>
      </c>
      <c r="AF39" s="3">
        <v>783</v>
      </c>
      <c r="AG39" s="3">
        <v>813</v>
      </c>
      <c r="AH39" s="3">
        <v>815</v>
      </c>
      <c r="AI39" s="3">
        <v>851</v>
      </c>
      <c r="AJ39" s="3">
        <v>871</v>
      </c>
      <c r="AK39" s="3">
        <v>883</v>
      </c>
      <c r="AL39" s="3">
        <v>885</v>
      </c>
      <c r="AM39" s="3">
        <v>896</v>
      </c>
      <c r="AN39" s="3">
        <v>933</v>
      </c>
      <c r="AO39" s="3">
        <v>964</v>
      </c>
      <c r="AP39" s="3">
        <v>973</v>
      </c>
      <c r="AR39" s="4">
        <f t="shared" si="6"/>
        <v>95.580748578707428</v>
      </c>
      <c r="AS39" s="5">
        <f t="shared" si="7"/>
        <v>2.1153846153846154</v>
      </c>
      <c r="AT39" s="5">
        <f t="shared" si="0"/>
        <v>1.6447368421052631</v>
      </c>
      <c r="AU39" s="5">
        <f t="shared" si="1"/>
        <v>1.2177650429799427</v>
      </c>
      <c r="AV39" s="5">
        <f t="shared" si="2"/>
        <v>2.4265644955300125</v>
      </c>
      <c r="AW39" s="5">
        <f t="shared" si="3"/>
        <v>2.0135746606334841</v>
      </c>
      <c r="AX39" s="5">
        <f t="shared" si="4"/>
        <v>1.9699140401146131</v>
      </c>
      <c r="AY39" s="5">
        <f t="shared" si="5"/>
        <v>2.3544698544698548</v>
      </c>
      <c r="AZ39">
        <f t="shared" si="8"/>
        <v>10080000</v>
      </c>
      <c r="BA39">
        <v>0</v>
      </c>
      <c r="BB39">
        <v>260000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7230000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2590000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46</v>
      </c>
      <c r="CC39">
        <v>55</v>
      </c>
      <c r="CD39">
        <v>59</v>
      </c>
      <c r="CE39">
        <v>69</v>
      </c>
      <c r="CF39" s="17">
        <v>4.4965786901270777</v>
      </c>
      <c r="CG39" s="17">
        <v>5.376344086021505</v>
      </c>
      <c r="CH39" s="17">
        <v>5.7673509286412505</v>
      </c>
      <c r="CI39" s="17">
        <v>6.7448680351906152</v>
      </c>
      <c r="CJ39" s="18">
        <v>1</v>
      </c>
      <c r="CK39" s="18">
        <v>1.1956521739130435</v>
      </c>
      <c r="CL39" s="18">
        <v>1.2826086956521738</v>
      </c>
      <c r="CM39" s="18">
        <v>1.5</v>
      </c>
      <c r="CN39" s="18">
        <v>0</v>
      </c>
      <c r="CO39" s="18">
        <v>0.87976539589442826</v>
      </c>
      <c r="CP39" s="18">
        <v>1.270772238514174</v>
      </c>
      <c r="CQ39" s="18">
        <v>2.2482893450635388</v>
      </c>
      <c r="CR39" s="18">
        <f t="shared" si="9"/>
        <v>1.7230769230769232</v>
      </c>
      <c r="CS39" s="18">
        <f t="shared" si="10"/>
        <v>1.1487179487179489</v>
      </c>
      <c r="CT39">
        <v>0.99206349206349198</v>
      </c>
      <c r="CU39">
        <v>73.412698412698404</v>
      </c>
      <c r="CV39">
        <v>25.595238095238098</v>
      </c>
      <c r="CW39">
        <v>0</v>
      </c>
      <c r="CX39">
        <v>0</v>
      </c>
      <c r="CY39">
        <v>2.57936507936508</v>
      </c>
      <c r="CZ39">
        <v>72.519841269841294</v>
      </c>
      <c r="DA39">
        <v>24.900793650793631</v>
      </c>
      <c r="DB39">
        <v>0</v>
      </c>
      <c r="DC39">
        <v>0</v>
      </c>
      <c r="DD39">
        <v>2.57936507936508</v>
      </c>
      <c r="DE39">
        <v>72.519841269841294</v>
      </c>
      <c r="DF39">
        <v>24.900793650793631</v>
      </c>
      <c r="DG39">
        <v>0</v>
      </c>
      <c r="DH39">
        <v>0</v>
      </c>
      <c r="DI39">
        <v>2.57936507936508</v>
      </c>
      <c r="DJ39">
        <v>71.726190476190496</v>
      </c>
      <c r="DK39">
        <v>25.6944444444444</v>
      </c>
      <c r="DL39">
        <v>0</v>
      </c>
      <c r="DM39">
        <v>0</v>
      </c>
      <c r="DN39">
        <v>2.57936507936508</v>
      </c>
      <c r="DO39">
        <v>71.726190476190496</v>
      </c>
      <c r="DP39">
        <v>25.6944444444444</v>
      </c>
      <c r="DQ39">
        <v>0</v>
      </c>
      <c r="DR39">
        <v>0</v>
      </c>
      <c r="DS39" t="s">
        <v>273</v>
      </c>
      <c r="DT39" t="s">
        <v>273</v>
      </c>
      <c r="DU39" t="s">
        <v>273</v>
      </c>
      <c r="DV39" t="s">
        <v>273</v>
      </c>
      <c r="DW39" t="s">
        <v>273</v>
      </c>
      <c r="DX39" t="s">
        <v>273</v>
      </c>
      <c r="DY39" t="s">
        <v>273</v>
      </c>
      <c r="DZ39" t="s">
        <v>273</v>
      </c>
      <c r="EA39" t="s">
        <v>273</v>
      </c>
      <c r="EB39" t="s">
        <v>273</v>
      </c>
      <c r="EC39" t="s">
        <v>273</v>
      </c>
      <c r="ED39" t="s">
        <v>274</v>
      </c>
      <c r="EE39" t="s">
        <v>274</v>
      </c>
      <c r="EF39" t="s">
        <v>274</v>
      </c>
      <c r="EG39" t="s">
        <v>274</v>
      </c>
    </row>
    <row r="40" spans="1:137" ht="14.55" customHeight="1" x14ac:dyDescent="0.3">
      <c r="A40" t="s">
        <v>348</v>
      </c>
      <c r="B40">
        <v>2117</v>
      </c>
      <c r="C40" t="s">
        <v>349</v>
      </c>
      <c r="D40" t="s">
        <v>269</v>
      </c>
      <c r="E40" t="s">
        <v>269</v>
      </c>
      <c r="F40" t="s">
        <v>270</v>
      </c>
      <c r="G40" t="s">
        <v>311</v>
      </c>
      <c r="H40" s="3">
        <v>15431303.2574</v>
      </c>
      <c r="I40">
        <v>1541</v>
      </c>
      <c r="J40" s="3">
        <v>1543.13032574</v>
      </c>
      <c r="K40">
        <v>651</v>
      </c>
      <c r="L40">
        <v>836</v>
      </c>
      <c r="M40">
        <v>730.33497704471995</v>
      </c>
      <c r="N40">
        <v>40.7540234331005</v>
      </c>
      <c r="O40">
        <v>0</v>
      </c>
      <c r="P40">
        <v>35.2465629577637</v>
      </c>
      <c r="Q40">
        <v>6.15602827072144</v>
      </c>
      <c r="R40">
        <v>3.8850173950195299</v>
      </c>
      <c r="S40" t="s">
        <v>272</v>
      </c>
      <c r="T40" t="s">
        <v>348</v>
      </c>
      <c r="U40" t="s">
        <v>349</v>
      </c>
      <c r="V40" t="s">
        <v>349</v>
      </c>
      <c r="W40" s="3">
        <v>2303</v>
      </c>
      <c r="X40" s="3">
        <v>15430000</v>
      </c>
      <c r="Y40">
        <v>3</v>
      </c>
      <c r="Z40" s="3">
        <v>1308</v>
      </c>
      <c r="AA40" s="3">
        <v>1592</v>
      </c>
      <c r="AB40" s="3">
        <v>1718</v>
      </c>
      <c r="AC40" s="3">
        <v>1806</v>
      </c>
      <c r="AD40" s="3">
        <v>1850</v>
      </c>
      <c r="AE40" s="3">
        <v>1824</v>
      </c>
      <c r="AF40" s="3">
        <v>1799</v>
      </c>
      <c r="AG40" s="3">
        <v>1841</v>
      </c>
      <c r="AH40" s="3">
        <v>1911</v>
      </c>
      <c r="AI40" s="3">
        <v>2000</v>
      </c>
      <c r="AJ40" s="3">
        <v>2124</v>
      </c>
      <c r="AK40" s="3">
        <v>2134</v>
      </c>
      <c r="AL40" s="3">
        <v>2186</v>
      </c>
      <c r="AM40" s="3">
        <v>2256</v>
      </c>
      <c r="AN40" s="3">
        <v>2312</v>
      </c>
      <c r="AO40" s="3">
        <v>2287</v>
      </c>
      <c r="AP40" s="3">
        <v>2303</v>
      </c>
      <c r="AR40" s="4">
        <f t="shared" si="6"/>
        <v>149.24209326879819</v>
      </c>
      <c r="AS40" s="5">
        <f t="shared" si="7"/>
        <v>2.7140672782874615</v>
      </c>
      <c r="AT40" s="5">
        <f t="shared" si="0"/>
        <v>0.87939698492462315</v>
      </c>
      <c r="AU40" s="5">
        <f t="shared" si="1"/>
        <v>0.47147846332945287</v>
      </c>
      <c r="AV40" s="5">
        <f t="shared" si="2"/>
        <v>2.8015564202334633</v>
      </c>
      <c r="AW40" s="5">
        <f t="shared" si="3"/>
        <v>1.8438568087785572</v>
      </c>
      <c r="AX40" s="5">
        <f t="shared" si="4"/>
        <v>1.70256111757858</v>
      </c>
      <c r="AY40" s="5">
        <f t="shared" si="5"/>
        <v>2.055955037606414</v>
      </c>
      <c r="AZ40">
        <f t="shared" si="8"/>
        <v>15470000</v>
      </c>
      <c r="BA40">
        <v>0</v>
      </c>
      <c r="BB40">
        <v>1060000</v>
      </c>
      <c r="BC40">
        <v>30000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11300000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1860000</v>
      </c>
      <c r="BR40">
        <v>1220000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104</v>
      </c>
      <c r="CC40">
        <v>125</v>
      </c>
      <c r="CD40">
        <v>138</v>
      </c>
      <c r="CE40">
        <v>150</v>
      </c>
      <c r="CF40" s="17">
        <v>6.7357512953367875</v>
      </c>
      <c r="CG40" s="17">
        <v>8.0958549222797931</v>
      </c>
      <c r="CH40" s="17">
        <v>8.937823834196891</v>
      </c>
      <c r="CI40" s="17">
        <v>9.7150259067357503</v>
      </c>
      <c r="CJ40" s="18">
        <v>1</v>
      </c>
      <c r="CK40" s="18">
        <v>1.2019230769230769</v>
      </c>
      <c r="CL40" s="18">
        <v>1.3269230769230769</v>
      </c>
      <c r="CM40" s="18">
        <v>1.4423076923076923</v>
      </c>
      <c r="CN40" s="18">
        <v>0</v>
      </c>
      <c r="CO40" s="18">
        <v>1.3601036269430051</v>
      </c>
      <c r="CP40" s="18">
        <v>2.2020725388601035</v>
      </c>
      <c r="CQ40" s="18">
        <v>2.9792746113989637</v>
      </c>
      <c r="CR40" s="18">
        <f t="shared" si="9"/>
        <v>1.724770642201835</v>
      </c>
      <c r="CS40" s="18">
        <f t="shared" si="10"/>
        <v>1.1958409785932722</v>
      </c>
      <c r="CT40">
        <v>1.7453135100193899</v>
      </c>
      <c r="CU40">
        <v>78.345184227537231</v>
      </c>
      <c r="CV40">
        <v>19.9095022624434</v>
      </c>
      <c r="CW40">
        <v>0</v>
      </c>
      <c r="CX40">
        <v>0</v>
      </c>
      <c r="CY40">
        <v>7.4337427278603752</v>
      </c>
      <c r="CZ40">
        <v>73.303167420814503</v>
      </c>
      <c r="DA40">
        <v>19.263089851325113</v>
      </c>
      <c r="DB40">
        <v>0</v>
      </c>
      <c r="DC40">
        <v>0</v>
      </c>
      <c r="DD40">
        <v>7.4337427278603752</v>
      </c>
      <c r="DE40">
        <v>73.303167420814503</v>
      </c>
      <c r="DF40">
        <v>19.263089851325113</v>
      </c>
      <c r="DG40">
        <v>0</v>
      </c>
      <c r="DH40">
        <v>0</v>
      </c>
      <c r="DI40">
        <v>7.0458952811893987</v>
      </c>
      <c r="DJ40">
        <v>73.044602456367201</v>
      </c>
      <c r="DK40">
        <v>19.9095022624434</v>
      </c>
      <c r="DL40">
        <v>0</v>
      </c>
      <c r="DM40">
        <v>0</v>
      </c>
      <c r="DN40">
        <v>7.0458952811893987</v>
      </c>
      <c r="DO40">
        <v>73.044602456367201</v>
      </c>
      <c r="DP40">
        <v>19.9095022624434</v>
      </c>
      <c r="DQ40">
        <v>0</v>
      </c>
      <c r="DR40">
        <v>0</v>
      </c>
      <c r="DS40" t="s">
        <v>273</v>
      </c>
      <c r="DT40" t="s">
        <v>273</v>
      </c>
      <c r="DU40" t="s">
        <v>273</v>
      </c>
      <c r="DV40" t="s">
        <v>273</v>
      </c>
      <c r="DW40" t="s">
        <v>273</v>
      </c>
      <c r="DX40" t="s">
        <v>273</v>
      </c>
      <c r="DY40" t="s">
        <v>273</v>
      </c>
      <c r="DZ40" t="s">
        <v>273</v>
      </c>
      <c r="EA40" t="s">
        <v>273</v>
      </c>
      <c r="EB40" t="s">
        <v>273</v>
      </c>
      <c r="EC40" t="s">
        <v>273</v>
      </c>
      <c r="ED40" t="s">
        <v>274</v>
      </c>
      <c r="EE40" t="s">
        <v>274</v>
      </c>
      <c r="EF40" t="s">
        <v>274</v>
      </c>
      <c r="EG40" t="s">
        <v>274</v>
      </c>
    </row>
    <row r="41" spans="1:137" ht="14.55" customHeight="1" x14ac:dyDescent="0.3">
      <c r="A41" t="s">
        <v>350</v>
      </c>
      <c r="B41">
        <v>2121</v>
      </c>
      <c r="C41" t="s">
        <v>351</v>
      </c>
      <c r="D41" t="s">
        <v>269</v>
      </c>
      <c r="E41" t="s">
        <v>269</v>
      </c>
      <c r="F41" t="s">
        <v>270</v>
      </c>
      <c r="G41" t="s">
        <v>352</v>
      </c>
      <c r="H41" s="3">
        <v>60266289.105099998</v>
      </c>
      <c r="I41">
        <v>6011</v>
      </c>
      <c r="J41" s="3">
        <v>6026.6289105099995</v>
      </c>
      <c r="K41">
        <v>713</v>
      </c>
      <c r="L41">
        <v>2095</v>
      </c>
      <c r="M41">
        <v>1246.38707456979</v>
      </c>
      <c r="N41">
        <v>309.93008232707399</v>
      </c>
      <c r="O41">
        <v>0</v>
      </c>
      <c r="P41">
        <v>71.951736450195298</v>
      </c>
      <c r="Q41">
        <v>22.410690307617202</v>
      </c>
      <c r="R41">
        <v>11.443118095397899</v>
      </c>
      <c r="S41" t="s">
        <v>272</v>
      </c>
      <c r="T41" t="s">
        <v>350</v>
      </c>
      <c r="U41" t="s">
        <v>351</v>
      </c>
      <c r="V41" t="s">
        <v>351</v>
      </c>
      <c r="W41" s="3">
        <v>1559</v>
      </c>
      <c r="X41" s="3">
        <v>60270000</v>
      </c>
      <c r="Y41">
        <v>3</v>
      </c>
      <c r="Z41" s="3">
        <v>1233</v>
      </c>
      <c r="AA41" s="3">
        <v>1298</v>
      </c>
      <c r="AB41" s="3">
        <v>1352</v>
      </c>
      <c r="AC41" s="3">
        <v>1429</v>
      </c>
      <c r="AD41" s="3">
        <v>1435</v>
      </c>
      <c r="AE41" s="3">
        <v>1435</v>
      </c>
      <c r="AF41" s="3">
        <v>1433</v>
      </c>
      <c r="AG41" s="3">
        <v>1416</v>
      </c>
      <c r="AH41" s="3">
        <v>1412</v>
      </c>
      <c r="AI41" s="3">
        <v>1424</v>
      </c>
      <c r="AJ41" s="3">
        <v>1445</v>
      </c>
      <c r="AK41" s="3">
        <v>1488</v>
      </c>
      <c r="AL41" s="3">
        <v>1523</v>
      </c>
      <c r="AM41" s="3">
        <v>1541</v>
      </c>
      <c r="AN41" s="3">
        <v>1542</v>
      </c>
      <c r="AO41" s="3">
        <v>1542</v>
      </c>
      <c r="AP41" s="3">
        <v>1559</v>
      </c>
      <c r="AR41" s="4">
        <f t="shared" si="6"/>
        <v>25.86852489426084</v>
      </c>
      <c r="AS41" s="5">
        <f t="shared" si="7"/>
        <v>0.65896188158961888</v>
      </c>
      <c r="AT41" s="5">
        <f t="shared" si="0"/>
        <v>0.46224961479198773</v>
      </c>
      <c r="AU41" s="5">
        <f t="shared" si="1"/>
        <v>0.59911242603550297</v>
      </c>
      <c r="AV41" s="5">
        <f t="shared" si="2"/>
        <v>0.87927424982554081</v>
      </c>
      <c r="AW41" s="5">
        <f t="shared" si="3"/>
        <v>0.56772100567721007</v>
      </c>
      <c r="AX41" s="5">
        <f t="shared" si="4"/>
        <v>0.76553254437869822</v>
      </c>
      <c r="AY41" s="5">
        <f t="shared" si="5"/>
        <v>0.7145831963350211</v>
      </c>
      <c r="AZ41">
        <f t="shared" si="8"/>
        <v>60120000</v>
      </c>
      <c r="BA41">
        <v>0</v>
      </c>
      <c r="BB41">
        <v>600000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17170000</v>
      </c>
      <c r="BN41">
        <v>0</v>
      </c>
      <c r="BO41">
        <v>0</v>
      </c>
      <c r="BP41">
        <v>1590000</v>
      </c>
      <c r="BQ41">
        <v>6510000</v>
      </c>
      <c r="BR41">
        <v>13470000</v>
      </c>
      <c r="BS41">
        <v>15910000</v>
      </c>
      <c r="BT41">
        <v>200000</v>
      </c>
      <c r="BU41">
        <v>3080000</v>
      </c>
      <c r="BV41">
        <v>0</v>
      </c>
      <c r="BW41">
        <v>0</v>
      </c>
      <c r="BX41">
        <v>1590000</v>
      </c>
      <c r="BY41">
        <v>0</v>
      </c>
      <c r="BZ41">
        <v>0</v>
      </c>
      <c r="CA41">
        <v>0</v>
      </c>
      <c r="CB41">
        <v>102</v>
      </c>
      <c r="CC41">
        <v>140</v>
      </c>
      <c r="CD41">
        <v>154</v>
      </c>
      <c r="CE41">
        <v>160</v>
      </c>
      <c r="CF41" s="17">
        <v>1.691542288557214</v>
      </c>
      <c r="CG41" s="17">
        <v>2.3217247097844109</v>
      </c>
      <c r="CH41" s="17">
        <v>2.5538971807628523</v>
      </c>
      <c r="CI41" s="17">
        <v>2.6533996683250414</v>
      </c>
      <c r="CJ41" s="18">
        <v>1</v>
      </c>
      <c r="CK41" s="18">
        <v>1.3725490196078431</v>
      </c>
      <c r="CL41" s="18">
        <v>1.5098039215686274</v>
      </c>
      <c r="CM41" s="18">
        <v>1.5686274509803921</v>
      </c>
      <c r="CN41" s="18">
        <v>0</v>
      </c>
      <c r="CO41" s="18">
        <v>0.63018242122719736</v>
      </c>
      <c r="CP41" s="18">
        <v>0.86235489220563843</v>
      </c>
      <c r="CQ41" s="18">
        <v>0.96185737976782759</v>
      </c>
      <c r="CR41" s="18">
        <f t="shared" si="9"/>
        <v>1.2497972424979724</v>
      </c>
      <c r="CS41" s="18">
        <f t="shared" si="10"/>
        <v>0.79674574209245741</v>
      </c>
      <c r="CT41">
        <v>0.51563539587491702</v>
      </c>
      <c r="CU41">
        <v>12.624750499002028</v>
      </c>
      <c r="CV41">
        <v>86.360612109115095</v>
      </c>
      <c r="CW41">
        <v>0</v>
      </c>
      <c r="CX41">
        <v>0.49900199600798401</v>
      </c>
      <c r="CY41">
        <v>1.0146373918828999</v>
      </c>
      <c r="CZ41">
        <v>49.184963406520303</v>
      </c>
      <c r="DA41">
        <v>49.800399201596839</v>
      </c>
      <c r="DB41">
        <v>0</v>
      </c>
      <c r="DC41">
        <v>0</v>
      </c>
      <c r="DD41">
        <v>1.0146373918828999</v>
      </c>
      <c r="DE41">
        <v>49.201596806387201</v>
      </c>
      <c r="DF41">
        <v>49.783765801729942</v>
      </c>
      <c r="DG41">
        <v>0</v>
      </c>
      <c r="DH41">
        <v>0</v>
      </c>
      <c r="DI41">
        <v>0.99800399201596801</v>
      </c>
      <c r="DJ41">
        <v>28.559547571523598</v>
      </c>
      <c r="DK41">
        <v>70.442448436460424</v>
      </c>
      <c r="DL41">
        <v>0</v>
      </c>
      <c r="DM41">
        <v>0</v>
      </c>
      <c r="DN41">
        <v>0.99800399201596801</v>
      </c>
      <c r="DO41">
        <v>28.559547571523598</v>
      </c>
      <c r="DP41">
        <v>70.442448436460424</v>
      </c>
      <c r="DQ41">
        <v>0</v>
      </c>
      <c r="DR41">
        <v>0</v>
      </c>
      <c r="DS41" t="s">
        <v>273</v>
      </c>
      <c r="DT41" t="s">
        <v>273</v>
      </c>
      <c r="DU41" t="s">
        <v>273</v>
      </c>
      <c r="DV41" t="s">
        <v>273</v>
      </c>
      <c r="DW41" t="s">
        <v>273</v>
      </c>
      <c r="DX41" t="s">
        <v>273</v>
      </c>
      <c r="DY41" t="s">
        <v>273</v>
      </c>
      <c r="DZ41" t="s">
        <v>273</v>
      </c>
      <c r="EA41" t="s">
        <v>273</v>
      </c>
      <c r="EB41" t="s">
        <v>273</v>
      </c>
      <c r="EC41" t="s">
        <v>273</v>
      </c>
      <c r="ED41" t="s">
        <v>274</v>
      </c>
      <c r="EE41" t="s">
        <v>274</v>
      </c>
      <c r="EF41" t="s">
        <v>274</v>
      </c>
      <c r="EG41" t="s">
        <v>274</v>
      </c>
    </row>
    <row r="42" spans="1:137" ht="14.55" customHeight="1" x14ac:dyDescent="0.3">
      <c r="A42" t="s">
        <v>353</v>
      </c>
      <c r="B42">
        <v>2122</v>
      </c>
      <c r="C42" t="s">
        <v>354</v>
      </c>
      <c r="D42" t="s">
        <v>269</v>
      </c>
      <c r="E42" t="s">
        <v>269</v>
      </c>
      <c r="F42" t="s">
        <v>270</v>
      </c>
      <c r="G42" t="s">
        <v>352</v>
      </c>
      <c r="H42" s="3">
        <v>11970828.866699999</v>
      </c>
      <c r="I42">
        <v>1017</v>
      </c>
      <c r="J42" s="3">
        <v>1014.1375824999999</v>
      </c>
      <c r="K42">
        <v>670</v>
      </c>
      <c r="L42">
        <v>1187</v>
      </c>
      <c r="M42">
        <v>816.40654719544602</v>
      </c>
      <c r="N42">
        <v>115.807302824796</v>
      </c>
      <c r="O42">
        <v>0</v>
      </c>
      <c r="P42">
        <v>39.931858062744098</v>
      </c>
      <c r="Q42">
        <v>9.2431211471557599</v>
      </c>
      <c r="R42">
        <v>5.76625299453735</v>
      </c>
      <c r="S42" t="s">
        <v>272</v>
      </c>
      <c r="T42" t="s">
        <v>353</v>
      </c>
      <c r="U42" t="s">
        <v>354</v>
      </c>
      <c r="V42" t="s">
        <v>354</v>
      </c>
      <c r="W42" s="3">
        <v>1920</v>
      </c>
      <c r="X42" s="3">
        <v>10160000</v>
      </c>
      <c r="Y42">
        <v>3</v>
      </c>
      <c r="Z42" s="3">
        <v>909</v>
      </c>
      <c r="AA42" s="3">
        <v>1022</v>
      </c>
      <c r="AB42" s="3">
        <v>1331</v>
      </c>
      <c r="AC42" s="3">
        <v>1538</v>
      </c>
      <c r="AD42" s="3">
        <v>1562</v>
      </c>
      <c r="AE42" s="3">
        <v>1568</v>
      </c>
      <c r="AF42" s="3">
        <v>1609</v>
      </c>
      <c r="AG42" s="3">
        <v>1596</v>
      </c>
      <c r="AH42" s="3">
        <v>1631</v>
      </c>
      <c r="AI42" s="3">
        <v>1665</v>
      </c>
      <c r="AJ42" s="3">
        <v>1711</v>
      </c>
      <c r="AK42" s="3">
        <v>1749</v>
      </c>
      <c r="AL42" s="3">
        <v>1775</v>
      </c>
      <c r="AM42" s="3">
        <v>1801</v>
      </c>
      <c r="AN42" s="3">
        <v>1807</v>
      </c>
      <c r="AO42" s="3">
        <v>1824</v>
      </c>
      <c r="AP42" s="3">
        <v>1920</v>
      </c>
      <c r="AR42" s="4">
        <f t="shared" si="6"/>
        <v>189.3234244674095</v>
      </c>
      <c r="AS42" s="5">
        <f t="shared" si="7"/>
        <v>1.5539053905390539</v>
      </c>
      <c r="AT42" s="5">
        <f t="shared" si="0"/>
        <v>3.3594259621656879</v>
      </c>
      <c r="AU42" s="5">
        <f t="shared" si="1"/>
        <v>2.0886551465063863</v>
      </c>
      <c r="AV42" s="5">
        <f t="shared" si="2"/>
        <v>1.9328775637041642</v>
      </c>
      <c r="AW42" s="5">
        <f t="shared" si="3"/>
        <v>2.7308613214262603</v>
      </c>
      <c r="AX42" s="5">
        <f t="shared" si="4"/>
        <v>2.2126220886551464</v>
      </c>
      <c r="AY42" s="5">
        <f t="shared" si="5"/>
        <v>3.005976273303006</v>
      </c>
      <c r="AZ42">
        <f t="shared" si="8"/>
        <v>10150000</v>
      </c>
      <c r="BA42">
        <v>0</v>
      </c>
      <c r="BB42">
        <v>950000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4400000</v>
      </c>
      <c r="BK42">
        <v>0</v>
      </c>
      <c r="BL42">
        <v>0</v>
      </c>
      <c r="BM42">
        <v>2740000</v>
      </c>
      <c r="BN42">
        <v>0</v>
      </c>
      <c r="BO42">
        <v>0</v>
      </c>
      <c r="BP42">
        <v>0</v>
      </c>
      <c r="BQ42">
        <v>1370000</v>
      </c>
      <c r="BR42">
        <v>530000</v>
      </c>
      <c r="BS42">
        <v>0</v>
      </c>
      <c r="BT42">
        <v>0</v>
      </c>
      <c r="BU42">
        <v>50000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110000</v>
      </c>
      <c r="CB42">
        <v>122</v>
      </c>
      <c r="CC42">
        <v>118</v>
      </c>
      <c r="CD42">
        <v>124</v>
      </c>
      <c r="CE42">
        <v>139</v>
      </c>
      <c r="CF42" s="17">
        <v>12.055335968379447</v>
      </c>
      <c r="CG42" s="17">
        <v>11.6600790513834</v>
      </c>
      <c r="CH42" s="17">
        <v>12.252964426877471</v>
      </c>
      <c r="CI42" s="17">
        <v>13.73517786561265</v>
      </c>
      <c r="CJ42" s="18">
        <v>1</v>
      </c>
      <c r="CK42" s="18">
        <v>0.96721311475409832</v>
      </c>
      <c r="CL42" s="18">
        <v>1.0163934426229508</v>
      </c>
      <c r="CM42" s="18">
        <v>1.139344262295082</v>
      </c>
      <c r="CN42" s="18">
        <v>0</v>
      </c>
      <c r="CO42" s="18">
        <v>-0.39525691699604742</v>
      </c>
      <c r="CP42" s="18">
        <v>0.19762845849802371</v>
      </c>
      <c r="CQ42" s="18">
        <v>1.6798418972332017</v>
      </c>
      <c r="CR42" s="18">
        <f t="shared" si="9"/>
        <v>1.9812981298129813</v>
      </c>
      <c r="CS42" s="18">
        <f t="shared" si="10"/>
        <v>1.7389810923538396</v>
      </c>
      <c r="CT42">
        <v>9.7536945812807812</v>
      </c>
      <c r="CU42">
        <v>65.221674876847302</v>
      </c>
      <c r="CV42">
        <v>22.561576354679779</v>
      </c>
      <c r="CW42">
        <v>0</v>
      </c>
      <c r="CX42">
        <v>2.4630541871921201</v>
      </c>
      <c r="CY42">
        <v>2.7586206896551699</v>
      </c>
      <c r="CZ42">
        <v>77.931034482758605</v>
      </c>
      <c r="DA42">
        <v>18.226600985221701</v>
      </c>
      <c r="DB42">
        <v>0</v>
      </c>
      <c r="DC42">
        <v>1.08374384236453</v>
      </c>
      <c r="DD42">
        <v>2.7586206896551699</v>
      </c>
      <c r="DE42">
        <v>77.931034482758605</v>
      </c>
      <c r="DF42">
        <v>18.226600985221701</v>
      </c>
      <c r="DG42">
        <v>0</v>
      </c>
      <c r="DH42">
        <v>1.08374384236453</v>
      </c>
      <c r="DI42">
        <v>9.3596059113300498</v>
      </c>
      <c r="DJ42">
        <v>70.344827586206904</v>
      </c>
      <c r="DK42">
        <v>19.211822660098523</v>
      </c>
      <c r="DL42">
        <v>0</v>
      </c>
      <c r="DM42">
        <v>1.08374384236453</v>
      </c>
      <c r="DN42">
        <v>9.3596059113300498</v>
      </c>
      <c r="DO42">
        <v>70.344827586206904</v>
      </c>
      <c r="DP42">
        <v>19.211822660098523</v>
      </c>
      <c r="DQ42">
        <v>0</v>
      </c>
      <c r="DR42">
        <v>1.08374384236453</v>
      </c>
      <c r="DS42" t="s">
        <v>355</v>
      </c>
      <c r="DT42">
        <v>0</v>
      </c>
      <c r="DU42">
        <v>1973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 t="s">
        <v>274</v>
      </c>
      <c r="EE42" t="s">
        <v>274</v>
      </c>
      <c r="EF42" t="s">
        <v>274</v>
      </c>
      <c r="EG42" t="s">
        <v>274</v>
      </c>
    </row>
    <row r="43" spans="1:137" ht="14.55" customHeight="1" x14ac:dyDescent="0.3">
      <c r="A43" t="s">
        <v>356</v>
      </c>
      <c r="B43">
        <v>2123</v>
      </c>
      <c r="C43" t="s">
        <v>357</v>
      </c>
      <c r="D43" t="s">
        <v>269</v>
      </c>
      <c r="E43" t="s">
        <v>269</v>
      </c>
      <c r="F43" t="s">
        <v>270</v>
      </c>
      <c r="G43" t="s">
        <v>352</v>
      </c>
      <c r="H43" s="3">
        <v>4533288.6727999998</v>
      </c>
      <c r="I43">
        <v>427</v>
      </c>
      <c r="J43" s="3">
        <v>427.51352752499997</v>
      </c>
      <c r="K43">
        <v>658</v>
      </c>
      <c r="L43">
        <v>1440</v>
      </c>
      <c r="M43">
        <v>861.02701872889202</v>
      </c>
      <c r="N43">
        <v>174.92825901076699</v>
      </c>
      <c r="O43">
        <v>0</v>
      </c>
      <c r="P43">
        <v>50.389312744140597</v>
      </c>
      <c r="Q43">
        <v>14.6779870986938</v>
      </c>
      <c r="R43">
        <v>9.8991165161132795</v>
      </c>
      <c r="S43" t="s">
        <v>272</v>
      </c>
      <c r="T43" t="s">
        <v>356</v>
      </c>
      <c r="U43" t="s">
        <v>357</v>
      </c>
      <c r="V43" t="s">
        <v>357</v>
      </c>
      <c r="W43" s="3">
        <v>616</v>
      </c>
      <c r="X43" s="3">
        <v>4270000</v>
      </c>
      <c r="Y43">
        <v>3</v>
      </c>
      <c r="Z43" s="3">
        <v>270</v>
      </c>
      <c r="AA43" s="3">
        <v>306</v>
      </c>
      <c r="AB43" s="3">
        <v>390</v>
      </c>
      <c r="AC43" s="3">
        <v>460</v>
      </c>
      <c r="AD43" s="3">
        <v>472</v>
      </c>
      <c r="AE43" s="3">
        <v>466</v>
      </c>
      <c r="AF43" s="3">
        <v>470</v>
      </c>
      <c r="AG43" s="3">
        <v>483</v>
      </c>
      <c r="AH43" s="3">
        <v>492</v>
      </c>
      <c r="AI43" s="3">
        <v>504</v>
      </c>
      <c r="AJ43" s="3">
        <v>521</v>
      </c>
      <c r="AK43" s="3">
        <v>529</v>
      </c>
      <c r="AL43" s="3">
        <v>546</v>
      </c>
      <c r="AM43" s="3">
        <v>569</v>
      </c>
      <c r="AN43" s="3">
        <v>568</v>
      </c>
      <c r="AO43" s="3">
        <v>577</v>
      </c>
      <c r="AP43" s="3">
        <v>616</v>
      </c>
      <c r="AR43" s="4">
        <f t="shared" si="6"/>
        <v>144.08900779495869</v>
      </c>
      <c r="AS43" s="5">
        <f t="shared" si="7"/>
        <v>1.6666666666666667</v>
      </c>
      <c r="AT43" s="5">
        <f t="shared" si="0"/>
        <v>3.0501089324618742</v>
      </c>
      <c r="AU43" s="5">
        <f t="shared" si="1"/>
        <v>2.0512820512820511</v>
      </c>
      <c r="AV43" s="5">
        <f t="shared" si="2"/>
        <v>3.1063829787234045</v>
      </c>
      <c r="AW43" s="5">
        <f t="shared" si="3"/>
        <v>2.6143790849673199</v>
      </c>
      <c r="AX43" s="5">
        <f t="shared" si="4"/>
        <v>2.8974358974358978</v>
      </c>
      <c r="AY43" s="5">
        <f t="shared" si="5"/>
        <v>3.4634634634634636</v>
      </c>
      <c r="AZ43">
        <f t="shared" si="8"/>
        <v>4280000</v>
      </c>
      <c r="BA43">
        <v>0</v>
      </c>
      <c r="BB43">
        <v>270000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10000</v>
      </c>
      <c r="BK43">
        <v>0</v>
      </c>
      <c r="BL43">
        <v>0</v>
      </c>
      <c r="BM43">
        <v>1820000</v>
      </c>
      <c r="BN43">
        <v>0</v>
      </c>
      <c r="BO43">
        <v>0</v>
      </c>
      <c r="BP43">
        <v>0</v>
      </c>
      <c r="BQ43">
        <v>550000</v>
      </c>
      <c r="BR43">
        <v>1440000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190000</v>
      </c>
      <c r="BZ43">
        <v>0</v>
      </c>
      <c r="CA43">
        <v>0</v>
      </c>
      <c r="CB43">
        <v>34</v>
      </c>
      <c r="CC43">
        <v>35</v>
      </c>
      <c r="CD43">
        <v>37</v>
      </c>
      <c r="CE43">
        <v>40</v>
      </c>
      <c r="CF43" s="17">
        <v>7.9439252336448591</v>
      </c>
      <c r="CG43" s="17">
        <v>8.1775700934579429</v>
      </c>
      <c r="CH43" s="17">
        <v>8.6448598130841123</v>
      </c>
      <c r="CI43" s="17">
        <v>9.3457943925233646</v>
      </c>
      <c r="CJ43" s="18">
        <v>1</v>
      </c>
      <c r="CK43" s="18">
        <v>1.0294117647058822</v>
      </c>
      <c r="CL43" s="18">
        <v>1.088235294117647</v>
      </c>
      <c r="CM43" s="18">
        <v>1.1764705882352942</v>
      </c>
      <c r="CN43" s="18">
        <v>0</v>
      </c>
      <c r="CO43" s="18">
        <v>0.23364485981308408</v>
      </c>
      <c r="CP43" s="18">
        <v>0.7009345794392523</v>
      </c>
      <c r="CQ43" s="18">
        <v>1.4018691588785046</v>
      </c>
      <c r="CR43" s="18">
        <f t="shared" si="9"/>
        <v>2.1074074074074076</v>
      </c>
      <c r="CS43" s="18">
        <f t="shared" si="10"/>
        <v>1.7912962962962964</v>
      </c>
      <c r="CT43">
        <v>4.4392523364485941</v>
      </c>
      <c r="CU43">
        <v>27.1028037383177</v>
      </c>
      <c r="CV43">
        <v>58.878504672897201</v>
      </c>
      <c r="CW43">
        <v>1.4018691588784999</v>
      </c>
      <c r="CX43">
        <v>8.1775700934579394</v>
      </c>
      <c r="CY43">
        <v>6.3084112149532698</v>
      </c>
      <c r="CZ43">
        <v>42.757009345794401</v>
      </c>
      <c r="DA43">
        <v>46.495327102803799</v>
      </c>
      <c r="DB43">
        <v>3.7383177570093502</v>
      </c>
      <c r="DC43">
        <v>0.70093457943925197</v>
      </c>
      <c r="DD43">
        <v>6.3084112149532698</v>
      </c>
      <c r="DE43">
        <v>42.757009345794351</v>
      </c>
      <c r="DF43">
        <v>46.495327102803799</v>
      </c>
      <c r="DG43">
        <v>3.7383177570093502</v>
      </c>
      <c r="DH43">
        <v>0.70093457943925197</v>
      </c>
      <c r="DI43">
        <v>6.3084112149532698</v>
      </c>
      <c r="DJ43">
        <v>42.75700934579438</v>
      </c>
      <c r="DK43">
        <v>46.495327102803799</v>
      </c>
      <c r="DL43">
        <v>4.4392523364486003</v>
      </c>
      <c r="DM43">
        <v>0</v>
      </c>
      <c r="DN43">
        <v>6.3084112149532698</v>
      </c>
      <c r="DO43">
        <v>42.75700934579438</v>
      </c>
      <c r="DP43">
        <v>46.495327102803799</v>
      </c>
      <c r="DQ43">
        <v>4.4392523364486003</v>
      </c>
      <c r="DR43">
        <v>0</v>
      </c>
      <c r="DS43" t="s">
        <v>273</v>
      </c>
      <c r="DT43" t="s">
        <v>273</v>
      </c>
      <c r="DU43" t="s">
        <v>273</v>
      </c>
      <c r="DV43" t="s">
        <v>273</v>
      </c>
      <c r="DW43" t="s">
        <v>273</v>
      </c>
      <c r="DX43" t="s">
        <v>273</v>
      </c>
      <c r="DY43" t="s">
        <v>273</v>
      </c>
      <c r="DZ43" t="s">
        <v>273</v>
      </c>
      <c r="EA43" t="s">
        <v>273</v>
      </c>
      <c r="EB43" t="s">
        <v>273</v>
      </c>
      <c r="EC43" t="s">
        <v>273</v>
      </c>
      <c r="ED43" t="s">
        <v>274</v>
      </c>
      <c r="EE43" t="s">
        <v>274</v>
      </c>
      <c r="EF43" t="s">
        <v>274</v>
      </c>
      <c r="EG43" t="s">
        <v>274</v>
      </c>
    </row>
    <row r="44" spans="1:137" ht="14.55" customHeight="1" x14ac:dyDescent="0.3">
      <c r="A44" t="s">
        <v>358</v>
      </c>
      <c r="B44">
        <v>2124</v>
      </c>
      <c r="C44" t="s">
        <v>359</v>
      </c>
      <c r="D44" t="s">
        <v>269</v>
      </c>
      <c r="E44" t="s">
        <v>269</v>
      </c>
      <c r="F44" t="s">
        <v>270</v>
      </c>
      <c r="G44" t="s">
        <v>352</v>
      </c>
      <c r="H44" s="3">
        <v>10032792.725400001</v>
      </c>
      <c r="I44">
        <v>1001</v>
      </c>
      <c r="J44" s="3">
        <v>1003.1400885099999</v>
      </c>
      <c r="K44">
        <v>665</v>
      </c>
      <c r="L44">
        <v>1775</v>
      </c>
      <c r="M44">
        <v>936.41749099246704</v>
      </c>
      <c r="N44">
        <v>253.745470620579</v>
      </c>
      <c r="O44">
        <v>0</v>
      </c>
      <c r="P44">
        <v>63.803596496582003</v>
      </c>
      <c r="Q44">
        <v>18.7894687652588</v>
      </c>
      <c r="R44">
        <v>13.298362731933601</v>
      </c>
      <c r="S44" t="s">
        <v>272</v>
      </c>
      <c r="T44" t="s">
        <v>358</v>
      </c>
      <c r="U44" t="s">
        <v>359</v>
      </c>
      <c r="V44" t="s">
        <v>359</v>
      </c>
      <c r="W44" s="3">
        <v>2627</v>
      </c>
      <c r="X44" s="3">
        <v>10030000</v>
      </c>
      <c r="Y44">
        <v>3</v>
      </c>
      <c r="Z44" s="3">
        <v>1818</v>
      </c>
      <c r="AA44" s="3">
        <v>1890</v>
      </c>
      <c r="AB44" s="3">
        <v>2052</v>
      </c>
      <c r="AC44" s="3">
        <v>2134</v>
      </c>
      <c r="AD44" s="3">
        <v>2206</v>
      </c>
      <c r="AE44" s="3">
        <v>2204</v>
      </c>
      <c r="AF44" s="3">
        <v>2217</v>
      </c>
      <c r="AG44" s="3">
        <v>2288</v>
      </c>
      <c r="AH44" s="3">
        <v>2278</v>
      </c>
      <c r="AI44" s="3">
        <v>2442</v>
      </c>
      <c r="AJ44" s="3">
        <v>2500</v>
      </c>
      <c r="AK44" s="3">
        <v>2514</v>
      </c>
      <c r="AL44" s="3">
        <v>2506</v>
      </c>
      <c r="AM44" s="3">
        <v>2632</v>
      </c>
      <c r="AN44" s="3">
        <v>2652</v>
      </c>
      <c r="AO44" s="3">
        <v>2651</v>
      </c>
      <c r="AP44" s="3">
        <v>2627</v>
      </c>
      <c r="AR44" s="4">
        <f t="shared" si="6"/>
        <v>261.87768090317053</v>
      </c>
      <c r="AS44" s="5">
        <f t="shared" si="7"/>
        <v>0.49504950495049505</v>
      </c>
      <c r="AT44" s="5">
        <f t="shared" si="0"/>
        <v>0.95238095238095244</v>
      </c>
      <c r="AU44" s="5">
        <f t="shared" si="1"/>
        <v>0.80409356725146197</v>
      </c>
      <c r="AV44" s="5">
        <f t="shared" si="2"/>
        <v>1.8493459630130806</v>
      </c>
      <c r="AW44" s="5">
        <f t="shared" si="3"/>
        <v>0.75713453698311006</v>
      </c>
      <c r="AX44" s="5">
        <f t="shared" si="4"/>
        <v>1.4010721247563354</v>
      </c>
      <c r="AY44" s="5">
        <f t="shared" si="5"/>
        <v>1.2026878363512028</v>
      </c>
      <c r="AZ44">
        <f t="shared" si="8"/>
        <v>10010000</v>
      </c>
      <c r="BA44">
        <v>0</v>
      </c>
      <c r="BB44">
        <v>690000</v>
      </c>
      <c r="BC44">
        <v>250000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1140000</v>
      </c>
      <c r="BK44">
        <v>0</v>
      </c>
      <c r="BL44">
        <v>0</v>
      </c>
      <c r="BM44">
        <v>2580000</v>
      </c>
      <c r="BN44">
        <v>0</v>
      </c>
      <c r="BO44">
        <v>0</v>
      </c>
      <c r="BP44">
        <v>150000</v>
      </c>
      <c r="BQ44">
        <v>3180000</v>
      </c>
      <c r="BR44">
        <v>1060000</v>
      </c>
      <c r="BS44">
        <v>640000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190000</v>
      </c>
      <c r="BZ44">
        <v>0</v>
      </c>
      <c r="CA44">
        <v>130000</v>
      </c>
      <c r="CB44">
        <v>79</v>
      </c>
      <c r="CC44">
        <v>92</v>
      </c>
      <c r="CD44">
        <v>91</v>
      </c>
      <c r="CE44">
        <v>102</v>
      </c>
      <c r="CF44" s="17">
        <v>7.8528827037773361</v>
      </c>
      <c r="CG44" s="17">
        <v>9.1451292246520879</v>
      </c>
      <c r="CH44" s="17">
        <v>9.0457256461232607</v>
      </c>
      <c r="CI44" s="17">
        <v>10.139165009940358</v>
      </c>
      <c r="CJ44" s="18">
        <v>1</v>
      </c>
      <c r="CK44" s="18">
        <v>1.1645569620253164</v>
      </c>
      <c r="CL44" s="18">
        <v>1.1518987341772151</v>
      </c>
      <c r="CM44" s="18">
        <v>1.2911392405063291</v>
      </c>
      <c r="CN44" s="18">
        <v>0</v>
      </c>
      <c r="CO44" s="18">
        <v>1.2922465208747516</v>
      </c>
      <c r="CP44" s="18">
        <v>1.1928429423459244</v>
      </c>
      <c r="CQ44" s="18">
        <v>2.286282306163022</v>
      </c>
      <c r="CR44" s="18">
        <f t="shared" si="9"/>
        <v>1.4477447744774476</v>
      </c>
      <c r="CS44" s="18">
        <f t="shared" si="10"/>
        <v>1.1212925214090035</v>
      </c>
      <c r="CT44">
        <v>10.0899100899101</v>
      </c>
      <c r="CU44">
        <v>21.978021978021989</v>
      </c>
      <c r="CV44">
        <v>66.3336663336664</v>
      </c>
      <c r="CW44">
        <v>0</v>
      </c>
      <c r="CX44">
        <v>1.5984015984016</v>
      </c>
      <c r="CY44">
        <v>9.290709290709291</v>
      </c>
      <c r="CZ44">
        <v>37.562437562437601</v>
      </c>
      <c r="DA44">
        <v>49.950049950049987</v>
      </c>
      <c r="DB44">
        <v>1.8981018981019</v>
      </c>
      <c r="DC44">
        <v>1.2987012987013</v>
      </c>
      <c r="DD44">
        <v>9.290709290709291</v>
      </c>
      <c r="DE44">
        <v>37.562437562437601</v>
      </c>
      <c r="DF44">
        <v>49.950049950049987</v>
      </c>
      <c r="DG44">
        <v>1.8981018981019</v>
      </c>
      <c r="DH44">
        <v>1.2987012987013</v>
      </c>
      <c r="DI44">
        <v>9.3906093906093897</v>
      </c>
      <c r="DJ44">
        <v>37.162837162837199</v>
      </c>
      <c r="DK44">
        <v>50.249750249750292</v>
      </c>
      <c r="DL44">
        <v>1.8981018981019</v>
      </c>
      <c r="DM44">
        <v>1.2987012987013</v>
      </c>
      <c r="DN44">
        <v>9.3906093906093897</v>
      </c>
      <c r="DO44">
        <v>37.162837162837199</v>
      </c>
      <c r="DP44">
        <v>50.249750249750292</v>
      </c>
      <c r="DQ44">
        <v>1.8981018981019</v>
      </c>
      <c r="DR44">
        <v>1.2987012987013</v>
      </c>
      <c r="DS44" t="s">
        <v>312</v>
      </c>
      <c r="DT44" t="s">
        <v>313</v>
      </c>
      <c r="DU44">
        <v>2649</v>
      </c>
      <c r="DV44">
        <v>2125</v>
      </c>
      <c r="DW44" t="s">
        <v>360</v>
      </c>
      <c r="DX44">
        <v>7</v>
      </c>
      <c r="DY44">
        <v>0</v>
      </c>
      <c r="DZ44">
        <v>7</v>
      </c>
      <c r="EA44">
        <v>36658</v>
      </c>
      <c r="EB44">
        <v>0</v>
      </c>
      <c r="EC44">
        <v>36658</v>
      </c>
      <c r="ED44" t="s">
        <v>274</v>
      </c>
      <c r="EE44" t="s">
        <v>274</v>
      </c>
      <c r="EF44" t="s">
        <v>274</v>
      </c>
      <c r="EG44" t="s">
        <v>274</v>
      </c>
    </row>
    <row r="45" spans="1:137" ht="14.55" customHeight="1" x14ac:dyDescent="0.3">
      <c r="A45" t="s">
        <v>361</v>
      </c>
      <c r="B45">
        <v>2125</v>
      </c>
      <c r="C45" t="s">
        <v>360</v>
      </c>
      <c r="D45" t="s">
        <v>269</v>
      </c>
      <c r="E45" t="s">
        <v>269</v>
      </c>
      <c r="F45" t="s">
        <v>270</v>
      </c>
      <c r="G45" t="s">
        <v>352</v>
      </c>
      <c r="H45" s="3">
        <v>23856293.399599999</v>
      </c>
      <c r="I45">
        <v>2383</v>
      </c>
      <c r="J45" s="3">
        <v>2385.6293399599999</v>
      </c>
      <c r="K45">
        <v>675</v>
      </c>
      <c r="L45">
        <v>1386</v>
      </c>
      <c r="M45">
        <v>857.16657946190105</v>
      </c>
      <c r="N45">
        <v>154.90057087571401</v>
      </c>
      <c r="O45">
        <v>0</v>
      </c>
      <c r="P45">
        <v>41.014339447021499</v>
      </c>
      <c r="Q45">
        <v>7.8103303909301802</v>
      </c>
      <c r="R45">
        <v>6.0714135169982901</v>
      </c>
      <c r="S45" t="s">
        <v>272</v>
      </c>
      <c r="T45" t="s">
        <v>361</v>
      </c>
      <c r="U45" t="s">
        <v>360</v>
      </c>
      <c r="V45" t="s">
        <v>360</v>
      </c>
      <c r="W45" s="3">
        <v>23871</v>
      </c>
      <c r="X45" s="3">
        <v>23860000</v>
      </c>
      <c r="Y45">
        <v>2</v>
      </c>
      <c r="Z45" s="3">
        <v>10228</v>
      </c>
      <c r="AA45" s="3">
        <v>11483</v>
      </c>
      <c r="AB45" s="3">
        <v>14170</v>
      </c>
      <c r="AC45" s="3">
        <v>16272</v>
      </c>
      <c r="AD45" s="3">
        <v>16850</v>
      </c>
      <c r="AE45" s="3">
        <v>17494</v>
      </c>
      <c r="AF45" s="3">
        <v>18024</v>
      </c>
      <c r="AG45" s="3">
        <v>18763</v>
      </c>
      <c r="AH45" s="3">
        <v>19592</v>
      </c>
      <c r="AI45" s="3">
        <v>20177</v>
      </c>
      <c r="AJ45" s="3">
        <v>20824</v>
      </c>
      <c r="AK45" s="3">
        <v>21464</v>
      </c>
      <c r="AL45" s="3">
        <v>21991</v>
      </c>
      <c r="AM45" s="3">
        <v>22523</v>
      </c>
      <c r="AN45" s="3">
        <v>22709</v>
      </c>
      <c r="AO45" s="3">
        <v>23439</v>
      </c>
      <c r="AP45" s="3">
        <v>23871</v>
      </c>
      <c r="AR45" s="4">
        <f t="shared" si="6"/>
        <v>1000.616466278045</v>
      </c>
      <c r="AS45" s="5">
        <f t="shared" si="7"/>
        <v>1.5337798201016817</v>
      </c>
      <c r="AT45" s="5">
        <f t="shared" si="0"/>
        <v>2.5999787124928635</v>
      </c>
      <c r="AU45" s="5">
        <f t="shared" si="1"/>
        <v>2.7198306280875091</v>
      </c>
      <c r="AV45" s="5">
        <f t="shared" si="2"/>
        <v>3.2440079893475366</v>
      </c>
      <c r="AW45" s="5">
        <f t="shared" si="3"/>
        <v>2.2671328993075526</v>
      </c>
      <c r="AX45" s="5">
        <f t="shared" si="4"/>
        <v>3.4230769230769234</v>
      </c>
      <c r="AY45" s="5">
        <f t="shared" si="5"/>
        <v>3.6051009946199621</v>
      </c>
      <c r="AZ45">
        <f t="shared" si="8"/>
        <v>23820000</v>
      </c>
      <c r="BA45">
        <v>0</v>
      </c>
      <c r="BB45">
        <v>4180000</v>
      </c>
      <c r="BC45">
        <v>1810000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4820000</v>
      </c>
      <c r="BK45">
        <v>0</v>
      </c>
      <c r="BL45">
        <v>0</v>
      </c>
      <c r="BM45">
        <v>3250000</v>
      </c>
      <c r="BN45">
        <v>0</v>
      </c>
      <c r="BO45">
        <v>3170000</v>
      </c>
      <c r="BP45">
        <v>0</v>
      </c>
      <c r="BQ45">
        <v>2410000</v>
      </c>
      <c r="BR45">
        <v>4180000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333</v>
      </c>
      <c r="CC45">
        <v>419</v>
      </c>
      <c r="CD45">
        <v>515</v>
      </c>
      <c r="CE45">
        <v>604</v>
      </c>
      <c r="CF45" s="17">
        <v>13.97984886649874</v>
      </c>
      <c r="CG45" s="17">
        <v>17.59026028547439</v>
      </c>
      <c r="CH45" s="17">
        <v>21.620486985726281</v>
      </c>
      <c r="CI45" s="17">
        <v>25.356842989084804</v>
      </c>
      <c r="CJ45" s="18">
        <v>1</v>
      </c>
      <c r="CK45" s="18">
        <v>1.2582582582582582</v>
      </c>
      <c r="CL45" s="18">
        <v>1.5465465465465464</v>
      </c>
      <c r="CM45" s="18">
        <v>1.8138138138138138</v>
      </c>
      <c r="CN45" s="18">
        <v>0</v>
      </c>
      <c r="CO45" s="18">
        <v>3.6104114189756507</v>
      </c>
      <c r="CP45" s="18">
        <v>7.6406381192275399</v>
      </c>
      <c r="CQ45" s="18">
        <v>11.376994122586062</v>
      </c>
      <c r="CR45" s="18">
        <f t="shared" si="9"/>
        <v>2.2020922956589755</v>
      </c>
      <c r="CS45" s="18">
        <f t="shared" si="10"/>
        <v>1.2140674411497332</v>
      </c>
      <c r="CT45">
        <v>10.45340050377834</v>
      </c>
      <c r="CU45">
        <v>45.298068849706098</v>
      </c>
      <c r="CV45">
        <v>44.248530646515604</v>
      </c>
      <c r="CW45">
        <v>0</v>
      </c>
      <c r="CX45">
        <v>0</v>
      </c>
      <c r="CY45">
        <v>22.082283795130188</v>
      </c>
      <c r="CZ45">
        <v>47.942905121746399</v>
      </c>
      <c r="DA45">
        <v>29.974811083123399</v>
      </c>
      <c r="DB45">
        <v>0</v>
      </c>
      <c r="DC45">
        <v>0</v>
      </c>
      <c r="DD45">
        <v>22.795969773299799</v>
      </c>
      <c r="DE45">
        <v>47.229219143576799</v>
      </c>
      <c r="DF45">
        <v>29.974811083123399</v>
      </c>
      <c r="DG45">
        <v>0</v>
      </c>
      <c r="DH45">
        <v>0</v>
      </c>
      <c r="DI45">
        <v>25.146935348446721</v>
      </c>
      <c r="DJ45">
        <v>47.187237615449298</v>
      </c>
      <c r="DK45">
        <v>27.665827036104101</v>
      </c>
      <c r="DL45">
        <v>0</v>
      </c>
      <c r="DM45">
        <v>0</v>
      </c>
      <c r="DN45">
        <v>25.146935348446721</v>
      </c>
      <c r="DO45">
        <v>47.187237615449298</v>
      </c>
      <c r="DP45">
        <v>27.665827036104101</v>
      </c>
      <c r="DQ45">
        <v>0</v>
      </c>
      <c r="DR45">
        <v>0</v>
      </c>
      <c r="DS45" t="s">
        <v>362</v>
      </c>
      <c r="DT45" t="s">
        <v>313</v>
      </c>
      <c r="DU45">
        <v>25722</v>
      </c>
      <c r="DV45">
        <v>2125</v>
      </c>
      <c r="DW45" t="s">
        <v>360</v>
      </c>
      <c r="DX45">
        <v>7</v>
      </c>
      <c r="DY45">
        <v>0</v>
      </c>
      <c r="DZ45">
        <v>7</v>
      </c>
      <c r="EA45">
        <v>36658</v>
      </c>
      <c r="EB45">
        <v>0</v>
      </c>
      <c r="EC45">
        <v>36658</v>
      </c>
      <c r="ED45" t="s">
        <v>274</v>
      </c>
      <c r="EE45" t="s">
        <v>274</v>
      </c>
      <c r="EF45" t="s">
        <v>274</v>
      </c>
      <c r="EG45" t="s">
        <v>274</v>
      </c>
    </row>
    <row r="46" spans="1:137" ht="14.55" customHeight="1" x14ac:dyDescent="0.3">
      <c r="A46" t="s">
        <v>363</v>
      </c>
      <c r="B46">
        <v>2128</v>
      </c>
      <c r="C46" t="s">
        <v>364</v>
      </c>
      <c r="D46" t="s">
        <v>269</v>
      </c>
      <c r="E46" t="s">
        <v>269</v>
      </c>
      <c r="F46" t="s">
        <v>270</v>
      </c>
      <c r="G46" t="s">
        <v>352</v>
      </c>
      <c r="H46" s="3">
        <v>2028777.6402199999</v>
      </c>
      <c r="I46">
        <v>199</v>
      </c>
      <c r="J46" s="3">
        <v>202.877764023</v>
      </c>
      <c r="K46">
        <v>747</v>
      </c>
      <c r="L46">
        <v>1394</v>
      </c>
      <c r="M46">
        <v>1013.6237463604</v>
      </c>
      <c r="N46">
        <v>153.49872558662699</v>
      </c>
      <c r="O46">
        <v>0</v>
      </c>
      <c r="P46">
        <v>51.960578918457003</v>
      </c>
      <c r="Q46">
        <v>18.3795776367188</v>
      </c>
      <c r="R46">
        <v>8.0560359954834002</v>
      </c>
      <c r="S46" t="s">
        <v>272</v>
      </c>
      <c r="T46" t="s">
        <v>363</v>
      </c>
      <c r="U46" t="s">
        <v>364</v>
      </c>
      <c r="V46" t="s">
        <v>364</v>
      </c>
      <c r="W46" s="3">
        <v>295</v>
      </c>
      <c r="X46" s="3">
        <v>2030000</v>
      </c>
      <c r="Y46">
        <v>3</v>
      </c>
      <c r="Z46" s="3">
        <v>131</v>
      </c>
      <c r="AA46" s="3">
        <v>185</v>
      </c>
      <c r="AB46" s="3">
        <v>186</v>
      </c>
      <c r="AC46" s="3">
        <v>216</v>
      </c>
      <c r="AD46" s="3">
        <v>217</v>
      </c>
      <c r="AE46" s="3">
        <v>234</v>
      </c>
      <c r="AF46" s="3">
        <v>250</v>
      </c>
      <c r="AG46" s="3">
        <v>241</v>
      </c>
      <c r="AH46" s="3">
        <v>245</v>
      </c>
      <c r="AI46" s="3">
        <v>248</v>
      </c>
      <c r="AJ46" s="3">
        <v>254</v>
      </c>
      <c r="AK46" s="3">
        <v>262</v>
      </c>
      <c r="AL46" s="3">
        <v>274</v>
      </c>
      <c r="AM46" s="3">
        <v>276</v>
      </c>
      <c r="AN46" s="3">
        <v>285</v>
      </c>
      <c r="AO46" s="3">
        <v>286</v>
      </c>
      <c r="AP46" s="3">
        <v>295</v>
      </c>
      <c r="AR46" s="4">
        <f t="shared" si="6"/>
        <v>145.40775398458956</v>
      </c>
      <c r="AS46" s="5">
        <f t="shared" si="7"/>
        <v>5.1526717557251906</v>
      </c>
      <c r="AT46" s="5">
        <f t="shared" si="0"/>
        <v>6.0060060060060066E-2</v>
      </c>
      <c r="AU46" s="5">
        <f t="shared" si="1"/>
        <v>3.4408602150537635</v>
      </c>
      <c r="AV46" s="5">
        <f t="shared" si="2"/>
        <v>1.7999999999999998</v>
      </c>
      <c r="AW46" s="5">
        <f t="shared" si="3"/>
        <v>2.4696901661427928</v>
      </c>
      <c r="AX46" s="5">
        <f t="shared" si="4"/>
        <v>2.9301075268817209</v>
      </c>
      <c r="AY46" s="5">
        <f t="shared" si="5"/>
        <v>3.3835362079636888</v>
      </c>
      <c r="AZ46">
        <f t="shared" si="8"/>
        <v>2010000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1130000</v>
      </c>
      <c r="BN46">
        <v>0</v>
      </c>
      <c r="BO46">
        <v>0</v>
      </c>
      <c r="BP46">
        <v>180000</v>
      </c>
      <c r="BQ46">
        <v>70000</v>
      </c>
      <c r="BR46">
        <v>590000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40000</v>
      </c>
      <c r="CB46">
        <v>11</v>
      </c>
      <c r="CC46">
        <v>15</v>
      </c>
      <c r="CD46">
        <v>15</v>
      </c>
      <c r="CE46">
        <v>17</v>
      </c>
      <c r="CF46" s="17">
        <v>5.5276381909547743</v>
      </c>
      <c r="CG46" s="17">
        <v>7.5376884422110546</v>
      </c>
      <c r="CH46" s="17">
        <v>7.5376884422110546</v>
      </c>
      <c r="CI46" s="17">
        <v>8.5427135678391952</v>
      </c>
      <c r="CJ46" s="18">
        <v>1</v>
      </c>
      <c r="CK46" s="18">
        <v>1.3636363636363635</v>
      </c>
      <c r="CL46" s="18">
        <v>1.3636363636363635</v>
      </c>
      <c r="CM46" s="18">
        <v>1.5454545454545454</v>
      </c>
      <c r="CN46" s="18">
        <v>0</v>
      </c>
      <c r="CO46" s="18">
        <v>2.0100502512562812</v>
      </c>
      <c r="CP46" s="18">
        <v>2.0100502512562812</v>
      </c>
      <c r="CQ46" s="18">
        <v>3.0150753768844218</v>
      </c>
      <c r="CR46" s="18">
        <f t="shared" si="9"/>
        <v>2.1068702290076335</v>
      </c>
      <c r="CS46" s="18">
        <f t="shared" si="10"/>
        <v>1.3632689717108217</v>
      </c>
      <c r="CT46">
        <v>0</v>
      </c>
      <c r="CU46">
        <v>32.338308457711499</v>
      </c>
      <c r="CV46">
        <v>63.184079601990106</v>
      </c>
      <c r="CW46">
        <v>0</v>
      </c>
      <c r="CX46">
        <v>4.4776119402985097</v>
      </c>
      <c r="CY46">
        <v>0</v>
      </c>
      <c r="CZ46">
        <v>59.203980099502502</v>
      </c>
      <c r="DA46">
        <v>38.805970149253703</v>
      </c>
      <c r="DB46">
        <v>0</v>
      </c>
      <c r="DC46">
        <v>1.99004975124378</v>
      </c>
      <c r="DD46">
        <v>0</v>
      </c>
      <c r="DE46">
        <v>59.203980099502502</v>
      </c>
      <c r="DF46">
        <v>38.805970149253703</v>
      </c>
      <c r="DG46">
        <v>0</v>
      </c>
      <c r="DH46">
        <v>1.99004975124378</v>
      </c>
      <c r="DI46">
        <v>0</v>
      </c>
      <c r="DJ46">
        <v>56.218905472636798</v>
      </c>
      <c r="DK46">
        <v>41.791044776119399</v>
      </c>
      <c r="DL46">
        <v>0</v>
      </c>
      <c r="DM46">
        <v>1.99004975124378</v>
      </c>
      <c r="DN46">
        <v>0</v>
      </c>
      <c r="DO46">
        <v>56.218905472636798</v>
      </c>
      <c r="DP46">
        <v>41.791044776119399</v>
      </c>
      <c r="DQ46">
        <v>0</v>
      </c>
      <c r="DR46">
        <v>1.99004975124378</v>
      </c>
      <c r="DS46" t="s">
        <v>355</v>
      </c>
      <c r="DT46">
        <v>0</v>
      </c>
      <c r="DU46">
        <v>348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 t="s">
        <v>274</v>
      </c>
      <c r="EE46" t="s">
        <v>274</v>
      </c>
      <c r="EF46" t="s">
        <v>274</v>
      </c>
      <c r="EG46" t="s">
        <v>274</v>
      </c>
    </row>
    <row r="47" spans="1:137" ht="14.55" customHeight="1" x14ac:dyDescent="0.3">
      <c r="A47" t="s">
        <v>365</v>
      </c>
      <c r="B47">
        <v>2129</v>
      </c>
      <c r="C47" t="s">
        <v>366</v>
      </c>
      <c r="D47" t="s">
        <v>269</v>
      </c>
      <c r="E47" t="s">
        <v>269</v>
      </c>
      <c r="F47" t="s">
        <v>270</v>
      </c>
      <c r="G47" t="s">
        <v>352</v>
      </c>
      <c r="H47" s="3">
        <v>10756874.366599999</v>
      </c>
      <c r="I47">
        <v>960</v>
      </c>
      <c r="J47" s="3">
        <v>962.10929548599995</v>
      </c>
      <c r="K47">
        <v>671</v>
      </c>
      <c r="L47">
        <v>1553</v>
      </c>
      <c r="M47">
        <v>961.84486057955201</v>
      </c>
      <c r="N47">
        <v>225.976741775574</v>
      </c>
      <c r="O47">
        <v>0</v>
      </c>
      <c r="P47">
        <v>49.144947052002003</v>
      </c>
      <c r="Q47">
        <v>12.332821846008301</v>
      </c>
      <c r="R47">
        <v>8.2645044326782209</v>
      </c>
      <c r="S47" t="s">
        <v>272</v>
      </c>
      <c r="T47" t="s">
        <v>365</v>
      </c>
      <c r="U47" t="s">
        <v>366</v>
      </c>
      <c r="V47" t="s">
        <v>366</v>
      </c>
      <c r="W47" s="3">
        <v>908</v>
      </c>
      <c r="X47" s="3">
        <v>9630000</v>
      </c>
      <c r="Y47">
        <v>3</v>
      </c>
      <c r="Z47" s="3">
        <v>432</v>
      </c>
      <c r="AA47" s="3">
        <v>542</v>
      </c>
      <c r="AB47" s="3">
        <v>567</v>
      </c>
      <c r="AC47" s="3">
        <v>652</v>
      </c>
      <c r="AD47" s="3">
        <v>653</v>
      </c>
      <c r="AE47" s="3">
        <v>650</v>
      </c>
      <c r="AF47" s="3">
        <v>669</v>
      </c>
      <c r="AG47" s="3">
        <v>688</v>
      </c>
      <c r="AH47" s="3">
        <v>735</v>
      </c>
      <c r="AI47" s="3">
        <v>757</v>
      </c>
      <c r="AJ47" s="3">
        <v>776</v>
      </c>
      <c r="AK47" s="3">
        <v>821</v>
      </c>
      <c r="AL47" s="3">
        <v>839</v>
      </c>
      <c r="AM47" s="3">
        <v>857</v>
      </c>
      <c r="AN47" s="3">
        <v>877</v>
      </c>
      <c r="AO47" s="3">
        <v>898</v>
      </c>
      <c r="AP47" s="3">
        <v>908</v>
      </c>
      <c r="AR47" s="4">
        <f t="shared" si="6"/>
        <v>94.375972070962348</v>
      </c>
      <c r="AS47" s="5">
        <f t="shared" si="7"/>
        <v>3.1828703703703707</v>
      </c>
      <c r="AT47" s="5">
        <f t="shared" si="0"/>
        <v>0.51250512505125045</v>
      </c>
      <c r="AU47" s="5">
        <f t="shared" si="1"/>
        <v>1.7989417989417988</v>
      </c>
      <c r="AV47" s="5">
        <f t="shared" si="2"/>
        <v>3.572496263079223</v>
      </c>
      <c r="AW47" s="5">
        <f t="shared" si="3"/>
        <v>1.8382352941176472</v>
      </c>
      <c r="AX47" s="5">
        <f t="shared" si="4"/>
        <v>3.0070546737213406</v>
      </c>
      <c r="AY47" s="5">
        <f t="shared" si="5"/>
        <v>2.9779779779779783</v>
      </c>
      <c r="AZ47">
        <f t="shared" si="8"/>
        <v>9630000</v>
      </c>
      <c r="BA47">
        <v>0</v>
      </c>
      <c r="BB47">
        <v>280000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10000</v>
      </c>
      <c r="BK47">
        <v>0</v>
      </c>
      <c r="BL47">
        <v>0</v>
      </c>
      <c r="BM47">
        <v>3100000</v>
      </c>
      <c r="BN47">
        <v>0</v>
      </c>
      <c r="BO47">
        <v>2140000</v>
      </c>
      <c r="BP47">
        <v>0</v>
      </c>
      <c r="BQ47">
        <v>3380000</v>
      </c>
      <c r="BR47">
        <v>660000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60000</v>
      </c>
      <c r="CB47">
        <v>33</v>
      </c>
      <c r="CC47">
        <v>52</v>
      </c>
      <c r="CD47">
        <v>54</v>
      </c>
      <c r="CE47">
        <v>62</v>
      </c>
      <c r="CF47" s="17">
        <v>3.4161490683229814</v>
      </c>
      <c r="CG47" s="17">
        <v>5.383022774327122</v>
      </c>
      <c r="CH47" s="17">
        <v>5.5900621118012426</v>
      </c>
      <c r="CI47" s="17">
        <v>6.4182194616977233</v>
      </c>
      <c r="CJ47" s="18">
        <v>1</v>
      </c>
      <c r="CK47" s="18">
        <v>1.5757575757575757</v>
      </c>
      <c r="CL47" s="18">
        <v>1.6363636363636365</v>
      </c>
      <c r="CM47" s="18">
        <v>1.8787878787878789</v>
      </c>
      <c r="CN47" s="18">
        <v>0</v>
      </c>
      <c r="CO47" s="18">
        <v>1.9668737060041408</v>
      </c>
      <c r="CP47" s="18">
        <v>2.1739130434782608</v>
      </c>
      <c r="CQ47" s="18">
        <v>3.002070393374741</v>
      </c>
      <c r="CR47" s="18">
        <f t="shared" si="9"/>
        <v>1.9837962962962963</v>
      </c>
      <c r="CS47" s="18">
        <f t="shared" si="10"/>
        <v>1.0558915770609318</v>
      </c>
      <c r="CT47">
        <v>0.62305295950155803</v>
      </c>
      <c r="CU47">
        <v>30.218068535825502</v>
      </c>
      <c r="CV47">
        <v>66.355140186915904</v>
      </c>
      <c r="CW47">
        <v>0</v>
      </c>
      <c r="CX47">
        <v>2.8037383177570101</v>
      </c>
      <c r="CY47">
        <v>2.9075804776739398</v>
      </c>
      <c r="CZ47">
        <v>55.451713395638592</v>
      </c>
      <c r="DA47">
        <v>41.017653167185898</v>
      </c>
      <c r="DB47">
        <v>0</v>
      </c>
      <c r="DC47">
        <v>0.62305295950155803</v>
      </c>
      <c r="DD47">
        <v>2.9075804776739398</v>
      </c>
      <c r="DE47">
        <v>55.244029075804804</v>
      </c>
      <c r="DF47">
        <v>41.225337487019722</v>
      </c>
      <c r="DG47">
        <v>0</v>
      </c>
      <c r="DH47">
        <v>0.62305295950155803</v>
      </c>
      <c r="DI47">
        <v>2.9075804776739398</v>
      </c>
      <c r="DJ47">
        <v>54.517133956386225</v>
      </c>
      <c r="DK47">
        <v>41.952232606438201</v>
      </c>
      <c r="DL47">
        <v>0</v>
      </c>
      <c r="DM47">
        <v>0.62305295950155803</v>
      </c>
      <c r="DN47">
        <v>2.9075804776739398</v>
      </c>
      <c r="DO47">
        <v>54.517133956386225</v>
      </c>
      <c r="DP47">
        <v>41.952232606438201</v>
      </c>
      <c r="DQ47">
        <v>0</v>
      </c>
      <c r="DR47">
        <v>0.62305295950155803</v>
      </c>
      <c r="DS47" t="s">
        <v>355</v>
      </c>
      <c r="DT47">
        <v>0</v>
      </c>
      <c r="DU47">
        <v>1021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 t="s">
        <v>274</v>
      </c>
      <c r="EE47" t="s">
        <v>274</v>
      </c>
      <c r="EF47" t="s">
        <v>274</v>
      </c>
      <c r="EG47" t="s">
        <v>274</v>
      </c>
    </row>
    <row r="48" spans="1:137" ht="14.55" customHeight="1" x14ac:dyDescent="0.3">
      <c r="A48" t="s">
        <v>367</v>
      </c>
      <c r="B48">
        <v>2130</v>
      </c>
      <c r="C48" t="s">
        <v>368</v>
      </c>
      <c r="D48" t="s">
        <v>269</v>
      </c>
      <c r="E48" t="s">
        <v>269</v>
      </c>
      <c r="F48" t="s">
        <v>270</v>
      </c>
      <c r="G48" t="s">
        <v>352</v>
      </c>
      <c r="H48" s="3">
        <v>1793803.9127700001</v>
      </c>
      <c r="I48">
        <v>180</v>
      </c>
      <c r="J48" s="3">
        <v>179.380391277</v>
      </c>
      <c r="K48">
        <v>793</v>
      </c>
      <c r="L48">
        <v>1393</v>
      </c>
      <c r="M48">
        <v>1025.9479472140799</v>
      </c>
      <c r="N48">
        <v>158.532315605034</v>
      </c>
      <c r="O48">
        <v>0</v>
      </c>
      <c r="P48">
        <v>51.6251220703125</v>
      </c>
      <c r="Q48">
        <v>19.723268508911101</v>
      </c>
      <c r="R48">
        <v>9.0844373703002894</v>
      </c>
      <c r="S48" t="s">
        <v>272</v>
      </c>
      <c r="T48" t="s">
        <v>367</v>
      </c>
      <c r="U48" t="s">
        <v>368</v>
      </c>
      <c r="V48" t="s">
        <v>368</v>
      </c>
      <c r="W48" s="3">
        <v>398</v>
      </c>
      <c r="X48" s="3">
        <v>1790000</v>
      </c>
      <c r="Y48">
        <v>3</v>
      </c>
      <c r="Z48" s="3">
        <v>155</v>
      </c>
      <c r="AA48" s="3">
        <v>213</v>
      </c>
      <c r="AB48" s="3">
        <v>252</v>
      </c>
      <c r="AC48" s="3">
        <v>282</v>
      </c>
      <c r="AD48" s="3">
        <v>284</v>
      </c>
      <c r="AE48" s="3">
        <v>274</v>
      </c>
      <c r="AF48" s="3">
        <v>280</v>
      </c>
      <c r="AG48" s="3">
        <v>295</v>
      </c>
      <c r="AH48" s="3">
        <v>299</v>
      </c>
      <c r="AI48" s="3">
        <v>301</v>
      </c>
      <c r="AJ48" s="3">
        <v>305</v>
      </c>
      <c r="AK48" s="3">
        <v>324</v>
      </c>
      <c r="AL48" s="3">
        <v>331</v>
      </c>
      <c r="AM48" s="3">
        <v>333</v>
      </c>
      <c r="AN48" s="3">
        <v>342</v>
      </c>
      <c r="AO48" s="3">
        <v>382</v>
      </c>
      <c r="AP48" s="3">
        <v>398</v>
      </c>
      <c r="AR48" s="4">
        <f t="shared" si="6"/>
        <v>221.87486445238409</v>
      </c>
      <c r="AS48" s="5">
        <f t="shared" si="7"/>
        <v>4.67741935483871</v>
      </c>
      <c r="AT48" s="5">
        <f t="shared" si="0"/>
        <v>2.0344287949921753</v>
      </c>
      <c r="AU48" s="5">
        <f t="shared" si="1"/>
        <v>1.1111111111111109</v>
      </c>
      <c r="AV48" s="5">
        <f t="shared" si="2"/>
        <v>4.2142857142857144</v>
      </c>
      <c r="AW48" s="5">
        <f t="shared" si="3"/>
        <v>3.6812144212523719</v>
      </c>
      <c r="AX48" s="5">
        <f t="shared" si="4"/>
        <v>2.8968253968253967</v>
      </c>
      <c r="AY48" s="5">
        <f t="shared" si="5"/>
        <v>4.2371403661726239</v>
      </c>
      <c r="AZ48">
        <f t="shared" si="8"/>
        <v>1810000</v>
      </c>
      <c r="BA48">
        <v>0</v>
      </c>
      <c r="BB48">
        <v>630000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340000</v>
      </c>
      <c r="BN48">
        <v>0</v>
      </c>
      <c r="BO48">
        <v>0</v>
      </c>
      <c r="BP48">
        <v>0</v>
      </c>
      <c r="BQ48">
        <v>0</v>
      </c>
      <c r="BR48">
        <v>700000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140000</v>
      </c>
      <c r="CB48">
        <v>37</v>
      </c>
      <c r="CC48">
        <v>40</v>
      </c>
      <c r="CD48">
        <v>42</v>
      </c>
      <c r="CE48">
        <v>44</v>
      </c>
      <c r="CF48" s="17">
        <v>20.555555555555554</v>
      </c>
      <c r="CG48" s="17">
        <v>22.222222222222221</v>
      </c>
      <c r="CH48" s="17">
        <v>23.333333333333332</v>
      </c>
      <c r="CI48" s="17">
        <v>24.444444444444443</v>
      </c>
      <c r="CJ48" s="18">
        <v>1</v>
      </c>
      <c r="CK48" s="18">
        <v>1.0810810810810811</v>
      </c>
      <c r="CL48" s="18">
        <v>1.1351351351351351</v>
      </c>
      <c r="CM48" s="18">
        <v>1.1891891891891893</v>
      </c>
      <c r="CN48" s="18">
        <v>0</v>
      </c>
      <c r="CO48" s="18">
        <v>1.6666666666666667</v>
      </c>
      <c r="CP48" s="18">
        <v>2.7777777777777777</v>
      </c>
      <c r="CQ48" s="18">
        <v>3.8888888888888888</v>
      </c>
      <c r="CR48" s="18">
        <f t="shared" si="9"/>
        <v>2.1483870967741936</v>
      </c>
      <c r="CS48" s="18">
        <f t="shared" si="10"/>
        <v>1.8065982404692082</v>
      </c>
      <c r="CT48">
        <v>8.8397790055248606</v>
      </c>
      <c r="CU48">
        <v>19.889502762430901</v>
      </c>
      <c r="CV48">
        <v>62.983425414364604</v>
      </c>
      <c r="CW48">
        <v>0</v>
      </c>
      <c r="CX48">
        <v>8.2872928176795604</v>
      </c>
      <c r="CY48">
        <v>34.254143646408799</v>
      </c>
      <c r="CZ48">
        <v>18.7845303867403</v>
      </c>
      <c r="DA48">
        <v>39.226519337016597</v>
      </c>
      <c r="DB48">
        <v>0</v>
      </c>
      <c r="DC48">
        <v>7.7348066298342504</v>
      </c>
      <c r="DD48">
        <v>34.254143646408799</v>
      </c>
      <c r="DE48">
        <v>18.7845303867403</v>
      </c>
      <c r="DF48">
        <v>39.226519337016597</v>
      </c>
      <c r="DG48">
        <v>0</v>
      </c>
      <c r="DH48">
        <v>7.7348066298342504</v>
      </c>
      <c r="DI48">
        <v>34.806629834254103</v>
      </c>
      <c r="DJ48">
        <v>18.7845303867403</v>
      </c>
      <c r="DK48">
        <v>38.674033149171301</v>
      </c>
      <c r="DL48">
        <v>0</v>
      </c>
      <c r="DM48">
        <v>7.7348066298342504</v>
      </c>
      <c r="DN48">
        <v>34.806629834254103</v>
      </c>
      <c r="DO48">
        <v>18.7845303867403</v>
      </c>
      <c r="DP48">
        <v>38.674033149171301</v>
      </c>
      <c r="DQ48">
        <v>0</v>
      </c>
      <c r="DR48">
        <v>7.7348066298342504</v>
      </c>
      <c r="DS48" t="s">
        <v>273</v>
      </c>
      <c r="DT48" t="s">
        <v>273</v>
      </c>
      <c r="DU48" t="s">
        <v>273</v>
      </c>
      <c r="DV48" t="s">
        <v>273</v>
      </c>
      <c r="DW48" t="s">
        <v>273</v>
      </c>
      <c r="DX48" t="s">
        <v>273</v>
      </c>
      <c r="DY48" t="s">
        <v>273</v>
      </c>
      <c r="DZ48" t="s">
        <v>273</v>
      </c>
      <c r="EA48" t="s">
        <v>273</v>
      </c>
      <c r="EB48" t="s">
        <v>273</v>
      </c>
      <c r="EC48" t="s">
        <v>273</v>
      </c>
      <c r="ED48" t="s">
        <v>274</v>
      </c>
      <c r="EE48" t="s">
        <v>274</v>
      </c>
      <c r="EF48" t="s">
        <v>274</v>
      </c>
      <c r="EG48" t="s">
        <v>274</v>
      </c>
    </row>
    <row r="49" spans="1:137" ht="14.55" customHeight="1" x14ac:dyDescent="0.3">
      <c r="A49" t="s">
        <v>369</v>
      </c>
      <c r="B49">
        <v>2131</v>
      </c>
      <c r="C49" t="s">
        <v>370</v>
      </c>
      <c r="D49" t="s">
        <v>269</v>
      </c>
      <c r="E49" t="s">
        <v>269</v>
      </c>
      <c r="F49" t="s">
        <v>270</v>
      </c>
      <c r="G49" t="s">
        <v>352</v>
      </c>
      <c r="H49" s="3">
        <v>5195261.6834800001</v>
      </c>
      <c r="I49">
        <v>463</v>
      </c>
      <c r="J49" s="3">
        <v>465.03574879099995</v>
      </c>
      <c r="K49">
        <v>674</v>
      </c>
      <c r="L49">
        <v>919</v>
      </c>
      <c r="M49">
        <v>734.18309062632602</v>
      </c>
      <c r="N49">
        <v>37.240905485421401</v>
      </c>
      <c r="O49">
        <v>0</v>
      </c>
      <c r="P49">
        <v>38.814468383789098</v>
      </c>
      <c r="Q49">
        <v>6.9619183540344203</v>
      </c>
      <c r="R49">
        <v>5.4864988327026403</v>
      </c>
      <c r="S49" t="s">
        <v>272</v>
      </c>
      <c r="T49" t="s">
        <v>369</v>
      </c>
      <c r="U49" t="s">
        <v>370</v>
      </c>
      <c r="V49" t="s">
        <v>370</v>
      </c>
      <c r="W49" s="3">
        <v>829</v>
      </c>
      <c r="X49" s="3">
        <v>4650000</v>
      </c>
      <c r="Y49">
        <v>2</v>
      </c>
      <c r="Z49" s="3">
        <v>344</v>
      </c>
      <c r="AA49" s="3">
        <v>403</v>
      </c>
      <c r="AB49" s="3">
        <v>578</v>
      </c>
      <c r="AC49" s="3">
        <v>643</v>
      </c>
      <c r="AD49" s="3">
        <v>656</v>
      </c>
      <c r="AE49" s="3">
        <v>662</v>
      </c>
      <c r="AF49" s="3">
        <v>697</v>
      </c>
      <c r="AG49" s="3">
        <v>712</v>
      </c>
      <c r="AH49" s="3">
        <v>734</v>
      </c>
      <c r="AI49" s="3">
        <v>767</v>
      </c>
      <c r="AJ49" s="3">
        <v>784</v>
      </c>
      <c r="AK49" s="3">
        <v>812</v>
      </c>
      <c r="AL49" s="3">
        <v>814</v>
      </c>
      <c r="AM49" s="3">
        <v>802</v>
      </c>
      <c r="AN49" s="3">
        <v>804</v>
      </c>
      <c r="AO49" s="3">
        <v>840</v>
      </c>
      <c r="AP49" s="3">
        <v>829</v>
      </c>
      <c r="AR49" s="4">
        <f t="shared" si="6"/>
        <v>178.26586496957157</v>
      </c>
      <c r="AS49" s="5">
        <f t="shared" si="7"/>
        <v>2.1438953488372094</v>
      </c>
      <c r="AT49" s="5">
        <f t="shared" si="0"/>
        <v>4.8249241797628892</v>
      </c>
      <c r="AU49" s="5">
        <f t="shared" si="1"/>
        <v>2.0588235294117645</v>
      </c>
      <c r="AV49" s="5">
        <f t="shared" si="2"/>
        <v>1.8938307030129127</v>
      </c>
      <c r="AW49" s="5">
        <f t="shared" si="3"/>
        <v>4.0013679890560869</v>
      </c>
      <c r="AX49" s="5">
        <f t="shared" si="4"/>
        <v>2.1712802768166091</v>
      </c>
      <c r="AY49" s="5">
        <f t="shared" si="5"/>
        <v>3.8104965430546827</v>
      </c>
      <c r="AZ49">
        <f t="shared" si="8"/>
        <v>4680000</v>
      </c>
      <c r="BA49">
        <v>0</v>
      </c>
      <c r="BB49">
        <v>320000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3360000</v>
      </c>
      <c r="BK49">
        <v>0</v>
      </c>
      <c r="BL49">
        <v>0</v>
      </c>
      <c r="BM49">
        <v>0</v>
      </c>
      <c r="BN49">
        <v>0</v>
      </c>
      <c r="BO49">
        <v>350000</v>
      </c>
      <c r="BP49">
        <v>0</v>
      </c>
      <c r="BQ49">
        <v>0</v>
      </c>
      <c r="BR49">
        <v>630000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20000</v>
      </c>
      <c r="CB49">
        <v>36</v>
      </c>
      <c r="CC49">
        <v>40</v>
      </c>
      <c r="CD49">
        <v>43</v>
      </c>
      <c r="CE49">
        <v>49</v>
      </c>
      <c r="CF49" s="17">
        <v>7.7922077922077921</v>
      </c>
      <c r="CG49" s="17">
        <v>8.6580086580086579</v>
      </c>
      <c r="CH49" s="17">
        <v>9.3073593073593077</v>
      </c>
      <c r="CI49" s="17">
        <v>10.606060606060606</v>
      </c>
      <c r="CJ49" s="18">
        <v>1</v>
      </c>
      <c r="CK49" s="18">
        <v>1.1111111111111112</v>
      </c>
      <c r="CL49" s="18">
        <v>1.1944444444444444</v>
      </c>
      <c r="CM49" s="18">
        <v>1.3611111111111112</v>
      </c>
      <c r="CN49" s="18">
        <v>0</v>
      </c>
      <c r="CO49" s="18">
        <v>0.86580086580086579</v>
      </c>
      <c r="CP49" s="18">
        <v>1.5151515151515151</v>
      </c>
      <c r="CQ49" s="18">
        <v>2.8138528138528138</v>
      </c>
      <c r="CR49" s="18">
        <f t="shared" si="9"/>
        <v>2.3313953488372094</v>
      </c>
      <c r="CS49" s="18">
        <f t="shared" si="10"/>
        <v>1.7128618889416232</v>
      </c>
      <c r="CT49">
        <v>0.854700854700855</v>
      </c>
      <c r="CU49">
        <v>79.059829059829099</v>
      </c>
      <c r="CV49">
        <v>19.44444444444445</v>
      </c>
      <c r="CW49">
        <v>0</v>
      </c>
      <c r="CX49">
        <v>0.64102564102564097</v>
      </c>
      <c r="CY49">
        <v>6.6239316239316199</v>
      </c>
      <c r="CZ49">
        <v>79.487179487179475</v>
      </c>
      <c r="DA49">
        <v>13.461538461538501</v>
      </c>
      <c r="DB49">
        <v>0</v>
      </c>
      <c r="DC49">
        <v>0.427350427350427</v>
      </c>
      <c r="DD49">
        <v>6.6239316239316199</v>
      </c>
      <c r="DE49">
        <v>79.487179487179475</v>
      </c>
      <c r="DF49">
        <v>13.461538461538501</v>
      </c>
      <c r="DG49">
        <v>0</v>
      </c>
      <c r="DH49">
        <v>0.427350427350427</v>
      </c>
      <c r="DI49">
        <v>6.83760683760684</v>
      </c>
      <c r="DJ49">
        <v>79.273504273504273</v>
      </c>
      <c r="DK49">
        <v>13.461538461538501</v>
      </c>
      <c r="DL49">
        <v>0</v>
      </c>
      <c r="DM49">
        <v>0.427350427350427</v>
      </c>
      <c r="DN49">
        <v>6.83760683760684</v>
      </c>
      <c r="DO49">
        <v>79.273504273504273</v>
      </c>
      <c r="DP49">
        <v>13.461538461538501</v>
      </c>
      <c r="DQ49">
        <v>0</v>
      </c>
      <c r="DR49">
        <v>0.427350427350427</v>
      </c>
      <c r="DS49" t="s">
        <v>371</v>
      </c>
      <c r="DT49" t="s">
        <v>313</v>
      </c>
      <c r="DU49">
        <v>839</v>
      </c>
      <c r="DV49">
        <v>2125</v>
      </c>
      <c r="DW49" t="s">
        <v>360</v>
      </c>
      <c r="DX49">
        <v>7</v>
      </c>
      <c r="DY49">
        <v>0</v>
      </c>
      <c r="DZ49">
        <v>7</v>
      </c>
      <c r="EA49">
        <v>36658</v>
      </c>
      <c r="EB49">
        <v>0</v>
      </c>
      <c r="EC49">
        <v>36658</v>
      </c>
      <c r="ED49" t="s">
        <v>274</v>
      </c>
      <c r="EE49" t="s">
        <v>274</v>
      </c>
      <c r="EF49" t="s">
        <v>274</v>
      </c>
      <c r="EG49" t="s">
        <v>274</v>
      </c>
    </row>
    <row r="50" spans="1:137" ht="14.55" customHeight="1" x14ac:dyDescent="0.3">
      <c r="A50" t="s">
        <v>372</v>
      </c>
      <c r="B50">
        <v>2134</v>
      </c>
      <c r="C50" t="s">
        <v>373</v>
      </c>
      <c r="D50" t="s">
        <v>269</v>
      </c>
      <c r="E50" t="s">
        <v>269</v>
      </c>
      <c r="F50" t="s">
        <v>270</v>
      </c>
      <c r="G50" t="s">
        <v>352</v>
      </c>
      <c r="H50" s="3">
        <v>24320603.899700001</v>
      </c>
      <c r="I50">
        <v>2433</v>
      </c>
      <c r="J50" s="3">
        <v>2432.0603899600001</v>
      </c>
      <c r="K50">
        <v>701</v>
      </c>
      <c r="L50">
        <v>2366</v>
      </c>
      <c r="M50">
        <v>1376.3456395820899</v>
      </c>
      <c r="N50">
        <v>433.96135052357101</v>
      </c>
      <c r="O50">
        <v>0</v>
      </c>
      <c r="P50">
        <v>62.342880249023402</v>
      </c>
      <c r="Q50">
        <v>22.192842483520501</v>
      </c>
      <c r="R50">
        <v>12.2328653335571</v>
      </c>
      <c r="S50" t="s">
        <v>272</v>
      </c>
      <c r="T50" t="s">
        <v>372</v>
      </c>
      <c r="U50" t="s">
        <v>373</v>
      </c>
      <c r="V50" t="s">
        <v>373</v>
      </c>
      <c r="W50" s="3">
        <v>847</v>
      </c>
      <c r="X50" s="3">
        <v>24320000</v>
      </c>
      <c r="Y50">
        <v>3</v>
      </c>
      <c r="Z50" s="3">
        <v>526</v>
      </c>
      <c r="AA50" s="3">
        <v>569</v>
      </c>
      <c r="AB50" s="3">
        <v>607</v>
      </c>
      <c r="AC50" s="3">
        <v>652</v>
      </c>
      <c r="AD50" s="3">
        <v>678</v>
      </c>
      <c r="AE50" s="3">
        <v>684</v>
      </c>
      <c r="AF50" s="3">
        <v>678</v>
      </c>
      <c r="AG50" s="3">
        <v>699</v>
      </c>
      <c r="AH50" s="3">
        <v>738</v>
      </c>
      <c r="AI50" s="3">
        <v>778</v>
      </c>
      <c r="AJ50" s="3">
        <v>772</v>
      </c>
      <c r="AK50" s="3">
        <v>806</v>
      </c>
      <c r="AL50" s="3">
        <v>795</v>
      </c>
      <c r="AM50" s="3">
        <v>812</v>
      </c>
      <c r="AN50" s="3">
        <v>830</v>
      </c>
      <c r="AO50" s="3">
        <v>844</v>
      </c>
      <c r="AP50" s="3">
        <v>847</v>
      </c>
      <c r="AR50" s="4">
        <f t="shared" si="6"/>
        <v>34.826437842439042</v>
      </c>
      <c r="AS50" s="5">
        <f t="shared" si="7"/>
        <v>1.0218631178707225</v>
      </c>
      <c r="AT50" s="5">
        <f t="shared" si="0"/>
        <v>0.74204256981058392</v>
      </c>
      <c r="AU50" s="5">
        <f t="shared" si="1"/>
        <v>1.1696869851729819</v>
      </c>
      <c r="AV50" s="5">
        <f t="shared" si="2"/>
        <v>2.4926253687315634</v>
      </c>
      <c r="AW50" s="5">
        <f t="shared" si="3"/>
        <v>0.90583762021919034</v>
      </c>
      <c r="AX50" s="5">
        <f t="shared" si="4"/>
        <v>1.9769357495881386</v>
      </c>
      <c r="AY50" s="5">
        <f t="shared" si="5"/>
        <v>1.6493679991778853</v>
      </c>
      <c r="AZ50">
        <f t="shared" si="8"/>
        <v>24340000</v>
      </c>
      <c r="BA50">
        <v>0</v>
      </c>
      <c r="BB50">
        <v>430000</v>
      </c>
      <c r="BC50">
        <v>0</v>
      </c>
      <c r="BD50">
        <v>0</v>
      </c>
      <c r="BE50">
        <v>0</v>
      </c>
      <c r="BF50">
        <v>0</v>
      </c>
      <c r="BG50">
        <v>210000</v>
      </c>
      <c r="BH50">
        <v>0</v>
      </c>
      <c r="BI50">
        <v>0</v>
      </c>
      <c r="BJ50">
        <v>2050000</v>
      </c>
      <c r="BK50">
        <v>0</v>
      </c>
      <c r="BL50">
        <v>0</v>
      </c>
      <c r="BM50">
        <v>3760000</v>
      </c>
      <c r="BN50">
        <v>0</v>
      </c>
      <c r="BO50">
        <v>0</v>
      </c>
      <c r="BP50">
        <v>0</v>
      </c>
      <c r="BQ50">
        <v>3990000</v>
      </c>
      <c r="BR50">
        <v>2070000</v>
      </c>
      <c r="BS50">
        <v>5050000</v>
      </c>
      <c r="BT50">
        <v>670000</v>
      </c>
      <c r="BU50">
        <v>2620000</v>
      </c>
      <c r="BV50">
        <v>0</v>
      </c>
      <c r="BW50">
        <v>430000</v>
      </c>
      <c r="BX50">
        <v>3060000</v>
      </c>
      <c r="BY50">
        <v>0</v>
      </c>
      <c r="BZ50">
        <v>0</v>
      </c>
      <c r="CA50">
        <v>0</v>
      </c>
      <c r="CB50">
        <v>80</v>
      </c>
      <c r="CC50">
        <v>80</v>
      </c>
      <c r="CD50">
        <v>94</v>
      </c>
      <c r="CE50">
        <v>90</v>
      </c>
      <c r="CF50" s="17">
        <v>3.2881216605014383</v>
      </c>
      <c r="CG50" s="17">
        <v>3.2881216605014383</v>
      </c>
      <c r="CH50" s="17">
        <v>3.8635429510891903</v>
      </c>
      <c r="CI50" s="17">
        <v>3.6991368680641186</v>
      </c>
      <c r="CJ50" s="18">
        <v>1</v>
      </c>
      <c r="CK50" s="18">
        <v>1</v>
      </c>
      <c r="CL50" s="18">
        <v>1.175</v>
      </c>
      <c r="CM50" s="18">
        <v>1.125</v>
      </c>
      <c r="CN50" s="18">
        <v>0</v>
      </c>
      <c r="CO50" s="18">
        <v>0</v>
      </c>
      <c r="CP50" s="18">
        <v>0.57542129058775182</v>
      </c>
      <c r="CQ50" s="18">
        <v>0.41101520756267979</v>
      </c>
      <c r="CR50" s="18">
        <f t="shared" si="9"/>
        <v>1.543726235741445</v>
      </c>
      <c r="CS50" s="18">
        <f t="shared" si="10"/>
        <v>1.37220109843684</v>
      </c>
      <c r="CT50">
        <v>2.1364009860312274</v>
      </c>
      <c r="CU50">
        <v>12.777321281840591</v>
      </c>
      <c r="CV50">
        <v>85.08627773212821</v>
      </c>
      <c r="CW50">
        <v>0</v>
      </c>
      <c r="CX50">
        <v>0</v>
      </c>
      <c r="CY50">
        <v>3.1635168447000801</v>
      </c>
      <c r="CZ50">
        <v>43.631881676253116</v>
      </c>
      <c r="DA50">
        <v>53.2046014790469</v>
      </c>
      <c r="DB50">
        <v>0</v>
      </c>
      <c r="DC50">
        <v>0</v>
      </c>
      <c r="DD50">
        <v>3.1635168447000801</v>
      </c>
      <c r="DE50">
        <v>43.631881676253073</v>
      </c>
      <c r="DF50">
        <v>53.2046014790469</v>
      </c>
      <c r="DG50">
        <v>0</v>
      </c>
      <c r="DH50">
        <v>0</v>
      </c>
      <c r="DI50">
        <v>2.38290879211175</v>
      </c>
      <c r="DJ50">
        <v>24.116680361544731</v>
      </c>
      <c r="DK50">
        <v>73.500410846343499</v>
      </c>
      <c r="DL50">
        <v>0</v>
      </c>
      <c r="DM50">
        <v>0</v>
      </c>
      <c r="DN50">
        <v>2.6294165981922801</v>
      </c>
      <c r="DO50">
        <v>23.870172555464229</v>
      </c>
      <c r="DP50">
        <v>73.500410846343499</v>
      </c>
      <c r="DQ50">
        <v>0</v>
      </c>
      <c r="DR50">
        <v>0</v>
      </c>
      <c r="DS50" t="s">
        <v>273</v>
      </c>
      <c r="DT50" t="s">
        <v>273</v>
      </c>
      <c r="DU50" t="s">
        <v>273</v>
      </c>
      <c r="DV50" t="s">
        <v>273</v>
      </c>
      <c r="DW50" t="s">
        <v>273</v>
      </c>
      <c r="DX50" t="s">
        <v>273</v>
      </c>
      <c r="DY50" t="s">
        <v>273</v>
      </c>
      <c r="DZ50" t="s">
        <v>273</v>
      </c>
      <c r="EA50" t="s">
        <v>273</v>
      </c>
      <c r="EB50" t="s">
        <v>273</v>
      </c>
      <c r="EC50" t="s">
        <v>273</v>
      </c>
      <c r="ED50" t="s">
        <v>274</v>
      </c>
      <c r="EE50" t="s">
        <v>274</v>
      </c>
      <c r="EF50" t="s">
        <v>274</v>
      </c>
      <c r="EG50" t="s">
        <v>274</v>
      </c>
    </row>
    <row r="51" spans="1:137" ht="14.55" customHeight="1" x14ac:dyDescent="0.3">
      <c r="A51" t="s">
        <v>374</v>
      </c>
      <c r="B51">
        <v>2135</v>
      </c>
      <c r="C51" t="s">
        <v>375</v>
      </c>
      <c r="D51" t="s">
        <v>269</v>
      </c>
      <c r="E51" t="s">
        <v>269</v>
      </c>
      <c r="F51" t="s">
        <v>270</v>
      </c>
      <c r="G51" t="s">
        <v>352</v>
      </c>
      <c r="H51" s="3">
        <v>28439272.186799999</v>
      </c>
      <c r="I51">
        <v>2844</v>
      </c>
      <c r="J51" s="3">
        <v>2843.9272186799999</v>
      </c>
      <c r="K51">
        <v>659</v>
      </c>
      <c r="L51">
        <v>1978</v>
      </c>
      <c r="M51">
        <v>1126.2362556064199</v>
      </c>
      <c r="N51">
        <v>295.78349077537598</v>
      </c>
      <c r="O51">
        <v>0</v>
      </c>
      <c r="P51">
        <v>67.635215759277401</v>
      </c>
      <c r="Q51">
        <v>16.827548980712901</v>
      </c>
      <c r="R51">
        <v>10.8992099761963</v>
      </c>
      <c r="S51" t="s">
        <v>272</v>
      </c>
      <c r="T51" t="s">
        <v>374</v>
      </c>
      <c r="U51" t="s">
        <v>375</v>
      </c>
      <c r="V51" t="s">
        <v>375</v>
      </c>
      <c r="W51" s="3">
        <v>2212</v>
      </c>
      <c r="X51" s="3">
        <v>28440000</v>
      </c>
      <c r="Y51">
        <v>3</v>
      </c>
      <c r="Z51" s="3">
        <v>1279</v>
      </c>
      <c r="AA51" s="3">
        <v>1393</v>
      </c>
      <c r="AB51" s="3">
        <v>1483</v>
      </c>
      <c r="AC51" s="3">
        <v>1661</v>
      </c>
      <c r="AD51" s="3">
        <v>1687</v>
      </c>
      <c r="AE51" s="3">
        <v>1753</v>
      </c>
      <c r="AF51" s="3">
        <v>1797</v>
      </c>
      <c r="AG51" s="3">
        <v>1792</v>
      </c>
      <c r="AH51" s="3">
        <v>1867</v>
      </c>
      <c r="AI51" s="3">
        <v>2027</v>
      </c>
      <c r="AJ51" s="3">
        <v>2077</v>
      </c>
      <c r="AK51" s="3">
        <v>2090</v>
      </c>
      <c r="AL51" s="3">
        <v>2153</v>
      </c>
      <c r="AM51" s="3">
        <v>2194</v>
      </c>
      <c r="AN51" s="3">
        <v>2203</v>
      </c>
      <c r="AO51" s="3">
        <v>2200</v>
      </c>
      <c r="AP51" s="3">
        <v>2212</v>
      </c>
      <c r="AR51" s="4">
        <f t="shared" si="6"/>
        <v>77.77976825393911</v>
      </c>
      <c r="AS51" s="5">
        <f t="shared" si="7"/>
        <v>1.1141516810007819</v>
      </c>
      <c r="AT51" s="5">
        <f t="shared" si="0"/>
        <v>0.71787508973438618</v>
      </c>
      <c r="AU51" s="5">
        <f t="shared" si="1"/>
        <v>2.117329737019555</v>
      </c>
      <c r="AV51" s="5">
        <f t="shared" si="2"/>
        <v>2.309404563160824</v>
      </c>
      <c r="AW51" s="5">
        <f t="shared" si="3"/>
        <v>0.93823299452697406</v>
      </c>
      <c r="AX51" s="5">
        <f t="shared" si="4"/>
        <v>2.4578556979096424</v>
      </c>
      <c r="AY51" s="5">
        <f t="shared" si="5"/>
        <v>1.9715571709316826</v>
      </c>
      <c r="AZ51">
        <f t="shared" si="8"/>
        <v>28410000</v>
      </c>
      <c r="BA51">
        <v>0</v>
      </c>
      <c r="BB51">
        <v>1390000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3480000</v>
      </c>
      <c r="BK51">
        <v>0</v>
      </c>
      <c r="BL51">
        <v>0</v>
      </c>
      <c r="BM51">
        <v>4640000</v>
      </c>
      <c r="BN51">
        <v>0</v>
      </c>
      <c r="BO51">
        <v>270000</v>
      </c>
      <c r="BP51">
        <v>0</v>
      </c>
      <c r="BQ51">
        <v>11220000</v>
      </c>
      <c r="BR51">
        <v>3100000</v>
      </c>
      <c r="BS51">
        <v>4310000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122</v>
      </c>
      <c r="CC51">
        <v>144</v>
      </c>
      <c r="CD51">
        <v>155</v>
      </c>
      <c r="CE51">
        <v>180</v>
      </c>
      <c r="CF51" s="17">
        <v>4.2822042822042823</v>
      </c>
      <c r="CG51" s="17">
        <v>5.0544050544050538</v>
      </c>
      <c r="CH51" s="17">
        <v>5.4405054405054409</v>
      </c>
      <c r="CI51" s="17">
        <v>6.3180063180063177</v>
      </c>
      <c r="CJ51" s="18">
        <v>1</v>
      </c>
      <c r="CK51" s="18">
        <v>1.180327868852459</v>
      </c>
      <c r="CL51" s="18">
        <v>1.2704918032786885</v>
      </c>
      <c r="CM51" s="18">
        <v>1.4754098360655739</v>
      </c>
      <c r="CN51" s="18">
        <v>0</v>
      </c>
      <c r="CO51" s="18">
        <v>0.77220077220077221</v>
      </c>
      <c r="CP51" s="18">
        <v>1.1583011583011582</v>
      </c>
      <c r="CQ51" s="18">
        <v>2.0358020358020359</v>
      </c>
      <c r="CR51" s="18">
        <f t="shared" si="9"/>
        <v>1.7154026583268178</v>
      </c>
      <c r="CS51" s="18">
        <f t="shared" si="10"/>
        <v>1.1626618017548431</v>
      </c>
      <c r="CT51">
        <v>0.73917634635691787</v>
      </c>
      <c r="CU51">
        <v>19.464977120732172</v>
      </c>
      <c r="CV51">
        <v>79.795846532910957</v>
      </c>
      <c r="CW51">
        <v>0</v>
      </c>
      <c r="CX51">
        <v>0</v>
      </c>
      <c r="CY51">
        <v>3.0623020063358002</v>
      </c>
      <c r="CZ51">
        <v>34.037310806054201</v>
      </c>
      <c r="DA51">
        <v>62.900387187610001</v>
      </c>
      <c r="DB51">
        <v>0</v>
      </c>
      <c r="DC51">
        <v>0</v>
      </c>
      <c r="DD51">
        <v>3.0623020063358002</v>
      </c>
      <c r="DE51">
        <v>34.037310806054201</v>
      </c>
      <c r="DF51">
        <v>62.900387187610001</v>
      </c>
      <c r="DG51">
        <v>0</v>
      </c>
      <c r="DH51">
        <v>0</v>
      </c>
      <c r="DI51">
        <v>4.8926434354100703</v>
      </c>
      <c r="DJ51">
        <v>29.531854980640677</v>
      </c>
      <c r="DK51">
        <v>65.57550158394929</v>
      </c>
      <c r="DL51">
        <v>0</v>
      </c>
      <c r="DM51">
        <v>0</v>
      </c>
      <c r="DN51">
        <v>4.8926434354100703</v>
      </c>
      <c r="DO51">
        <v>29.531854980640677</v>
      </c>
      <c r="DP51">
        <v>65.57550158394929</v>
      </c>
      <c r="DQ51">
        <v>0</v>
      </c>
      <c r="DR51">
        <v>0</v>
      </c>
      <c r="DS51" t="s">
        <v>355</v>
      </c>
      <c r="DT51">
        <v>0</v>
      </c>
      <c r="DU51">
        <v>2282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 t="s">
        <v>274</v>
      </c>
      <c r="EE51" t="s">
        <v>274</v>
      </c>
      <c r="EF51" t="s">
        <v>274</v>
      </c>
      <c r="EG51" t="s">
        <v>274</v>
      </c>
    </row>
    <row r="52" spans="1:137" ht="14.55" customHeight="1" x14ac:dyDescent="0.3">
      <c r="A52" t="s">
        <v>376</v>
      </c>
      <c r="B52">
        <v>2137</v>
      </c>
      <c r="C52" t="s">
        <v>377</v>
      </c>
      <c r="D52" t="s">
        <v>269</v>
      </c>
      <c r="E52" t="s">
        <v>269</v>
      </c>
      <c r="F52" t="s">
        <v>270</v>
      </c>
      <c r="G52" t="s">
        <v>352</v>
      </c>
      <c r="H52" s="3">
        <v>11856881.1231</v>
      </c>
      <c r="I52">
        <v>1056</v>
      </c>
      <c r="J52" s="3">
        <v>1053.6466690099999</v>
      </c>
      <c r="K52">
        <v>663</v>
      </c>
      <c r="L52">
        <v>1496</v>
      </c>
      <c r="M52">
        <v>1034.04373831776</v>
      </c>
      <c r="N52">
        <v>257.24748902627601</v>
      </c>
      <c r="O52">
        <v>0</v>
      </c>
      <c r="P52">
        <v>43.737777709960902</v>
      </c>
      <c r="Q52">
        <v>11.040184020996101</v>
      </c>
      <c r="R52">
        <v>6.1699171066284197</v>
      </c>
      <c r="S52" t="s">
        <v>272</v>
      </c>
      <c r="T52" t="s">
        <v>376</v>
      </c>
      <c r="U52" t="s">
        <v>377</v>
      </c>
      <c r="V52" t="s">
        <v>377</v>
      </c>
      <c r="W52" s="3">
        <v>681</v>
      </c>
      <c r="X52" s="3">
        <v>10540000</v>
      </c>
      <c r="Y52">
        <v>3</v>
      </c>
      <c r="Z52" s="3">
        <v>322</v>
      </c>
      <c r="AA52" s="3">
        <v>353</v>
      </c>
      <c r="AB52" s="3">
        <v>447</v>
      </c>
      <c r="AC52" s="3">
        <v>538</v>
      </c>
      <c r="AD52" s="3">
        <v>547</v>
      </c>
      <c r="AE52" s="3">
        <v>547</v>
      </c>
      <c r="AF52" s="3">
        <v>553</v>
      </c>
      <c r="AG52" s="3">
        <v>555</v>
      </c>
      <c r="AH52" s="3">
        <v>562</v>
      </c>
      <c r="AI52" s="3">
        <v>561</v>
      </c>
      <c r="AJ52" s="3">
        <v>583</v>
      </c>
      <c r="AK52" s="3">
        <v>615</v>
      </c>
      <c r="AL52" s="3">
        <v>643</v>
      </c>
      <c r="AM52" s="3">
        <v>663</v>
      </c>
      <c r="AN52" s="3">
        <v>652</v>
      </c>
      <c r="AO52" s="3">
        <v>672</v>
      </c>
      <c r="AP52" s="3">
        <v>681</v>
      </c>
      <c r="AR52" s="4">
        <f t="shared" si="6"/>
        <v>64.632672415684041</v>
      </c>
      <c r="AS52" s="5">
        <f t="shared" si="7"/>
        <v>1.2034161490683231</v>
      </c>
      <c r="AT52" s="5">
        <f t="shared" si="0"/>
        <v>2.9587661315706639</v>
      </c>
      <c r="AU52" s="5">
        <f t="shared" si="1"/>
        <v>2.3713646532438482</v>
      </c>
      <c r="AV52" s="5">
        <f t="shared" si="2"/>
        <v>2.3146473779385173</v>
      </c>
      <c r="AW52" s="5">
        <f t="shared" si="3"/>
        <v>2.2835221044939713</v>
      </c>
      <c r="AX52" s="5">
        <f t="shared" si="4"/>
        <v>2.6174496644295302</v>
      </c>
      <c r="AY52" s="5">
        <f t="shared" si="5"/>
        <v>3.0132617089138827</v>
      </c>
      <c r="AZ52">
        <f t="shared" si="8"/>
        <v>10510000</v>
      </c>
      <c r="BA52">
        <v>0</v>
      </c>
      <c r="BB52">
        <v>310000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5280000</v>
      </c>
      <c r="BN52">
        <v>0</v>
      </c>
      <c r="BO52">
        <v>710000</v>
      </c>
      <c r="BP52">
        <v>0</v>
      </c>
      <c r="BQ52">
        <v>2570000</v>
      </c>
      <c r="BR52">
        <v>300000</v>
      </c>
      <c r="BS52">
        <v>0</v>
      </c>
      <c r="BT52">
        <v>0</v>
      </c>
      <c r="BU52">
        <v>1320000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20000</v>
      </c>
      <c r="CB52">
        <v>27</v>
      </c>
      <c r="CC52">
        <v>42</v>
      </c>
      <c r="CD52">
        <v>48</v>
      </c>
      <c r="CE52">
        <v>52</v>
      </c>
      <c r="CF52" s="17">
        <v>2.5714285714285712</v>
      </c>
      <c r="CG52" s="17">
        <v>4</v>
      </c>
      <c r="CH52" s="17">
        <v>4.5714285714285712</v>
      </c>
      <c r="CI52" s="17">
        <v>4.9523809523809526</v>
      </c>
      <c r="CJ52" s="18">
        <v>1</v>
      </c>
      <c r="CK52" s="18">
        <v>1.5555555555555556</v>
      </c>
      <c r="CL52" s="18">
        <v>1.7777777777777777</v>
      </c>
      <c r="CM52" s="18">
        <v>1.9259259259259258</v>
      </c>
      <c r="CN52" s="18">
        <v>0</v>
      </c>
      <c r="CO52" s="18">
        <v>1.4285714285714286</v>
      </c>
      <c r="CP52" s="18">
        <v>2</v>
      </c>
      <c r="CQ52" s="18">
        <v>2.3809523809523809</v>
      </c>
      <c r="CR52" s="18">
        <f t="shared" si="9"/>
        <v>2.0590062111801242</v>
      </c>
      <c r="CS52" s="18">
        <f t="shared" si="10"/>
        <v>1.0690993788819876</v>
      </c>
      <c r="CT52">
        <v>0</v>
      </c>
      <c r="CU52">
        <v>36.156041864890547</v>
      </c>
      <c r="CV52">
        <v>58.896289248334902</v>
      </c>
      <c r="CW52">
        <v>1.80780209324453</v>
      </c>
      <c r="CX52">
        <v>3.1398667935299698</v>
      </c>
      <c r="CY52">
        <v>0</v>
      </c>
      <c r="CZ52">
        <v>59.942911512844901</v>
      </c>
      <c r="DA52">
        <v>39.866793529971503</v>
      </c>
      <c r="DB52">
        <v>0</v>
      </c>
      <c r="DC52">
        <v>0.19029495718363501</v>
      </c>
      <c r="DD52">
        <v>0</v>
      </c>
      <c r="DE52">
        <v>59.942911512844901</v>
      </c>
      <c r="DF52">
        <v>39.866793529971403</v>
      </c>
      <c r="DG52">
        <v>0</v>
      </c>
      <c r="DH52">
        <v>0.19029495718363501</v>
      </c>
      <c r="DI52">
        <v>2.9495718363463399</v>
      </c>
      <c r="DJ52">
        <v>56.993339676498636</v>
      </c>
      <c r="DK52">
        <v>39.866793529971503</v>
      </c>
      <c r="DL52">
        <v>0</v>
      </c>
      <c r="DM52">
        <v>0.19029495718363501</v>
      </c>
      <c r="DN52">
        <v>2.9495718363463399</v>
      </c>
      <c r="DO52">
        <v>56.993339676498636</v>
      </c>
      <c r="DP52">
        <v>39.866793529971503</v>
      </c>
      <c r="DQ52">
        <v>0</v>
      </c>
      <c r="DR52">
        <v>0.19029495718363501</v>
      </c>
      <c r="DS52" t="s">
        <v>355</v>
      </c>
      <c r="DT52">
        <v>0</v>
      </c>
      <c r="DU52">
        <v>702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 t="s">
        <v>274</v>
      </c>
      <c r="EE52" t="s">
        <v>274</v>
      </c>
      <c r="EF52" t="s">
        <v>274</v>
      </c>
      <c r="EG52" t="s">
        <v>274</v>
      </c>
    </row>
    <row r="53" spans="1:137" ht="14.55" customHeight="1" x14ac:dyDescent="0.3">
      <c r="A53" t="s">
        <v>378</v>
      </c>
      <c r="B53">
        <v>2138</v>
      </c>
      <c r="C53" t="s">
        <v>379</v>
      </c>
      <c r="D53" t="s">
        <v>269</v>
      </c>
      <c r="E53" t="s">
        <v>269</v>
      </c>
      <c r="F53" t="s">
        <v>270</v>
      </c>
      <c r="G53" t="s">
        <v>352</v>
      </c>
      <c r="H53" s="3">
        <v>55219346.831699997</v>
      </c>
      <c r="I53">
        <v>5522</v>
      </c>
      <c r="J53" s="3">
        <v>5521.9346831699995</v>
      </c>
      <c r="K53">
        <v>873</v>
      </c>
      <c r="L53">
        <v>2207</v>
      </c>
      <c r="M53">
        <v>1416.59173858699</v>
      </c>
      <c r="N53">
        <v>264.96696934290901</v>
      </c>
      <c r="O53">
        <v>0</v>
      </c>
      <c r="P53">
        <v>74.319198608398395</v>
      </c>
      <c r="Q53">
        <v>24.7239875793457</v>
      </c>
      <c r="R53">
        <v>11.222754478454601</v>
      </c>
      <c r="S53" t="s">
        <v>272</v>
      </c>
      <c r="T53" t="s">
        <v>378</v>
      </c>
      <c r="U53" t="s">
        <v>379</v>
      </c>
      <c r="V53" t="s">
        <v>379</v>
      </c>
      <c r="W53" s="3">
        <v>643</v>
      </c>
      <c r="X53" s="3">
        <v>55210000</v>
      </c>
      <c r="Y53">
        <v>3</v>
      </c>
      <c r="Z53" s="3">
        <v>682</v>
      </c>
      <c r="AA53" s="3">
        <v>716</v>
      </c>
      <c r="AB53" s="3">
        <v>742</v>
      </c>
      <c r="AC53" s="3">
        <v>714</v>
      </c>
      <c r="AD53" s="3">
        <v>719</v>
      </c>
      <c r="AE53" s="3">
        <v>706</v>
      </c>
      <c r="AF53" s="3">
        <v>700</v>
      </c>
      <c r="AG53" s="3">
        <v>690</v>
      </c>
      <c r="AH53" s="3">
        <v>684</v>
      </c>
      <c r="AI53" s="3">
        <v>667</v>
      </c>
      <c r="AJ53" s="3">
        <v>670</v>
      </c>
      <c r="AK53" s="3">
        <v>664</v>
      </c>
      <c r="AL53" s="3">
        <v>662</v>
      </c>
      <c r="AM53" s="3">
        <v>671</v>
      </c>
      <c r="AN53" s="3">
        <v>659</v>
      </c>
      <c r="AO53" s="3">
        <v>644</v>
      </c>
      <c r="AP53" s="3">
        <v>643</v>
      </c>
      <c r="AR53" s="4">
        <f t="shared" si="6"/>
        <v>11.644469500151175</v>
      </c>
      <c r="AS53" s="5">
        <f t="shared" si="7"/>
        <v>0.62316715542521994</v>
      </c>
      <c r="AT53" s="5">
        <f t="shared" si="0"/>
        <v>0.40347610180012417</v>
      </c>
      <c r="AU53" s="5">
        <f t="shared" si="1"/>
        <v>-0.5660377358490567</v>
      </c>
      <c r="AV53" s="5">
        <f t="shared" si="2"/>
        <v>-0.81428571428571428</v>
      </c>
      <c r="AW53" s="5">
        <f t="shared" si="3"/>
        <v>0.51750905640848721</v>
      </c>
      <c r="AX53" s="5">
        <f t="shared" si="4"/>
        <v>-0.6671159029649596</v>
      </c>
      <c r="AY53" s="5">
        <f t="shared" si="5"/>
        <v>-0.15455338035983196</v>
      </c>
      <c r="AZ53">
        <f t="shared" si="8"/>
        <v>55220000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1870000</v>
      </c>
      <c r="BN53">
        <v>0</v>
      </c>
      <c r="BO53">
        <v>780000</v>
      </c>
      <c r="BP53">
        <v>670000</v>
      </c>
      <c r="BQ53">
        <v>12780000</v>
      </c>
      <c r="BR53">
        <v>5290000</v>
      </c>
      <c r="BS53">
        <v>23080000</v>
      </c>
      <c r="BT53">
        <v>2460000</v>
      </c>
      <c r="BU53">
        <v>4660000</v>
      </c>
      <c r="BV53">
        <v>0</v>
      </c>
      <c r="BW53">
        <v>0</v>
      </c>
      <c r="BX53">
        <v>3450000</v>
      </c>
      <c r="BY53">
        <v>0</v>
      </c>
      <c r="BZ53">
        <v>0</v>
      </c>
      <c r="CA53">
        <v>180000</v>
      </c>
      <c r="CB53">
        <v>76</v>
      </c>
      <c r="CC53">
        <v>91</v>
      </c>
      <c r="CD53">
        <v>92</v>
      </c>
      <c r="CE53">
        <v>106</v>
      </c>
      <c r="CF53" s="17">
        <v>1.3760637334781822</v>
      </c>
      <c r="CG53" s="17">
        <v>1.6476552598225602</v>
      </c>
      <c r="CH53" s="17">
        <v>1.665761361578852</v>
      </c>
      <c r="CI53" s="17">
        <v>1.9192467861669382</v>
      </c>
      <c r="CJ53" s="18">
        <v>1</v>
      </c>
      <c r="CK53" s="18">
        <v>1.1973684210526316</v>
      </c>
      <c r="CL53" s="18">
        <v>1.2105263157894737</v>
      </c>
      <c r="CM53" s="18">
        <v>1.3947368421052631</v>
      </c>
      <c r="CN53" s="18">
        <v>0</v>
      </c>
      <c r="CO53" s="18">
        <v>0.27159152634437805</v>
      </c>
      <c r="CP53" s="18">
        <v>0.2896976281006699</v>
      </c>
      <c r="CQ53" s="18">
        <v>0.54318305268875611</v>
      </c>
      <c r="CR53" s="18">
        <f t="shared" si="9"/>
        <v>0.9838709677419355</v>
      </c>
      <c r="CS53" s="18">
        <f t="shared" si="10"/>
        <v>0.70541692026780289</v>
      </c>
      <c r="CT53">
        <v>0</v>
      </c>
      <c r="CU53">
        <v>6.4469395146685997</v>
      </c>
      <c r="CV53">
        <v>93.082216588192694</v>
      </c>
      <c r="CW53">
        <v>0</v>
      </c>
      <c r="CX53">
        <v>0.47084389713871799</v>
      </c>
      <c r="CY53">
        <v>0</v>
      </c>
      <c r="CZ53">
        <v>29.119884099963802</v>
      </c>
      <c r="DA53">
        <v>70.554147048170975</v>
      </c>
      <c r="DB53">
        <v>0</v>
      </c>
      <c r="DC53">
        <v>0.32596885186526597</v>
      </c>
      <c r="DD53">
        <v>0</v>
      </c>
      <c r="DE53">
        <v>27.0554147048171</v>
      </c>
      <c r="DF53">
        <v>72.618616443317663</v>
      </c>
      <c r="DG53">
        <v>0</v>
      </c>
      <c r="DH53">
        <v>0.32596885186526597</v>
      </c>
      <c r="DI53">
        <v>0</v>
      </c>
      <c r="DJ53">
        <v>4.7989858746830798</v>
      </c>
      <c r="DK53">
        <v>94.87504527345159</v>
      </c>
      <c r="DL53">
        <v>0</v>
      </c>
      <c r="DM53">
        <v>0.32596885186526597</v>
      </c>
      <c r="DN53">
        <v>0</v>
      </c>
      <c r="DO53">
        <v>4.7989858746830798</v>
      </c>
      <c r="DP53">
        <v>94.87504527345159</v>
      </c>
      <c r="DQ53">
        <v>0</v>
      </c>
      <c r="DR53">
        <v>0.32596885186526597</v>
      </c>
      <c r="DS53" t="s">
        <v>273</v>
      </c>
      <c r="DT53" t="s">
        <v>273</v>
      </c>
      <c r="DU53" t="s">
        <v>273</v>
      </c>
      <c r="DV53" t="s">
        <v>273</v>
      </c>
      <c r="DW53" t="s">
        <v>273</v>
      </c>
      <c r="DX53" t="s">
        <v>273</v>
      </c>
      <c r="DY53" t="s">
        <v>273</v>
      </c>
      <c r="DZ53" t="s">
        <v>273</v>
      </c>
      <c r="EA53" t="s">
        <v>273</v>
      </c>
      <c r="EB53" t="s">
        <v>273</v>
      </c>
      <c r="EC53" t="s">
        <v>273</v>
      </c>
      <c r="ED53" t="s">
        <v>274</v>
      </c>
      <c r="EE53" t="s">
        <v>274</v>
      </c>
      <c r="EF53" t="s">
        <v>274</v>
      </c>
      <c r="EG53" t="s">
        <v>274</v>
      </c>
    </row>
    <row r="54" spans="1:137" ht="14.55" customHeight="1" x14ac:dyDescent="0.3">
      <c r="A54" t="s">
        <v>380</v>
      </c>
      <c r="B54">
        <v>2140</v>
      </c>
      <c r="C54" t="s">
        <v>381</v>
      </c>
      <c r="D54" t="s">
        <v>269</v>
      </c>
      <c r="E54" t="s">
        <v>269</v>
      </c>
      <c r="F54" t="s">
        <v>270</v>
      </c>
      <c r="G54" t="s">
        <v>352</v>
      </c>
      <c r="H54" s="3">
        <v>8312386.3363800002</v>
      </c>
      <c r="I54">
        <v>790</v>
      </c>
      <c r="J54" s="3">
        <v>784.61119335899991</v>
      </c>
      <c r="K54">
        <v>673</v>
      </c>
      <c r="L54">
        <v>1033</v>
      </c>
      <c r="M54">
        <v>832.07542436658605</v>
      </c>
      <c r="N54">
        <v>105.46208967916699</v>
      </c>
      <c r="O54">
        <v>0</v>
      </c>
      <c r="P54">
        <v>32.051097869873097</v>
      </c>
      <c r="Q54">
        <v>6.4632296562194798</v>
      </c>
      <c r="R54">
        <v>4.4263477325439498</v>
      </c>
      <c r="S54" t="s">
        <v>272</v>
      </c>
      <c r="T54" t="s">
        <v>380</v>
      </c>
      <c r="U54" t="s">
        <v>381</v>
      </c>
      <c r="V54" t="s">
        <v>381</v>
      </c>
      <c r="W54" s="3">
        <v>1959</v>
      </c>
      <c r="X54" s="3">
        <v>7850000</v>
      </c>
      <c r="Y54">
        <v>2</v>
      </c>
      <c r="Z54" s="3">
        <v>1214</v>
      </c>
      <c r="AA54" s="3">
        <v>1280</v>
      </c>
      <c r="AB54" s="3">
        <v>1242</v>
      </c>
      <c r="AC54" s="3">
        <v>1539</v>
      </c>
      <c r="AD54" s="3">
        <v>1536</v>
      </c>
      <c r="AE54" s="3">
        <v>1544</v>
      </c>
      <c r="AF54" s="3">
        <v>1549</v>
      </c>
      <c r="AG54" s="3">
        <v>1596</v>
      </c>
      <c r="AH54" s="3">
        <v>1653</v>
      </c>
      <c r="AI54" s="3">
        <v>1696</v>
      </c>
      <c r="AJ54" s="3">
        <v>1742</v>
      </c>
      <c r="AK54" s="3">
        <v>1797</v>
      </c>
      <c r="AL54" s="3">
        <v>1809</v>
      </c>
      <c r="AM54" s="3">
        <v>1871</v>
      </c>
      <c r="AN54" s="3">
        <v>1913</v>
      </c>
      <c r="AO54" s="3">
        <v>1909</v>
      </c>
      <c r="AP54" s="3">
        <v>1959</v>
      </c>
      <c r="AR54" s="4">
        <f t="shared" si="6"/>
        <v>249.67780431646952</v>
      </c>
      <c r="AS54" s="5">
        <f t="shared" si="7"/>
        <v>0.67957166392092261</v>
      </c>
      <c r="AT54" s="5">
        <f t="shared" si="0"/>
        <v>-0.3298611111111111</v>
      </c>
      <c r="AU54" s="5">
        <f t="shared" si="1"/>
        <v>2.4718196457326891</v>
      </c>
      <c r="AV54" s="5">
        <f t="shared" si="2"/>
        <v>2.6468689477081986</v>
      </c>
      <c r="AW54" s="5">
        <f t="shared" si="3"/>
        <v>0.13567206124624481</v>
      </c>
      <c r="AX54" s="5">
        <f t="shared" si="4"/>
        <v>2.8864734299516908</v>
      </c>
      <c r="AY54" s="5">
        <f t="shared" si="5"/>
        <v>1.6585778529765351</v>
      </c>
      <c r="AZ54">
        <f t="shared" si="8"/>
        <v>7880000</v>
      </c>
      <c r="BA54">
        <v>0</v>
      </c>
      <c r="BB54">
        <v>930000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5240000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1180000</v>
      </c>
      <c r="BR54">
        <v>510000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20000</v>
      </c>
      <c r="CB54">
        <v>58</v>
      </c>
      <c r="CC54">
        <v>68</v>
      </c>
      <c r="CD54">
        <v>86</v>
      </c>
      <c r="CE54">
        <v>93</v>
      </c>
      <c r="CF54" s="17">
        <v>7.4074074074074066</v>
      </c>
      <c r="CG54" s="17">
        <v>8.6845466155810982</v>
      </c>
      <c r="CH54" s="17">
        <v>10.983397190293742</v>
      </c>
      <c r="CI54" s="17">
        <v>11.877394636015326</v>
      </c>
      <c r="CJ54" s="18">
        <v>1</v>
      </c>
      <c r="CK54" s="18">
        <v>1.1724137931034482</v>
      </c>
      <c r="CL54" s="18">
        <v>1.4827586206896552</v>
      </c>
      <c r="CM54" s="18">
        <v>1.603448275862069</v>
      </c>
      <c r="CN54" s="18">
        <v>0</v>
      </c>
      <c r="CO54" s="18">
        <v>1.277139208173691</v>
      </c>
      <c r="CP54" s="18">
        <v>3.5759897828863343</v>
      </c>
      <c r="CQ54" s="18">
        <v>4.4699872286079181</v>
      </c>
      <c r="CR54" s="18">
        <f t="shared" si="9"/>
        <v>1.5411861614497528</v>
      </c>
      <c r="CS54" s="18">
        <f t="shared" si="10"/>
        <v>0.96116986412995342</v>
      </c>
      <c r="CT54">
        <v>0.25380710659898498</v>
      </c>
      <c r="CU54">
        <v>71.573604060913695</v>
      </c>
      <c r="CV54">
        <v>25.76142131979698</v>
      </c>
      <c r="CW54">
        <v>0.25380710659898498</v>
      </c>
      <c r="CX54">
        <v>2.15736040609137</v>
      </c>
      <c r="CY54">
        <v>11.4213197969543</v>
      </c>
      <c r="CZ54">
        <v>66.751269035532985</v>
      </c>
      <c r="DA54">
        <v>21.573604060913699</v>
      </c>
      <c r="DB54">
        <v>0</v>
      </c>
      <c r="DC54">
        <v>0.25380710659898498</v>
      </c>
      <c r="DD54">
        <v>11.4213197969543</v>
      </c>
      <c r="DE54">
        <v>66.751269035532999</v>
      </c>
      <c r="DF54">
        <v>21.573604060913699</v>
      </c>
      <c r="DG54">
        <v>0</v>
      </c>
      <c r="DH54">
        <v>0.25380710659898498</v>
      </c>
      <c r="DI54">
        <v>11.802030456852799</v>
      </c>
      <c r="DJ54">
        <v>66.497461928934001</v>
      </c>
      <c r="DK54">
        <v>21.446700507614199</v>
      </c>
      <c r="DL54">
        <v>0</v>
      </c>
      <c r="DM54">
        <v>0.25380710659898498</v>
      </c>
      <c r="DN54">
        <v>11.802030456852799</v>
      </c>
      <c r="DO54">
        <v>66.497461928934001</v>
      </c>
      <c r="DP54">
        <v>21.446700507614199</v>
      </c>
      <c r="DQ54">
        <v>0</v>
      </c>
      <c r="DR54">
        <v>0.25380710659898498</v>
      </c>
      <c r="DS54" t="s">
        <v>355</v>
      </c>
      <c r="DT54">
        <v>0</v>
      </c>
      <c r="DU54">
        <v>2071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 t="s">
        <v>274</v>
      </c>
      <c r="EE54" t="s">
        <v>274</v>
      </c>
      <c r="EF54" t="s">
        <v>274</v>
      </c>
      <c r="EG54" t="s">
        <v>274</v>
      </c>
    </row>
    <row r="55" spans="1:137" ht="14.55" customHeight="1" x14ac:dyDescent="0.3">
      <c r="A55" t="s">
        <v>382</v>
      </c>
      <c r="B55">
        <v>2143</v>
      </c>
      <c r="C55" t="s">
        <v>383</v>
      </c>
      <c r="D55" t="s">
        <v>269</v>
      </c>
      <c r="E55" t="s">
        <v>269</v>
      </c>
      <c r="F55" t="s">
        <v>270</v>
      </c>
      <c r="G55" t="s">
        <v>352</v>
      </c>
      <c r="H55" s="3">
        <v>4236409.2999499999</v>
      </c>
      <c r="I55">
        <v>262</v>
      </c>
      <c r="J55" s="3">
        <v>263.60691416200001</v>
      </c>
      <c r="K55">
        <v>663</v>
      </c>
      <c r="L55">
        <v>829</v>
      </c>
      <c r="M55">
        <v>723.60310310310297</v>
      </c>
      <c r="N55">
        <v>39.4849742759693</v>
      </c>
      <c r="O55">
        <v>0</v>
      </c>
      <c r="P55">
        <v>31.993934631347699</v>
      </c>
      <c r="Q55">
        <v>7.1853747367858896</v>
      </c>
      <c r="R55">
        <v>4.6780247688293501</v>
      </c>
      <c r="S55" t="s">
        <v>272</v>
      </c>
      <c r="T55" t="s">
        <v>382</v>
      </c>
      <c r="U55" t="s">
        <v>383</v>
      </c>
      <c r="V55" t="s">
        <v>383</v>
      </c>
      <c r="W55" s="3">
        <v>638</v>
      </c>
      <c r="X55" s="3">
        <v>2640000</v>
      </c>
      <c r="Y55">
        <v>2</v>
      </c>
      <c r="Z55" s="3">
        <v>370</v>
      </c>
      <c r="AA55" s="3">
        <v>431</v>
      </c>
      <c r="AB55" s="3">
        <v>502</v>
      </c>
      <c r="AC55" s="3">
        <v>594</v>
      </c>
      <c r="AD55" s="3">
        <v>618</v>
      </c>
      <c r="AE55" s="3">
        <v>605</v>
      </c>
      <c r="AF55" s="3">
        <v>611</v>
      </c>
      <c r="AG55" s="3">
        <v>585</v>
      </c>
      <c r="AH55" s="3">
        <v>590</v>
      </c>
      <c r="AI55" s="3">
        <v>588</v>
      </c>
      <c r="AJ55" s="3">
        <v>571</v>
      </c>
      <c r="AK55" s="3">
        <v>585</v>
      </c>
      <c r="AL55" s="3">
        <v>592</v>
      </c>
      <c r="AM55" s="3">
        <v>587</v>
      </c>
      <c r="AN55" s="3">
        <v>595</v>
      </c>
      <c r="AO55" s="3">
        <v>615</v>
      </c>
      <c r="AP55" s="3">
        <v>638</v>
      </c>
      <c r="AR55" s="4">
        <f t="shared" si="6"/>
        <v>242.02703560647737</v>
      </c>
      <c r="AS55" s="5">
        <f t="shared" si="7"/>
        <v>2.060810810810811</v>
      </c>
      <c r="AT55" s="5">
        <f t="shared" si="0"/>
        <v>1.8303686517143596</v>
      </c>
      <c r="AU55" s="5">
        <f t="shared" si="1"/>
        <v>2.1713147410358564</v>
      </c>
      <c r="AV55" s="5">
        <f t="shared" si="2"/>
        <v>0.44189852700490995</v>
      </c>
      <c r="AW55" s="5">
        <f t="shared" si="3"/>
        <v>2.0985691573926868</v>
      </c>
      <c r="AX55" s="5">
        <f t="shared" si="4"/>
        <v>1.3545816733067728</v>
      </c>
      <c r="AY55" s="5">
        <f t="shared" si="5"/>
        <v>1.9576333089846605</v>
      </c>
      <c r="AZ55">
        <f t="shared" si="8"/>
        <v>2640000</v>
      </c>
      <c r="BA55">
        <v>0</v>
      </c>
      <c r="BB55">
        <v>260000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1920000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300000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120000</v>
      </c>
      <c r="BZ55">
        <v>0</v>
      </c>
      <c r="CA55">
        <v>40000</v>
      </c>
      <c r="CB55">
        <v>18</v>
      </c>
      <c r="CC55">
        <v>22</v>
      </c>
      <c r="CD55">
        <v>25</v>
      </c>
      <c r="CE55">
        <v>26</v>
      </c>
      <c r="CF55" s="17">
        <v>6.8965517241379306</v>
      </c>
      <c r="CG55" s="17">
        <v>8.4291187739463602</v>
      </c>
      <c r="CH55" s="17">
        <v>9.5785440613026829</v>
      </c>
      <c r="CI55" s="17">
        <v>9.9616858237547881</v>
      </c>
      <c r="CJ55" s="18">
        <v>1</v>
      </c>
      <c r="CK55" s="18">
        <v>1.2222222222222223</v>
      </c>
      <c r="CL55" s="18">
        <v>1.3888888888888888</v>
      </c>
      <c r="CM55" s="18">
        <v>1.4444444444444444</v>
      </c>
      <c r="CN55" s="18">
        <v>0</v>
      </c>
      <c r="CO55" s="18">
        <v>1.5325670498084289</v>
      </c>
      <c r="CP55" s="18">
        <v>2.6819923371647509</v>
      </c>
      <c r="CQ55" s="18">
        <v>3.0651340996168579</v>
      </c>
      <c r="CR55" s="18">
        <f t="shared" si="9"/>
        <v>1.5864864864864865</v>
      </c>
      <c r="CS55" s="18">
        <f t="shared" si="10"/>
        <v>1.0983367983367984</v>
      </c>
      <c r="CT55">
        <v>6.4393939393939394</v>
      </c>
      <c r="CU55">
        <v>74.242424242424306</v>
      </c>
      <c r="CV55">
        <v>14.7727272727273</v>
      </c>
      <c r="CW55">
        <v>0</v>
      </c>
      <c r="CX55">
        <v>4.5454545454545503</v>
      </c>
      <c r="CY55">
        <v>9.8484848484848495</v>
      </c>
      <c r="CZ55">
        <v>72.727272727272705</v>
      </c>
      <c r="DA55">
        <v>11.363636363636401</v>
      </c>
      <c r="DB55">
        <v>3.7878787878787898</v>
      </c>
      <c r="DC55">
        <v>2.2727272727272698</v>
      </c>
      <c r="DD55">
        <v>9.8484848484848495</v>
      </c>
      <c r="DE55">
        <v>72.727272727272705</v>
      </c>
      <c r="DF55">
        <v>11.363636363636401</v>
      </c>
      <c r="DG55">
        <v>3.7878787878787898</v>
      </c>
      <c r="DH55">
        <v>2.2727272727272698</v>
      </c>
      <c r="DI55">
        <v>9.8484848484848495</v>
      </c>
      <c r="DJ55">
        <v>72.727272727272705</v>
      </c>
      <c r="DK55">
        <v>11.363636363636401</v>
      </c>
      <c r="DL55">
        <v>4.5454545454545503</v>
      </c>
      <c r="DM55">
        <v>1.51515151515152</v>
      </c>
      <c r="DN55">
        <v>9.8484848484848495</v>
      </c>
      <c r="DO55">
        <v>72.727272727272705</v>
      </c>
      <c r="DP55">
        <v>11.363636363636401</v>
      </c>
      <c r="DQ55">
        <v>4.5454545454545503</v>
      </c>
      <c r="DR55">
        <v>1.51515151515152</v>
      </c>
      <c r="DS55" t="s">
        <v>371</v>
      </c>
      <c r="DT55" t="s">
        <v>313</v>
      </c>
      <c r="DU55">
        <v>661</v>
      </c>
      <c r="DV55">
        <v>2125</v>
      </c>
      <c r="DW55" t="s">
        <v>360</v>
      </c>
      <c r="DX55">
        <v>7</v>
      </c>
      <c r="DY55">
        <v>0</v>
      </c>
      <c r="DZ55">
        <v>7</v>
      </c>
      <c r="EA55">
        <v>36658</v>
      </c>
      <c r="EB55">
        <v>0</v>
      </c>
      <c r="EC55">
        <v>36658</v>
      </c>
      <c r="ED55" t="s">
        <v>274</v>
      </c>
      <c r="EE55" t="s">
        <v>274</v>
      </c>
      <c r="EF55" t="s">
        <v>274</v>
      </c>
      <c r="EG55" t="s">
        <v>274</v>
      </c>
    </row>
    <row r="56" spans="1:137" ht="14.55" customHeight="1" x14ac:dyDescent="0.3">
      <c r="A56" t="s">
        <v>384</v>
      </c>
      <c r="B56">
        <v>2145</v>
      </c>
      <c r="C56" t="s">
        <v>385</v>
      </c>
      <c r="D56" t="s">
        <v>269</v>
      </c>
      <c r="E56" t="s">
        <v>269</v>
      </c>
      <c r="F56" t="s">
        <v>270</v>
      </c>
      <c r="G56" t="s">
        <v>352</v>
      </c>
      <c r="H56" s="3">
        <v>4499003.7856400004</v>
      </c>
      <c r="I56">
        <v>451</v>
      </c>
      <c r="J56" s="3">
        <v>449.90037856400005</v>
      </c>
      <c r="K56">
        <v>708</v>
      </c>
      <c r="L56">
        <v>1207</v>
      </c>
      <c r="M56">
        <v>837.87103377686799</v>
      </c>
      <c r="N56">
        <v>106.269838554091</v>
      </c>
      <c r="O56">
        <v>0</v>
      </c>
      <c r="P56">
        <v>44.8178100585938</v>
      </c>
      <c r="Q56">
        <v>8.9144935607910192</v>
      </c>
      <c r="R56">
        <v>6.7732300758361799</v>
      </c>
      <c r="S56" t="s">
        <v>272</v>
      </c>
      <c r="T56" t="s">
        <v>384</v>
      </c>
      <c r="U56" t="s">
        <v>385</v>
      </c>
      <c r="V56" t="s">
        <v>385</v>
      </c>
      <c r="W56" s="3">
        <v>1336</v>
      </c>
      <c r="X56" s="3">
        <v>4500000</v>
      </c>
      <c r="Y56">
        <v>2</v>
      </c>
      <c r="Z56" s="3">
        <v>577</v>
      </c>
      <c r="AA56" s="3">
        <v>710</v>
      </c>
      <c r="AB56" s="3">
        <v>934</v>
      </c>
      <c r="AC56" s="3">
        <v>1048</v>
      </c>
      <c r="AD56" s="3">
        <v>1060</v>
      </c>
      <c r="AE56" s="3">
        <v>1069</v>
      </c>
      <c r="AF56" s="3">
        <v>1090</v>
      </c>
      <c r="AG56" s="3">
        <v>1096</v>
      </c>
      <c r="AH56" s="3">
        <v>1086</v>
      </c>
      <c r="AI56" s="3">
        <v>1109</v>
      </c>
      <c r="AJ56" s="3">
        <v>1110</v>
      </c>
      <c r="AK56" s="3">
        <v>1101</v>
      </c>
      <c r="AL56" s="3">
        <v>1142</v>
      </c>
      <c r="AM56" s="3">
        <v>1168</v>
      </c>
      <c r="AN56" s="3">
        <v>1309</v>
      </c>
      <c r="AO56" s="3">
        <v>1344</v>
      </c>
      <c r="AP56" s="3">
        <v>1336</v>
      </c>
      <c r="AR56" s="4">
        <f t="shared" si="6"/>
        <v>296.95462899237123</v>
      </c>
      <c r="AS56" s="5">
        <f t="shared" si="7"/>
        <v>2.8812824956672443</v>
      </c>
      <c r="AT56" s="5">
        <f t="shared" si="0"/>
        <v>3.5054773082942101</v>
      </c>
      <c r="AU56" s="5">
        <f t="shared" si="1"/>
        <v>1.6702355460385441</v>
      </c>
      <c r="AV56" s="5">
        <f t="shared" si="2"/>
        <v>2.2568807339449539</v>
      </c>
      <c r="AW56" s="5">
        <f t="shared" si="3"/>
        <v>3.6395147313691507</v>
      </c>
      <c r="AX56" s="5">
        <f t="shared" si="4"/>
        <v>2.1520342612419698</v>
      </c>
      <c r="AY56" s="5">
        <f t="shared" si="5"/>
        <v>3.5552016487891707</v>
      </c>
      <c r="AZ56">
        <f t="shared" si="8"/>
        <v>4520000</v>
      </c>
      <c r="BA56">
        <v>0</v>
      </c>
      <c r="BB56">
        <v>660000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1020000</v>
      </c>
      <c r="BK56">
        <v>0</v>
      </c>
      <c r="BL56">
        <v>0</v>
      </c>
      <c r="BM56">
        <v>930000</v>
      </c>
      <c r="BN56">
        <v>0</v>
      </c>
      <c r="BO56">
        <v>1730000</v>
      </c>
      <c r="BP56">
        <v>0</v>
      </c>
      <c r="BQ56">
        <v>0</v>
      </c>
      <c r="BR56">
        <v>180000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35</v>
      </c>
      <c r="CC56">
        <v>47</v>
      </c>
      <c r="CD56">
        <v>59</v>
      </c>
      <c r="CE56">
        <v>62</v>
      </c>
      <c r="CF56" s="17">
        <v>7.7777777777777777</v>
      </c>
      <c r="CG56" s="17">
        <v>10.444444444444445</v>
      </c>
      <c r="CH56" s="17">
        <v>13.111111111111112</v>
      </c>
      <c r="CI56" s="17">
        <v>13.777777777777779</v>
      </c>
      <c r="CJ56" s="18">
        <v>1</v>
      </c>
      <c r="CK56" s="18">
        <v>1.3428571428571427</v>
      </c>
      <c r="CL56" s="18">
        <v>1.6857142857142857</v>
      </c>
      <c r="CM56" s="18">
        <v>1.7714285714285714</v>
      </c>
      <c r="CN56" s="18">
        <v>0</v>
      </c>
      <c r="CO56" s="18">
        <v>2.666666666666667</v>
      </c>
      <c r="CP56" s="18">
        <v>5.3333333333333339</v>
      </c>
      <c r="CQ56" s="18">
        <v>6</v>
      </c>
      <c r="CR56" s="18">
        <f t="shared" si="9"/>
        <v>2.0242634315424608</v>
      </c>
      <c r="CS56" s="18">
        <f t="shared" si="10"/>
        <v>1.1427293565159053</v>
      </c>
      <c r="CT56">
        <v>1.3274336283185799</v>
      </c>
      <c r="CU56">
        <v>59.513274336283203</v>
      </c>
      <c r="CV56">
        <v>39.159292035398195</v>
      </c>
      <c r="CW56">
        <v>0</v>
      </c>
      <c r="CX56">
        <v>0</v>
      </c>
      <c r="CY56">
        <v>14.6017699115044</v>
      </c>
      <c r="CZ56">
        <v>71.017699115044294</v>
      </c>
      <c r="DA56">
        <v>14.3805309734513</v>
      </c>
      <c r="DB56">
        <v>0</v>
      </c>
      <c r="DC56">
        <v>0</v>
      </c>
      <c r="DD56">
        <v>14.6017699115044</v>
      </c>
      <c r="DE56">
        <v>71.017699115044294</v>
      </c>
      <c r="DF56">
        <v>14.3805309734513</v>
      </c>
      <c r="DG56">
        <v>0</v>
      </c>
      <c r="DH56">
        <v>0</v>
      </c>
      <c r="DI56">
        <v>14.6017699115044</v>
      </c>
      <c r="DJ56">
        <v>81.415929203539804</v>
      </c>
      <c r="DK56">
        <v>3.98230088495575</v>
      </c>
      <c r="DL56">
        <v>0</v>
      </c>
      <c r="DM56">
        <v>0</v>
      </c>
      <c r="DN56">
        <v>14.6017699115044</v>
      </c>
      <c r="DO56">
        <v>81.415929203539804</v>
      </c>
      <c r="DP56">
        <v>3.98230088495575</v>
      </c>
      <c r="DQ56">
        <v>0</v>
      </c>
      <c r="DR56">
        <v>0</v>
      </c>
      <c r="DS56" t="s">
        <v>312</v>
      </c>
      <c r="DT56" t="s">
        <v>313</v>
      </c>
      <c r="DU56">
        <v>1372</v>
      </c>
      <c r="DV56">
        <v>2125</v>
      </c>
      <c r="DW56" t="s">
        <v>360</v>
      </c>
      <c r="DX56">
        <v>7</v>
      </c>
      <c r="DY56">
        <v>0</v>
      </c>
      <c r="DZ56">
        <v>7</v>
      </c>
      <c r="EA56">
        <v>36658</v>
      </c>
      <c r="EB56">
        <v>0</v>
      </c>
      <c r="EC56">
        <v>36658</v>
      </c>
      <c r="ED56" t="s">
        <v>274</v>
      </c>
      <c r="EE56" t="s">
        <v>274</v>
      </c>
      <c r="EF56" t="s">
        <v>274</v>
      </c>
      <c r="EG56" t="s">
        <v>274</v>
      </c>
    </row>
    <row r="57" spans="1:137" ht="14.55" customHeight="1" x14ac:dyDescent="0.3">
      <c r="A57" t="s">
        <v>386</v>
      </c>
      <c r="B57">
        <v>2147</v>
      </c>
      <c r="C57" t="s">
        <v>387</v>
      </c>
      <c r="D57" t="s">
        <v>269</v>
      </c>
      <c r="E57" t="s">
        <v>269</v>
      </c>
      <c r="F57" t="s">
        <v>270</v>
      </c>
      <c r="G57" t="s">
        <v>352</v>
      </c>
      <c r="H57" s="3">
        <v>5510049.2635700004</v>
      </c>
      <c r="I57">
        <v>438</v>
      </c>
      <c r="J57" s="3">
        <v>436.09284421499996</v>
      </c>
      <c r="K57">
        <v>668</v>
      </c>
      <c r="L57">
        <v>894</v>
      </c>
      <c r="M57">
        <v>767.95436746988003</v>
      </c>
      <c r="N57">
        <v>50.086887116746297</v>
      </c>
      <c r="O57">
        <v>0</v>
      </c>
      <c r="P57">
        <v>48.116729736328097</v>
      </c>
      <c r="Q57">
        <v>9.2074651718139595</v>
      </c>
      <c r="R57">
        <v>6.3094434738159197</v>
      </c>
      <c r="S57" t="s">
        <v>272</v>
      </c>
      <c r="T57" t="s">
        <v>386</v>
      </c>
      <c r="U57" t="s">
        <v>387</v>
      </c>
      <c r="V57" t="s">
        <v>387</v>
      </c>
      <c r="W57" s="3">
        <v>595</v>
      </c>
      <c r="X57" s="3">
        <v>4350000</v>
      </c>
      <c r="Y57">
        <v>3</v>
      </c>
      <c r="Z57" s="3">
        <v>278</v>
      </c>
      <c r="AA57" s="3">
        <v>364</v>
      </c>
      <c r="AB57" s="3">
        <v>461</v>
      </c>
      <c r="AC57" s="3">
        <v>539</v>
      </c>
      <c r="AD57" s="3">
        <v>555</v>
      </c>
      <c r="AE57" s="3">
        <v>564</v>
      </c>
      <c r="AF57" s="3">
        <v>573</v>
      </c>
      <c r="AG57" s="3">
        <v>578</v>
      </c>
      <c r="AH57" s="3">
        <v>584</v>
      </c>
      <c r="AI57" s="3">
        <v>583</v>
      </c>
      <c r="AJ57" s="3">
        <v>605</v>
      </c>
      <c r="AK57" s="3">
        <v>591</v>
      </c>
      <c r="AL57" s="3">
        <v>590</v>
      </c>
      <c r="AM57" s="3">
        <v>584</v>
      </c>
      <c r="AN57" s="3">
        <v>599</v>
      </c>
      <c r="AO57" s="3">
        <v>601</v>
      </c>
      <c r="AP57" s="3">
        <v>595</v>
      </c>
      <c r="AR57" s="4">
        <f t="shared" si="6"/>
        <v>136.43883587932862</v>
      </c>
      <c r="AS57" s="5">
        <f t="shared" si="7"/>
        <v>3.8669064748201443</v>
      </c>
      <c r="AT57" s="5">
        <f t="shared" si="0"/>
        <v>2.9609279609279606</v>
      </c>
      <c r="AU57" s="5">
        <f t="shared" si="1"/>
        <v>2.4295010845986984</v>
      </c>
      <c r="AV57" s="5">
        <f t="shared" si="2"/>
        <v>0.38394415357766143</v>
      </c>
      <c r="AW57" s="5">
        <f t="shared" si="3"/>
        <v>3.872196360558612</v>
      </c>
      <c r="AX57" s="5">
        <f t="shared" si="4"/>
        <v>1.4533622559652928</v>
      </c>
      <c r="AY57" s="5">
        <f t="shared" si="5"/>
        <v>3.0818588372545208</v>
      </c>
      <c r="AZ57">
        <f t="shared" si="8"/>
        <v>4380000</v>
      </c>
      <c r="BA57">
        <v>0</v>
      </c>
      <c r="BB57">
        <v>640000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410000</v>
      </c>
      <c r="BJ57">
        <v>0</v>
      </c>
      <c r="BK57">
        <v>0</v>
      </c>
      <c r="BL57">
        <v>0</v>
      </c>
      <c r="BM57">
        <v>2420000</v>
      </c>
      <c r="BN57">
        <v>0</v>
      </c>
      <c r="BO57">
        <v>0</v>
      </c>
      <c r="BP57">
        <v>30000</v>
      </c>
      <c r="BQ57">
        <v>0</v>
      </c>
      <c r="BR57">
        <v>840000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40000</v>
      </c>
      <c r="CB57">
        <v>36</v>
      </c>
      <c r="CC57">
        <v>52</v>
      </c>
      <c r="CD57">
        <v>69</v>
      </c>
      <c r="CE57">
        <v>72</v>
      </c>
      <c r="CF57" s="17">
        <v>8.2568807339449553</v>
      </c>
      <c r="CG57" s="17">
        <v>11.926605504587156</v>
      </c>
      <c r="CH57" s="17">
        <v>15.825688073394495</v>
      </c>
      <c r="CI57" s="17">
        <v>16.513761467889911</v>
      </c>
      <c r="CJ57" s="18">
        <v>1</v>
      </c>
      <c r="CK57" s="18">
        <v>1.4444444444444444</v>
      </c>
      <c r="CL57" s="18">
        <v>1.9166666666666667</v>
      </c>
      <c r="CM57" s="18">
        <v>2</v>
      </c>
      <c r="CN57" s="18">
        <v>0</v>
      </c>
      <c r="CO57" s="18">
        <v>3.669724770642202</v>
      </c>
      <c r="CP57" s="18">
        <v>7.5688073394495419</v>
      </c>
      <c r="CQ57" s="18">
        <v>8.2568807339449553</v>
      </c>
      <c r="CR57" s="18">
        <f t="shared" si="9"/>
        <v>2.1007194244604315</v>
      </c>
      <c r="CS57" s="18">
        <f t="shared" si="10"/>
        <v>1.0503597122302157</v>
      </c>
      <c r="CT57">
        <v>2.7397260273972703</v>
      </c>
      <c r="CU57">
        <v>81.278538812785399</v>
      </c>
      <c r="CV57">
        <v>7.5342465753424701</v>
      </c>
      <c r="CW57">
        <v>0</v>
      </c>
      <c r="CX57">
        <v>8.4474885844748897</v>
      </c>
      <c r="CY57">
        <v>10.5022831050228</v>
      </c>
      <c r="CZ57">
        <v>69.863013698630112</v>
      </c>
      <c r="DA57">
        <v>18.721461187214601</v>
      </c>
      <c r="DB57">
        <v>0</v>
      </c>
      <c r="DC57">
        <v>0.91324200913242004</v>
      </c>
      <c r="DD57">
        <v>10.5022831050228</v>
      </c>
      <c r="DE57">
        <v>69.863013698630112</v>
      </c>
      <c r="DF57">
        <v>18.721461187214601</v>
      </c>
      <c r="DG57">
        <v>0</v>
      </c>
      <c r="DH57">
        <v>0.91324200913242004</v>
      </c>
      <c r="DI57">
        <v>23.972602739726007</v>
      </c>
      <c r="DJ57">
        <v>55.251141552511399</v>
      </c>
      <c r="DK57">
        <v>19.863013698630098</v>
      </c>
      <c r="DL57">
        <v>0</v>
      </c>
      <c r="DM57">
        <v>0.91324200913242004</v>
      </c>
      <c r="DN57">
        <v>23.972602739726007</v>
      </c>
      <c r="DO57">
        <v>55.251141552511399</v>
      </c>
      <c r="DP57">
        <v>19.863013698630098</v>
      </c>
      <c r="DQ57">
        <v>0</v>
      </c>
      <c r="DR57">
        <v>0.91324200913242004</v>
      </c>
      <c r="DS57" t="s">
        <v>355</v>
      </c>
      <c r="DT57">
        <v>0</v>
      </c>
      <c r="DU57">
        <v>630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 t="s">
        <v>274</v>
      </c>
      <c r="EE57" t="s">
        <v>274</v>
      </c>
      <c r="EF57" t="s">
        <v>274</v>
      </c>
      <c r="EG57" t="s">
        <v>274</v>
      </c>
    </row>
    <row r="58" spans="1:137" ht="14.55" customHeight="1" x14ac:dyDescent="0.3">
      <c r="A58" t="s">
        <v>388</v>
      </c>
      <c r="B58">
        <v>2148</v>
      </c>
      <c r="C58" t="s">
        <v>389</v>
      </c>
      <c r="D58" t="s">
        <v>269</v>
      </c>
      <c r="E58" t="s">
        <v>269</v>
      </c>
      <c r="F58" t="s">
        <v>270</v>
      </c>
      <c r="G58" t="s">
        <v>352</v>
      </c>
      <c r="H58" s="3">
        <v>7755166.1255700001</v>
      </c>
      <c r="I58">
        <v>774</v>
      </c>
      <c r="J58" s="3">
        <v>775.51661255700003</v>
      </c>
      <c r="K58">
        <v>710</v>
      </c>
      <c r="L58">
        <v>1078</v>
      </c>
      <c r="M58">
        <v>857.17855327799396</v>
      </c>
      <c r="N58">
        <v>111.78045764188499</v>
      </c>
      <c r="O58">
        <v>0</v>
      </c>
      <c r="P58">
        <v>37.312728881835902</v>
      </c>
      <c r="Q58">
        <v>7.0875811576843297</v>
      </c>
      <c r="R58">
        <v>4.6945929527282697</v>
      </c>
      <c r="S58" t="s">
        <v>272</v>
      </c>
      <c r="T58" t="s">
        <v>388</v>
      </c>
      <c r="U58" t="s">
        <v>389</v>
      </c>
      <c r="V58" t="s">
        <v>389</v>
      </c>
      <c r="W58" s="3">
        <v>2791</v>
      </c>
      <c r="X58" s="3">
        <v>7750000</v>
      </c>
      <c r="Y58">
        <v>2</v>
      </c>
      <c r="Z58" s="3">
        <v>1154</v>
      </c>
      <c r="AA58" s="3">
        <v>1370</v>
      </c>
      <c r="AB58" s="3">
        <v>1643</v>
      </c>
      <c r="AC58" s="3">
        <v>1927</v>
      </c>
      <c r="AD58" s="3">
        <v>1995</v>
      </c>
      <c r="AE58" s="3">
        <v>2014</v>
      </c>
      <c r="AF58" s="3">
        <v>2121</v>
      </c>
      <c r="AG58" s="3">
        <v>2156</v>
      </c>
      <c r="AH58" s="3">
        <v>2181</v>
      </c>
      <c r="AI58" s="3">
        <v>2201</v>
      </c>
      <c r="AJ58" s="3">
        <v>2251</v>
      </c>
      <c r="AK58" s="3">
        <v>2348</v>
      </c>
      <c r="AL58" s="3">
        <v>2376</v>
      </c>
      <c r="AM58" s="3">
        <v>2496</v>
      </c>
      <c r="AN58" s="3">
        <v>2627</v>
      </c>
      <c r="AO58" s="3">
        <v>2781</v>
      </c>
      <c r="AP58" s="3">
        <v>2791</v>
      </c>
      <c r="AR58" s="4">
        <f t="shared" si="6"/>
        <v>359.88913129760493</v>
      </c>
      <c r="AS58" s="5">
        <f t="shared" si="7"/>
        <v>2.3396880415944543</v>
      </c>
      <c r="AT58" s="5">
        <f t="shared" si="0"/>
        <v>2.2141119221411194</v>
      </c>
      <c r="AU58" s="5">
        <f t="shared" si="1"/>
        <v>2.9093122337188073</v>
      </c>
      <c r="AV58" s="5">
        <f t="shared" si="2"/>
        <v>3.1588873173031593</v>
      </c>
      <c r="AW58" s="5">
        <f t="shared" si="3"/>
        <v>2.4926088286267714</v>
      </c>
      <c r="AX58" s="5">
        <f t="shared" si="4"/>
        <v>3.4936092513694463</v>
      </c>
      <c r="AY58" s="5">
        <f t="shared" si="5"/>
        <v>3.8339032273174389</v>
      </c>
      <c r="AZ58">
        <f t="shared" si="8"/>
        <v>7760000</v>
      </c>
      <c r="BA58">
        <v>0</v>
      </c>
      <c r="BB58">
        <v>990000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3530000</v>
      </c>
      <c r="BK58">
        <v>0</v>
      </c>
      <c r="BL58">
        <v>0</v>
      </c>
      <c r="BM58">
        <v>0</v>
      </c>
      <c r="BN58">
        <v>0</v>
      </c>
      <c r="BO58">
        <v>1680000</v>
      </c>
      <c r="BP58">
        <v>0</v>
      </c>
      <c r="BQ58">
        <v>1560000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69</v>
      </c>
      <c r="CC58">
        <v>77</v>
      </c>
      <c r="CD58">
        <v>93</v>
      </c>
      <c r="CE58">
        <v>106</v>
      </c>
      <c r="CF58" s="17">
        <v>8.8688946015424168</v>
      </c>
      <c r="CG58" s="17">
        <v>9.8971722365038559</v>
      </c>
      <c r="CH58" s="17">
        <v>11.953727506426736</v>
      </c>
      <c r="CI58" s="17">
        <v>13.624678663239074</v>
      </c>
      <c r="CJ58" s="18">
        <v>1</v>
      </c>
      <c r="CK58" s="18">
        <v>1.1159420289855073</v>
      </c>
      <c r="CL58" s="18">
        <v>1.3478260869565217</v>
      </c>
      <c r="CM58" s="18">
        <v>1.536231884057971</v>
      </c>
      <c r="CN58" s="18">
        <v>0</v>
      </c>
      <c r="CO58" s="18">
        <v>1.0282776349614395</v>
      </c>
      <c r="CP58" s="18">
        <v>3.0848329048843186</v>
      </c>
      <c r="CQ58" s="18">
        <v>4.7557840616966578</v>
      </c>
      <c r="CR58" s="18">
        <f t="shared" si="9"/>
        <v>2.1629116117850953</v>
      </c>
      <c r="CS58" s="18">
        <f t="shared" si="10"/>
        <v>1.4079330303129394</v>
      </c>
      <c r="CT58">
        <v>4.5103092783505154</v>
      </c>
      <c r="CU58">
        <v>54.252577319587601</v>
      </c>
      <c r="CV58">
        <v>41.237113402061894</v>
      </c>
      <c r="CW58">
        <v>0</v>
      </c>
      <c r="CX58">
        <v>0</v>
      </c>
      <c r="CY58">
        <v>12.6288659793814</v>
      </c>
      <c r="CZ58">
        <v>64.175257731958794</v>
      </c>
      <c r="DA58">
        <v>23.1958762886598</v>
      </c>
      <c r="DB58">
        <v>0</v>
      </c>
      <c r="DC58">
        <v>0</v>
      </c>
      <c r="DD58">
        <v>12.6288659793814</v>
      </c>
      <c r="DE58">
        <v>64.175257731958794</v>
      </c>
      <c r="DF58">
        <v>23.1958762886598</v>
      </c>
      <c r="DG58">
        <v>0</v>
      </c>
      <c r="DH58">
        <v>0</v>
      </c>
      <c r="DI58">
        <v>12.7577319587629</v>
      </c>
      <c r="DJ58">
        <v>67.139175257732006</v>
      </c>
      <c r="DK58">
        <v>20.1030927835052</v>
      </c>
      <c r="DL58">
        <v>0</v>
      </c>
      <c r="DM58">
        <v>0</v>
      </c>
      <c r="DN58">
        <v>12.7577319587629</v>
      </c>
      <c r="DO58">
        <v>67.139175257732006</v>
      </c>
      <c r="DP58">
        <v>20.1030927835052</v>
      </c>
      <c r="DQ58">
        <v>0</v>
      </c>
      <c r="DR58">
        <v>0</v>
      </c>
      <c r="DS58" t="s">
        <v>371</v>
      </c>
      <c r="DT58" t="s">
        <v>313</v>
      </c>
      <c r="DU58">
        <v>2874</v>
      </c>
      <c r="DV58">
        <v>2125</v>
      </c>
      <c r="DW58" t="s">
        <v>360</v>
      </c>
      <c r="DX58">
        <v>7</v>
      </c>
      <c r="DY58">
        <v>0</v>
      </c>
      <c r="DZ58">
        <v>7</v>
      </c>
      <c r="EA58">
        <v>36658</v>
      </c>
      <c r="EB58">
        <v>0</v>
      </c>
      <c r="EC58">
        <v>36658</v>
      </c>
      <c r="ED58" t="s">
        <v>274</v>
      </c>
      <c r="EE58" t="s">
        <v>274</v>
      </c>
      <c r="EF58" t="s">
        <v>274</v>
      </c>
      <c r="EG58" t="s">
        <v>274</v>
      </c>
    </row>
    <row r="59" spans="1:137" ht="14.55" customHeight="1" x14ac:dyDescent="0.3">
      <c r="A59" t="s">
        <v>390</v>
      </c>
      <c r="B59">
        <v>2149</v>
      </c>
      <c r="C59" t="s">
        <v>391</v>
      </c>
      <c r="D59" t="s">
        <v>269</v>
      </c>
      <c r="E59" t="s">
        <v>269</v>
      </c>
      <c r="F59" t="s">
        <v>270</v>
      </c>
      <c r="G59" t="s">
        <v>352</v>
      </c>
      <c r="H59" s="3">
        <v>24124244.7557</v>
      </c>
      <c r="I59">
        <v>2404</v>
      </c>
      <c r="J59" s="3">
        <v>2406.6119821500001</v>
      </c>
      <c r="K59">
        <v>675</v>
      </c>
      <c r="L59">
        <v>1712</v>
      </c>
      <c r="M59">
        <v>1104.4408355831899</v>
      </c>
      <c r="N59">
        <v>261.40344367829402</v>
      </c>
      <c r="O59">
        <v>0</v>
      </c>
      <c r="P59">
        <v>46.065711975097699</v>
      </c>
      <c r="Q59">
        <v>13.591682434081999</v>
      </c>
      <c r="R59">
        <v>7.31044244766235</v>
      </c>
      <c r="S59" t="s">
        <v>272</v>
      </c>
      <c r="T59" t="s">
        <v>390</v>
      </c>
      <c r="U59" t="s">
        <v>391</v>
      </c>
      <c r="V59" t="s">
        <v>391</v>
      </c>
      <c r="W59" s="3">
        <v>1744</v>
      </c>
      <c r="X59" s="3">
        <v>24060000</v>
      </c>
      <c r="Y59">
        <v>3</v>
      </c>
      <c r="Z59" s="3">
        <v>1029</v>
      </c>
      <c r="AA59" s="3">
        <v>1064</v>
      </c>
      <c r="AB59" s="3">
        <v>1289</v>
      </c>
      <c r="AC59" s="3">
        <v>1315</v>
      </c>
      <c r="AD59" s="3">
        <v>1377</v>
      </c>
      <c r="AE59" s="3">
        <v>1395</v>
      </c>
      <c r="AF59" s="3">
        <v>1413</v>
      </c>
      <c r="AG59" s="3">
        <v>1400</v>
      </c>
      <c r="AH59" s="3">
        <v>1428</v>
      </c>
      <c r="AI59" s="3">
        <v>1449</v>
      </c>
      <c r="AJ59" s="3">
        <v>1517</v>
      </c>
      <c r="AK59" s="3">
        <v>1558</v>
      </c>
      <c r="AL59" s="3">
        <v>1613</v>
      </c>
      <c r="AM59" s="3">
        <v>1644</v>
      </c>
      <c r="AN59" s="3">
        <v>1707</v>
      </c>
      <c r="AO59" s="3">
        <v>1711</v>
      </c>
      <c r="AP59" s="3">
        <v>1744</v>
      </c>
      <c r="AR59" s="4">
        <f t="shared" si="6"/>
        <v>72.467020563986338</v>
      </c>
      <c r="AS59" s="5">
        <f t="shared" si="7"/>
        <v>0.42517006802721091</v>
      </c>
      <c r="AT59" s="5">
        <f t="shared" si="0"/>
        <v>2.3496240601503757</v>
      </c>
      <c r="AU59" s="5">
        <f t="shared" si="1"/>
        <v>0.96198603568657881</v>
      </c>
      <c r="AV59" s="5">
        <f t="shared" si="2"/>
        <v>2.3425336164189665</v>
      </c>
      <c r="AW59" s="5">
        <f t="shared" si="3"/>
        <v>1.4863088092379808</v>
      </c>
      <c r="AX59" s="5">
        <f t="shared" si="4"/>
        <v>1.7649340574088439</v>
      </c>
      <c r="AY59" s="5">
        <f t="shared" si="5"/>
        <v>1.8779712657263679</v>
      </c>
      <c r="AZ59">
        <f t="shared" si="8"/>
        <v>24070000</v>
      </c>
      <c r="BA59">
        <v>0</v>
      </c>
      <c r="BB59">
        <v>880000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7930000</v>
      </c>
      <c r="BN59">
        <v>0</v>
      </c>
      <c r="BO59">
        <v>0</v>
      </c>
      <c r="BP59">
        <v>220000</v>
      </c>
      <c r="BQ59">
        <v>6910000</v>
      </c>
      <c r="BR59">
        <v>4130000</v>
      </c>
      <c r="BS59">
        <v>3220000</v>
      </c>
      <c r="BT59">
        <v>100000</v>
      </c>
      <c r="BU59">
        <v>680000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73</v>
      </c>
      <c r="CC59">
        <v>91</v>
      </c>
      <c r="CD59">
        <v>102</v>
      </c>
      <c r="CE59">
        <v>116</v>
      </c>
      <c r="CF59" s="17">
        <v>3.032820938928126</v>
      </c>
      <c r="CG59" s="17">
        <v>3.7806398005816364</v>
      </c>
      <c r="CH59" s="17">
        <v>4.23764021603656</v>
      </c>
      <c r="CI59" s="17">
        <v>4.8192771084337354</v>
      </c>
      <c r="CJ59" s="18">
        <v>1</v>
      </c>
      <c r="CK59" s="18">
        <v>1.2465753424657535</v>
      </c>
      <c r="CL59" s="18">
        <v>1.3972602739726028</v>
      </c>
      <c r="CM59" s="18">
        <v>1.5890410958904109</v>
      </c>
      <c r="CN59" s="18">
        <v>0</v>
      </c>
      <c r="CO59" s="18">
        <v>0.74781886165351064</v>
      </c>
      <c r="CP59" s="18">
        <v>1.2048192771084338</v>
      </c>
      <c r="CQ59" s="18">
        <v>1.7864561695056087</v>
      </c>
      <c r="CR59" s="18">
        <f t="shared" si="9"/>
        <v>1.597667638483965</v>
      </c>
      <c r="CS59" s="18">
        <f t="shared" si="10"/>
        <v>1.0054287724942195</v>
      </c>
      <c r="CT59">
        <v>0.74781886165351097</v>
      </c>
      <c r="CU59">
        <v>31.616119651017868</v>
      </c>
      <c r="CV59">
        <v>67.386788533444147</v>
      </c>
      <c r="CW59">
        <v>0</v>
      </c>
      <c r="CX59">
        <v>0.24927295388450399</v>
      </c>
      <c r="CY59">
        <v>3.03282093892813</v>
      </c>
      <c r="CZ59">
        <v>47.611134191940216</v>
      </c>
      <c r="DA59">
        <v>49.356044869131672</v>
      </c>
      <c r="DB59">
        <v>0</v>
      </c>
      <c r="DC59">
        <v>0</v>
      </c>
      <c r="DD59">
        <v>3.03282093892813</v>
      </c>
      <c r="DE59">
        <v>47.361861238055724</v>
      </c>
      <c r="DF59">
        <v>49.605317823016215</v>
      </c>
      <c r="DG59">
        <v>0</v>
      </c>
      <c r="DH59">
        <v>0</v>
      </c>
      <c r="DI59">
        <v>3.03282093892813</v>
      </c>
      <c r="DJ59">
        <v>33.568757789779802</v>
      </c>
      <c r="DK59">
        <v>63.398421271292108</v>
      </c>
      <c r="DL59">
        <v>0</v>
      </c>
      <c r="DM59">
        <v>0</v>
      </c>
      <c r="DN59">
        <v>3.6560033236393901</v>
      </c>
      <c r="DO59">
        <v>32.945575405068602</v>
      </c>
      <c r="DP59">
        <v>63.398421271292108</v>
      </c>
      <c r="DQ59">
        <v>0</v>
      </c>
      <c r="DR59">
        <v>0</v>
      </c>
      <c r="DS59" t="s">
        <v>273</v>
      </c>
      <c r="DT59" t="s">
        <v>273</v>
      </c>
      <c r="DU59" t="s">
        <v>273</v>
      </c>
      <c r="DV59" t="s">
        <v>273</v>
      </c>
      <c r="DW59" t="s">
        <v>273</v>
      </c>
      <c r="DX59" t="s">
        <v>273</v>
      </c>
      <c r="DY59" t="s">
        <v>273</v>
      </c>
      <c r="DZ59" t="s">
        <v>273</v>
      </c>
      <c r="EA59" t="s">
        <v>273</v>
      </c>
      <c r="EB59" t="s">
        <v>273</v>
      </c>
      <c r="EC59" t="s">
        <v>273</v>
      </c>
      <c r="ED59" t="s">
        <v>274</v>
      </c>
      <c r="EE59" t="s">
        <v>274</v>
      </c>
      <c r="EF59" t="s">
        <v>274</v>
      </c>
      <c r="EG59" t="s">
        <v>274</v>
      </c>
    </row>
    <row r="60" spans="1:137" ht="14.55" customHeight="1" x14ac:dyDescent="0.3">
      <c r="A60" t="s">
        <v>392</v>
      </c>
      <c r="B60">
        <v>2152</v>
      </c>
      <c r="C60" t="s">
        <v>393</v>
      </c>
      <c r="D60" t="s">
        <v>269</v>
      </c>
      <c r="E60" t="s">
        <v>269</v>
      </c>
      <c r="F60" t="s">
        <v>270</v>
      </c>
      <c r="G60" t="s">
        <v>352</v>
      </c>
      <c r="H60" s="3">
        <v>18817076.266199999</v>
      </c>
      <c r="I60">
        <v>1890</v>
      </c>
      <c r="J60" s="3">
        <v>1881.7076266199999</v>
      </c>
      <c r="K60">
        <v>779</v>
      </c>
      <c r="L60">
        <v>1063</v>
      </c>
      <c r="M60">
        <v>874.57909979064902</v>
      </c>
      <c r="N60">
        <v>59.585835533780298</v>
      </c>
      <c r="O60">
        <v>0</v>
      </c>
      <c r="P60">
        <v>27.9617595672607</v>
      </c>
      <c r="Q60">
        <v>5.6145100593566903</v>
      </c>
      <c r="R60">
        <v>3.3610897064209002</v>
      </c>
      <c r="S60" t="s">
        <v>272</v>
      </c>
      <c r="T60" t="s">
        <v>392</v>
      </c>
      <c r="U60" t="s">
        <v>393</v>
      </c>
      <c r="V60" t="s">
        <v>393</v>
      </c>
      <c r="W60" s="3">
        <v>1441</v>
      </c>
      <c r="X60" s="3">
        <v>18820000</v>
      </c>
      <c r="Y60">
        <v>3</v>
      </c>
      <c r="Z60" s="3">
        <v>930</v>
      </c>
      <c r="AA60" s="3">
        <v>1029</v>
      </c>
      <c r="AB60" s="3">
        <v>1177</v>
      </c>
      <c r="AC60" s="3">
        <v>1315</v>
      </c>
      <c r="AD60" s="3">
        <v>1328</v>
      </c>
      <c r="AE60" s="3">
        <v>1343</v>
      </c>
      <c r="AF60" s="3">
        <v>1363</v>
      </c>
      <c r="AG60" s="3">
        <v>1397</v>
      </c>
      <c r="AH60" s="3">
        <v>1432</v>
      </c>
      <c r="AI60" s="3">
        <v>1440</v>
      </c>
      <c r="AJ60" s="3">
        <v>1458</v>
      </c>
      <c r="AK60" s="3">
        <v>1444</v>
      </c>
      <c r="AL60" s="3">
        <v>1447</v>
      </c>
      <c r="AM60" s="3">
        <v>1446</v>
      </c>
      <c r="AN60" s="3">
        <v>1423</v>
      </c>
      <c r="AO60" s="3">
        <v>1463</v>
      </c>
      <c r="AP60" s="3">
        <v>1441</v>
      </c>
      <c r="AR60" s="4">
        <f t="shared" si="6"/>
        <v>76.579378199597514</v>
      </c>
      <c r="AS60" s="5">
        <f t="shared" si="7"/>
        <v>1.3306451612903225</v>
      </c>
      <c r="AT60" s="5">
        <f t="shared" si="0"/>
        <v>1.5980995572832306</v>
      </c>
      <c r="AU60" s="5">
        <f t="shared" si="1"/>
        <v>1.580288870008496</v>
      </c>
      <c r="AV60" s="5">
        <f t="shared" si="2"/>
        <v>0.57226705796038146</v>
      </c>
      <c r="AW60" s="5">
        <f t="shared" si="3"/>
        <v>1.5623023402909548</v>
      </c>
      <c r="AX60" s="5">
        <f t="shared" si="4"/>
        <v>1.1214953271028036</v>
      </c>
      <c r="AY60" s="5">
        <f t="shared" si="5"/>
        <v>1.4850334205172915</v>
      </c>
      <c r="AZ60">
        <f t="shared" si="8"/>
        <v>18860000</v>
      </c>
      <c r="BA60">
        <v>0</v>
      </c>
      <c r="BB60">
        <v>680000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14470000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3670000</v>
      </c>
      <c r="BR60">
        <v>40000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89</v>
      </c>
      <c r="CC60">
        <v>105</v>
      </c>
      <c r="CD60">
        <v>116</v>
      </c>
      <c r="CE60">
        <v>128</v>
      </c>
      <c r="CF60" s="17">
        <v>4.7315257841573626</v>
      </c>
      <c r="CG60" s="17">
        <v>5.5821371610845292</v>
      </c>
      <c r="CH60" s="17">
        <v>6.1669324827219558</v>
      </c>
      <c r="CI60" s="17">
        <v>6.8048910154173319</v>
      </c>
      <c r="CJ60" s="18">
        <v>1</v>
      </c>
      <c r="CK60" s="18">
        <v>1.1797752808988764</v>
      </c>
      <c r="CL60" s="18">
        <v>1.303370786516854</v>
      </c>
      <c r="CM60" s="18">
        <v>1.4382022471910112</v>
      </c>
      <c r="CN60" s="18">
        <v>0</v>
      </c>
      <c r="CO60" s="18">
        <v>0.85061137692716648</v>
      </c>
      <c r="CP60" s="18">
        <v>1.4354066985645932</v>
      </c>
      <c r="CQ60" s="18">
        <v>2.073365231259968</v>
      </c>
      <c r="CR60" s="18">
        <f t="shared" si="9"/>
        <v>1.5548387096774194</v>
      </c>
      <c r="CS60" s="18">
        <f t="shared" si="10"/>
        <v>1.0810987903225808</v>
      </c>
      <c r="CT60">
        <v>0.106044538706257</v>
      </c>
      <c r="CU60">
        <v>80.010604453870599</v>
      </c>
      <c r="CV60">
        <v>18.92895015906678</v>
      </c>
      <c r="CW60">
        <v>0.63626723223754</v>
      </c>
      <c r="CX60">
        <v>0.31813361611877</v>
      </c>
      <c r="CY60">
        <v>3.6585365853658498</v>
      </c>
      <c r="CZ60">
        <v>76.564156945917304</v>
      </c>
      <c r="DA60">
        <v>19.777306468716901</v>
      </c>
      <c r="DB60">
        <v>0</v>
      </c>
      <c r="DC60">
        <v>0</v>
      </c>
      <c r="DD60">
        <v>3.6585365853658498</v>
      </c>
      <c r="DE60">
        <v>76.564156945917304</v>
      </c>
      <c r="DF60">
        <v>19.777306468716901</v>
      </c>
      <c r="DG60">
        <v>0</v>
      </c>
      <c r="DH60">
        <v>0</v>
      </c>
      <c r="DI60">
        <v>3.6055143160127301</v>
      </c>
      <c r="DJ60">
        <v>76.723223753976697</v>
      </c>
      <c r="DK60">
        <v>19.671261930010601</v>
      </c>
      <c r="DL60">
        <v>0</v>
      </c>
      <c r="DM60">
        <v>0</v>
      </c>
      <c r="DN60">
        <v>3.6055143160127301</v>
      </c>
      <c r="DO60">
        <v>76.723223753976697</v>
      </c>
      <c r="DP60">
        <v>19.671261930010601</v>
      </c>
      <c r="DQ60">
        <v>0</v>
      </c>
      <c r="DR60">
        <v>0</v>
      </c>
      <c r="DS60" t="s">
        <v>355</v>
      </c>
      <c r="DT60">
        <v>0</v>
      </c>
      <c r="DU60">
        <v>1448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 t="s">
        <v>274</v>
      </c>
      <c r="EE60" t="s">
        <v>274</v>
      </c>
      <c r="EF60" t="s">
        <v>274</v>
      </c>
      <c r="EG60" t="s">
        <v>274</v>
      </c>
    </row>
    <row r="61" spans="1:137" ht="14.55" customHeight="1" x14ac:dyDescent="0.3">
      <c r="A61" t="s">
        <v>394</v>
      </c>
      <c r="B61">
        <v>2153</v>
      </c>
      <c r="C61" t="s">
        <v>395</v>
      </c>
      <c r="D61" t="s">
        <v>269</v>
      </c>
      <c r="E61" t="s">
        <v>269</v>
      </c>
      <c r="F61" t="s">
        <v>270</v>
      </c>
      <c r="G61" t="s">
        <v>352</v>
      </c>
      <c r="H61" s="3">
        <v>8713966.1747299992</v>
      </c>
      <c r="I61">
        <v>872</v>
      </c>
      <c r="J61" s="3">
        <v>871.39661747299988</v>
      </c>
      <c r="K61">
        <v>696</v>
      </c>
      <c r="L61">
        <v>1209</v>
      </c>
      <c r="M61">
        <v>923.15910461260205</v>
      </c>
      <c r="N61">
        <v>115.04889810267601</v>
      </c>
      <c r="O61">
        <v>0</v>
      </c>
      <c r="P61">
        <v>35.767601013183601</v>
      </c>
      <c r="Q61">
        <v>8.3927001953125</v>
      </c>
      <c r="R61">
        <v>5.2881793975830096</v>
      </c>
      <c r="S61" t="s">
        <v>272</v>
      </c>
      <c r="T61" t="s">
        <v>394</v>
      </c>
      <c r="U61" t="s">
        <v>395</v>
      </c>
      <c r="V61" t="s">
        <v>395</v>
      </c>
      <c r="W61" s="3">
        <v>1119</v>
      </c>
      <c r="X61" s="3">
        <v>8710000</v>
      </c>
      <c r="Y61">
        <v>3</v>
      </c>
      <c r="Z61" s="3">
        <v>630</v>
      </c>
      <c r="AA61" s="3">
        <v>690</v>
      </c>
      <c r="AB61" s="3">
        <v>791</v>
      </c>
      <c r="AC61" s="3">
        <v>860</v>
      </c>
      <c r="AD61" s="3">
        <v>911</v>
      </c>
      <c r="AE61" s="3">
        <v>931</v>
      </c>
      <c r="AF61" s="3">
        <v>945</v>
      </c>
      <c r="AG61" s="3">
        <v>914</v>
      </c>
      <c r="AH61" s="3">
        <v>949</v>
      </c>
      <c r="AI61" s="3">
        <v>1006</v>
      </c>
      <c r="AJ61" s="3">
        <v>1031</v>
      </c>
      <c r="AK61" s="3">
        <v>1066</v>
      </c>
      <c r="AL61" s="3">
        <v>1098</v>
      </c>
      <c r="AM61" s="3">
        <v>1082</v>
      </c>
      <c r="AN61" s="3">
        <v>1087</v>
      </c>
      <c r="AO61" s="3">
        <v>1098</v>
      </c>
      <c r="AP61" s="3">
        <v>1119</v>
      </c>
      <c r="AR61" s="4">
        <f t="shared" si="6"/>
        <v>128.41454483092161</v>
      </c>
      <c r="AS61" s="5">
        <f t="shared" si="7"/>
        <v>1.1904761904761905</v>
      </c>
      <c r="AT61" s="5">
        <f t="shared" si="0"/>
        <v>1.6264090177133657</v>
      </c>
      <c r="AU61" s="5">
        <f t="shared" si="1"/>
        <v>1.9469026548672566</v>
      </c>
      <c r="AV61" s="5">
        <f t="shared" si="2"/>
        <v>1.8412698412698416</v>
      </c>
      <c r="AW61" s="5">
        <f t="shared" si="3"/>
        <v>1.5032679738562089</v>
      </c>
      <c r="AX61" s="5">
        <f t="shared" si="4"/>
        <v>2.0733249051833123</v>
      </c>
      <c r="AY61" s="5">
        <f t="shared" si="5"/>
        <v>2.0978120978120978</v>
      </c>
      <c r="AZ61">
        <f t="shared" si="8"/>
        <v>8720000</v>
      </c>
      <c r="BA61">
        <v>0</v>
      </c>
      <c r="BB61">
        <v>500000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6240000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1270000</v>
      </c>
      <c r="BR61">
        <v>320000</v>
      </c>
      <c r="BS61">
        <v>0</v>
      </c>
      <c r="BT61">
        <v>0</v>
      </c>
      <c r="BU61">
        <v>390000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58</v>
      </c>
      <c r="CC61">
        <v>69</v>
      </c>
      <c r="CD61">
        <v>77</v>
      </c>
      <c r="CE61">
        <v>87</v>
      </c>
      <c r="CF61" s="17">
        <v>6.6437571592210771</v>
      </c>
      <c r="CG61" s="17">
        <v>7.9037800687285218</v>
      </c>
      <c r="CH61" s="17">
        <v>8.8201603665521198</v>
      </c>
      <c r="CI61" s="17">
        <v>9.9656357388316152</v>
      </c>
      <c r="CJ61" s="18">
        <v>1</v>
      </c>
      <c r="CK61" s="18">
        <v>1.1896551724137931</v>
      </c>
      <c r="CL61" s="18">
        <v>1.3275862068965518</v>
      </c>
      <c r="CM61" s="18">
        <v>1.5</v>
      </c>
      <c r="CN61" s="18">
        <v>0</v>
      </c>
      <c r="CO61" s="18">
        <v>1.2600229095074456</v>
      </c>
      <c r="CP61" s="18">
        <v>2.1764032073310422</v>
      </c>
      <c r="CQ61" s="18">
        <v>3.3218785796105386</v>
      </c>
      <c r="CR61" s="18">
        <f t="shared" si="9"/>
        <v>1.7174603174603174</v>
      </c>
      <c r="CS61" s="18">
        <f t="shared" si="10"/>
        <v>1.144973544973545</v>
      </c>
      <c r="CT61">
        <v>0.34403669724770697</v>
      </c>
      <c r="CU61">
        <v>58.256880733945003</v>
      </c>
      <c r="CV61">
        <v>41.399082568807302</v>
      </c>
      <c r="CW61">
        <v>0</v>
      </c>
      <c r="CX61">
        <v>0</v>
      </c>
      <c r="CY61">
        <v>5.6192660550458697</v>
      </c>
      <c r="CZ61">
        <v>71.444954128440401</v>
      </c>
      <c r="DA61">
        <v>22.935779816513801</v>
      </c>
      <c r="DB61">
        <v>0</v>
      </c>
      <c r="DC61">
        <v>0</v>
      </c>
      <c r="DD61">
        <v>5.6192660550458697</v>
      </c>
      <c r="DE61">
        <v>71.444954128440401</v>
      </c>
      <c r="DF61">
        <v>22.935779816513801</v>
      </c>
      <c r="DG61">
        <v>0</v>
      </c>
      <c r="DH61">
        <v>0</v>
      </c>
      <c r="DI61">
        <v>5.7339449541284404</v>
      </c>
      <c r="DJ61">
        <v>71.559633027522906</v>
      </c>
      <c r="DK61">
        <v>22.706422018348579</v>
      </c>
      <c r="DL61">
        <v>0</v>
      </c>
      <c r="DM61">
        <v>0</v>
      </c>
      <c r="DN61">
        <v>5.7339449541284404</v>
      </c>
      <c r="DO61">
        <v>71.559633027522906</v>
      </c>
      <c r="DP61">
        <v>22.706422018348579</v>
      </c>
      <c r="DQ61">
        <v>0</v>
      </c>
      <c r="DR61">
        <v>0</v>
      </c>
      <c r="DS61" t="s">
        <v>355</v>
      </c>
      <c r="DT61">
        <v>0</v>
      </c>
      <c r="DU61">
        <v>1105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 t="s">
        <v>274</v>
      </c>
      <c r="EE61" t="s">
        <v>274</v>
      </c>
      <c r="EF61" t="s">
        <v>274</v>
      </c>
      <c r="EG61" t="s">
        <v>274</v>
      </c>
    </row>
    <row r="62" spans="1:137" ht="14.55" customHeight="1" x14ac:dyDescent="0.3">
      <c r="A62" t="s">
        <v>396</v>
      </c>
      <c r="B62">
        <v>2155</v>
      </c>
      <c r="C62" t="s">
        <v>397</v>
      </c>
      <c r="D62" t="s">
        <v>269</v>
      </c>
      <c r="E62" t="s">
        <v>269</v>
      </c>
      <c r="F62" t="s">
        <v>270</v>
      </c>
      <c r="G62" t="s">
        <v>352</v>
      </c>
      <c r="H62" s="3">
        <v>10103142.5493</v>
      </c>
      <c r="I62">
        <v>1011</v>
      </c>
      <c r="J62" s="3">
        <v>1010.3142549300001</v>
      </c>
      <c r="K62">
        <v>777</v>
      </c>
      <c r="L62">
        <v>1357</v>
      </c>
      <c r="M62">
        <v>916.00760926118596</v>
      </c>
      <c r="N62">
        <v>130.59315126368401</v>
      </c>
      <c r="O62">
        <v>0</v>
      </c>
      <c r="P62">
        <v>34.692676544189503</v>
      </c>
      <c r="Q62">
        <v>7.74381351470947</v>
      </c>
      <c r="R62">
        <v>5.6115241050720197</v>
      </c>
      <c r="S62" t="s">
        <v>272</v>
      </c>
      <c r="T62" t="s">
        <v>396</v>
      </c>
      <c r="U62" t="s">
        <v>397</v>
      </c>
      <c r="V62" t="s">
        <v>397</v>
      </c>
      <c r="W62" s="3">
        <v>1071</v>
      </c>
      <c r="X62" s="3">
        <v>10100000</v>
      </c>
      <c r="Y62">
        <v>3</v>
      </c>
      <c r="Z62" s="3">
        <v>698</v>
      </c>
      <c r="AA62" s="3">
        <v>775</v>
      </c>
      <c r="AB62" s="3">
        <v>849</v>
      </c>
      <c r="AC62" s="3">
        <v>915</v>
      </c>
      <c r="AD62" s="3">
        <v>940</v>
      </c>
      <c r="AE62" s="3">
        <v>946</v>
      </c>
      <c r="AF62" s="3">
        <v>980</v>
      </c>
      <c r="AG62" s="3">
        <v>995</v>
      </c>
      <c r="AH62" s="3">
        <v>1014</v>
      </c>
      <c r="AI62" s="3">
        <v>994</v>
      </c>
      <c r="AJ62" s="3">
        <v>1035</v>
      </c>
      <c r="AK62" s="3">
        <v>1049</v>
      </c>
      <c r="AL62" s="3">
        <v>1032</v>
      </c>
      <c r="AM62" s="3">
        <v>1045</v>
      </c>
      <c r="AN62" s="3">
        <v>1060</v>
      </c>
      <c r="AO62" s="3">
        <v>1063</v>
      </c>
      <c r="AP62" s="3">
        <v>1071</v>
      </c>
      <c r="AR62" s="4">
        <f t="shared" si="6"/>
        <v>106.00662068993617</v>
      </c>
      <c r="AS62" s="5">
        <f t="shared" si="7"/>
        <v>1.3789398280802292</v>
      </c>
      <c r="AT62" s="5">
        <f t="shared" si="0"/>
        <v>1.0609318996415771</v>
      </c>
      <c r="AU62" s="5">
        <f t="shared" si="1"/>
        <v>1.5429917550058891</v>
      </c>
      <c r="AV62" s="5">
        <f t="shared" si="2"/>
        <v>0.9285714285714286</v>
      </c>
      <c r="AW62" s="5">
        <f t="shared" si="3"/>
        <v>1.2725434013146808</v>
      </c>
      <c r="AX62" s="5">
        <f t="shared" si="4"/>
        <v>1.3074204946996468</v>
      </c>
      <c r="AY62" s="5">
        <f t="shared" si="5"/>
        <v>1.44428095717494</v>
      </c>
      <c r="AZ62">
        <f t="shared" si="8"/>
        <v>10110000</v>
      </c>
      <c r="BA62">
        <v>0</v>
      </c>
      <c r="BB62">
        <v>570000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6490000</v>
      </c>
      <c r="BK62">
        <v>0</v>
      </c>
      <c r="BL62">
        <v>0</v>
      </c>
      <c r="BM62">
        <v>350000</v>
      </c>
      <c r="BN62">
        <v>0</v>
      </c>
      <c r="BO62">
        <v>60000</v>
      </c>
      <c r="BP62">
        <v>0</v>
      </c>
      <c r="BQ62">
        <v>1270000</v>
      </c>
      <c r="BR62">
        <v>1280000</v>
      </c>
      <c r="BS62">
        <v>0</v>
      </c>
      <c r="BT62">
        <v>0</v>
      </c>
      <c r="BU62">
        <v>90000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75</v>
      </c>
      <c r="CC62">
        <v>81</v>
      </c>
      <c r="CD62">
        <v>91</v>
      </c>
      <c r="CE62">
        <v>99</v>
      </c>
      <c r="CF62" s="17">
        <v>7.4626865671641784</v>
      </c>
      <c r="CG62" s="17">
        <v>8.0597014925373127</v>
      </c>
      <c r="CH62" s="17">
        <v>9.0547263681592032</v>
      </c>
      <c r="CI62" s="17">
        <v>9.8507462686567173</v>
      </c>
      <c r="CJ62" s="18">
        <v>1</v>
      </c>
      <c r="CK62" s="18">
        <v>1.08</v>
      </c>
      <c r="CL62" s="18">
        <v>1.2133333333333334</v>
      </c>
      <c r="CM62" s="18">
        <v>1.32</v>
      </c>
      <c r="CN62" s="18">
        <v>0</v>
      </c>
      <c r="CO62" s="18">
        <v>0.59701492537313439</v>
      </c>
      <c r="CP62" s="18">
        <v>1.5920398009950247</v>
      </c>
      <c r="CQ62" s="18">
        <v>2.3880597014925375</v>
      </c>
      <c r="CR62" s="18">
        <f t="shared" si="9"/>
        <v>1.497134670487106</v>
      </c>
      <c r="CS62" s="18">
        <f t="shared" si="10"/>
        <v>1.1341929321872015</v>
      </c>
      <c r="CT62">
        <v>2.1760633036597401</v>
      </c>
      <c r="CU62">
        <v>66.172106824925805</v>
      </c>
      <c r="CV62">
        <v>31.651829871414481</v>
      </c>
      <c r="CW62">
        <v>0</v>
      </c>
      <c r="CX62">
        <v>0</v>
      </c>
      <c r="CY62">
        <v>4.9455984174085099</v>
      </c>
      <c r="CZ62">
        <v>68.842729970326502</v>
      </c>
      <c r="DA62">
        <v>26.211671612265132</v>
      </c>
      <c r="DB62">
        <v>0</v>
      </c>
      <c r="DC62">
        <v>0</v>
      </c>
      <c r="DD62">
        <v>4.9455984174085099</v>
      </c>
      <c r="DE62">
        <v>68.842729970326502</v>
      </c>
      <c r="DF62">
        <v>26.211671612265132</v>
      </c>
      <c r="DG62">
        <v>0</v>
      </c>
      <c r="DH62">
        <v>0</v>
      </c>
      <c r="DI62">
        <v>5.6379821958456997</v>
      </c>
      <c r="DJ62">
        <v>68.249258160237375</v>
      </c>
      <c r="DK62">
        <v>26.112759643916931</v>
      </c>
      <c r="DL62">
        <v>0</v>
      </c>
      <c r="DM62">
        <v>0</v>
      </c>
      <c r="DN62">
        <v>5.6379821958456997</v>
      </c>
      <c r="DO62">
        <v>68.249258160237375</v>
      </c>
      <c r="DP62">
        <v>26.112759643916931</v>
      </c>
      <c r="DQ62">
        <v>0</v>
      </c>
      <c r="DR62">
        <v>0</v>
      </c>
      <c r="DS62" t="s">
        <v>355</v>
      </c>
      <c r="DT62">
        <v>0</v>
      </c>
      <c r="DU62">
        <v>1116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 t="s">
        <v>274</v>
      </c>
      <c r="EE62" t="s">
        <v>274</v>
      </c>
      <c r="EF62" t="s">
        <v>274</v>
      </c>
      <c r="EG62" t="s">
        <v>274</v>
      </c>
    </row>
    <row r="63" spans="1:137" ht="14.55" customHeight="1" x14ac:dyDescent="0.3">
      <c r="A63" t="s">
        <v>398</v>
      </c>
      <c r="B63">
        <v>2160</v>
      </c>
      <c r="C63" t="s">
        <v>399</v>
      </c>
      <c r="D63" t="s">
        <v>269</v>
      </c>
      <c r="E63" t="s">
        <v>269</v>
      </c>
      <c r="F63" t="s">
        <v>270</v>
      </c>
      <c r="G63" t="s">
        <v>352</v>
      </c>
      <c r="H63" s="3">
        <v>10445944.4311</v>
      </c>
      <c r="I63">
        <v>1040</v>
      </c>
      <c r="J63" s="3">
        <v>1044.5944431099999</v>
      </c>
      <c r="K63">
        <v>760</v>
      </c>
      <c r="L63">
        <v>1344</v>
      </c>
      <c r="M63">
        <v>914.752830900856</v>
      </c>
      <c r="N63">
        <v>144.162005437684</v>
      </c>
      <c r="O63">
        <v>0</v>
      </c>
      <c r="P63">
        <v>34.472621917724602</v>
      </c>
      <c r="Q63">
        <v>7.7602334022521999</v>
      </c>
      <c r="R63">
        <v>5.3944287300109899</v>
      </c>
      <c r="S63" t="s">
        <v>272</v>
      </c>
      <c r="T63" t="s">
        <v>398</v>
      </c>
      <c r="U63" t="s">
        <v>399</v>
      </c>
      <c r="V63" t="s">
        <v>399</v>
      </c>
      <c r="W63" s="3">
        <v>2435</v>
      </c>
      <c r="X63" s="3">
        <v>10450000</v>
      </c>
      <c r="Y63">
        <v>2</v>
      </c>
      <c r="Z63" s="3">
        <v>1160</v>
      </c>
      <c r="AA63" s="3">
        <v>1360</v>
      </c>
      <c r="AB63" s="3">
        <v>1616</v>
      </c>
      <c r="AC63" s="3">
        <v>1789</v>
      </c>
      <c r="AD63" s="3">
        <v>1865</v>
      </c>
      <c r="AE63" s="3">
        <v>1946</v>
      </c>
      <c r="AF63" s="3">
        <v>1934</v>
      </c>
      <c r="AG63" s="3">
        <v>1977</v>
      </c>
      <c r="AH63" s="3">
        <v>2045</v>
      </c>
      <c r="AI63" s="3">
        <v>2153</v>
      </c>
      <c r="AJ63" s="3">
        <v>2204</v>
      </c>
      <c r="AK63" s="3">
        <v>2277</v>
      </c>
      <c r="AL63" s="3">
        <v>2282</v>
      </c>
      <c r="AM63" s="3">
        <v>2296</v>
      </c>
      <c r="AN63" s="3">
        <v>2317</v>
      </c>
      <c r="AO63" s="3">
        <v>2405</v>
      </c>
      <c r="AP63" s="3">
        <v>2435</v>
      </c>
      <c r="AR63" s="4">
        <f t="shared" si="6"/>
        <v>233.10482035022514</v>
      </c>
      <c r="AS63" s="5">
        <f t="shared" si="7"/>
        <v>2.1551724137931036</v>
      </c>
      <c r="AT63" s="5">
        <f t="shared" si="0"/>
        <v>2.0915032679738559</v>
      </c>
      <c r="AU63" s="5">
        <f t="shared" si="1"/>
        <v>1.9678217821782178</v>
      </c>
      <c r="AV63" s="5">
        <f t="shared" si="2"/>
        <v>2.5904860392967946</v>
      </c>
      <c r="AW63" s="5">
        <f t="shared" si="3"/>
        <v>2.3123732251521298</v>
      </c>
      <c r="AX63" s="5">
        <f t="shared" si="4"/>
        <v>2.5340346534653464</v>
      </c>
      <c r="AY63" s="5">
        <f t="shared" si="5"/>
        <v>2.9706430568499531</v>
      </c>
      <c r="AZ63">
        <f t="shared" si="8"/>
        <v>10410000</v>
      </c>
      <c r="BA63">
        <v>0</v>
      </c>
      <c r="BB63">
        <v>1080000</v>
      </c>
      <c r="BC63">
        <v>160000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2380000</v>
      </c>
      <c r="BK63">
        <v>0</v>
      </c>
      <c r="BL63">
        <v>0</v>
      </c>
      <c r="BM63">
        <v>2830000</v>
      </c>
      <c r="BN63">
        <v>0</v>
      </c>
      <c r="BO63">
        <v>2130000</v>
      </c>
      <c r="BP63">
        <v>0</v>
      </c>
      <c r="BQ63">
        <v>1770000</v>
      </c>
      <c r="BR63">
        <v>30000</v>
      </c>
      <c r="BS63">
        <v>0</v>
      </c>
      <c r="BT63">
        <v>0</v>
      </c>
      <c r="BU63">
        <v>30000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76</v>
      </c>
      <c r="CC63">
        <v>92</v>
      </c>
      <c r="CD63">
        <v>110</v>
      </c>
      <c r="CE63">
        <v>131</v>
      </c>
      <c r="CF63" s="17">
        <v>7.2657743785850863</v>
      </c>
      <c r="CG63" s="17">
        <v>8.7954110898661568</v>
      </c>
      <c r="CH63" s="17">
        <v>10.51625239005736</v>
      </c>
      <c r="CI63" s="17">
        <v>12.523900573613766</v>
      </c>
      <c r="CJ63" s="18">
        <v>1</v>
      </c>
      <c r="CK63" s="18">
        <v>1.2105263157894737</v>
      </c>
      <c r="CL63" s="18">
        <v>1.4473684210526316</v>
      </c>
      <c r="CM63" s="18">
        <v>1.7236842105263157</v>
      </c>
      <c r="CN63" s="18">
        <v>0</v>
      </c>
      <c r="CO63" s="18">
        <v>1.5296367112810707</v>
      </c>
      <c r="CP63" s="18">
        <v>3.2504780114722758</v>
      </c>
      <c r="CQ63" s="18">
        <v>5.2581261950286802</v>
      </c>
      <c r="CR63" s="18">
        <f t="shared" si="9"/>
        <v>1.9793103448275862</v>
      </c>
      <c r="CS63" s="18">
        <f t="shared" si="10"/>
        <v>1.14830218478547</v>
      </c>
      <c r="CT63">
        <v>0.76849183477425598</v>
      </c>
      <c r="CU63">
        <v>52.833813640730099</v>
      </c>
      <c r="CV63">
        <v>46.397694524495705</v>
      </c>
      <c r="CW63">
        <v>0</v>
      </c>
      <c r="CX63">
        <v>0</v>
      </c>
      <c r="CY63">
        <v>10.470701248799235</v>
      </c>
      <c r="CZ63">
        <v>71.950048030739694</v>
      </c>
      <c r="DA63">
        <v>17.579250720461147</v>
      </c>
      <c r="DB63">
        <v>0</v>
      </c>
      <c r="DC63">
        <v>0</v>
      </c>
      <c r="DD63">
        <v>10.470701248799235</v>
      </c>
      <c r="DE63">
        <v>71.950048030739694</v>
      </c>
      <c r="DF63">
        <v>17.579250720461147</v>
      </c>
      <c r="DG63">
        <v>0</v>
      </c>
      <c r="DH63">
        <v>0</v>
      </c>
      <c r="DI63">
        <v>11.91162343900101</v>
      </c>
      <c r="DJ63">
        <v>70.50912584053799</v>
      </c>
      <c r="DK63">
        <v>17.579250720461147</v>
      </c>
      <c r="DL63">
        <v>0</v>
      </c>
      <c r="DM63">
        <v>0</v>
      </c>
      <c r="DN63">
        <v>11.91162343900101</v>
      </c>
      <c r="DO63">
        <v>70.50912584053799</v>
      </c>
      <c r="DP63">
        <v>17.579250720461147</v>
      </c>
      <c r="DQ63">
        <v>0</v>
      </c>
      <c r="DR63">
        <v>0</v>
      </c>
      <c r="DS63" t="s">
        <v>371</v>
      </c>
      <c r="DT63" t="s">
        <v>313</v>
      </c>
      <c r="DU63">
        <v>2541</v>
      </c>
      <c r="DV63">
        <v>2125</v>
      </c>
      <c r="DW63" t="s">
        <v>360</v>
      </c>
      <c r="DX63">
        <v>7</v>
      </c>
      <c r="DY63">
        <v>0</v>
      </c>
      <c r="DZ63">
        <v>7</v>
      </c>
      <c r="EA63">
        <v>36658</v>
      </c>
      <c r="EB63">
        <v>0</v>
      </c>
      <c r="EC63">
        <v>36658</v>
      </c>
      <c r="ED63" t="s">
        <v>274</v>
      </c>
      <c r="EE63" t="s">
        <v>274</v>
      </c>
      <c r="EF63" t="s">
        <v>274</v>
      </c>
      <c r="EG63" t="s">
        <v>274</v>
      </c>
    </row>
    <row r="64" spans="1:137" ht="14.55" customHeight="1" x14ac:dyDescent="0.3">
      <c r="A64" t="s">
        <v>400</v>
      </c>
      <c r="B64">
        <v>2162</v>
      </c>
      <c r="C64" t="s">
        <v>401</v>
      </c>
      <c r="D64" t="s">
        <v>269</v>
      </c>
      <c r="E64" t="s">
        <v>269</v>
      </c>
      <c r="F64" t="s">
        <v>270</v>
      </c>
      <c r="G64" t="s">
        <v>352</v>
      </c>
      <c r="H64" s="3">
        <v>33342183.594000001</v>
      </c>
      <c r="I64">
        <v>3335</v>
      </c>
      <c r="J64" s="3">
        <v>3334.2183593999998</v>
      </c>
      <c r="K64">
        <v>681</v>
      </c>
      <c r="L64">
        <v>2209</v>
      </c>
      <c r="M64">
        <v>1248.2050583964599</v>
      </c>
      <c r="N64">
        <v>340.87303419077898</v>
      </c>
      <c r="O64">
        <v>0</v>
      </c>
      <c r="P64">
        <v>72.190368652343807</v>
      </c>
      <c r="Q64">
        <v>22.258090972900401</v>
      </c>
      <c r="R64">
        <v>11.489102363586399</v>
      </c>
      <c r="S64" t="s">
        <v>272</v>
      </c>
      <c r="T64" t="s">
        <v>400</v>
      </c>
      <c r="U64" t="s">
        <v>401</v>
      </c>
      <c r="V64" t="s">
        <v>401</v>
      </c>
      <c r="W64" s="3">
        <v>1549</v>
      </c>
      <c r="X64" s="3">
        <v>33340000</v>
      </c>
      <c r="Y64">
        <v>3</v>
      </c>
      <c r="Z64" s="3">
        <v>741</v>
      </c>
      <c r="AA64" s="3">
        <v>864</v>
      </c>
      <c r="AB64" s="3">
        <v>925</v>
      </c>
      <c r="AC64" s="3">
        <v>1048</v>
      </c>
      <c r="AD64" s="3">
        <v>1057</v>
      </c>
      <c r="AE64" s="3">
        <v>1085</v>
      </c>
      <c r="AF64" s="3">
        <v>1082</v>
      </c>
      <c r="AG64" s="3">
        <v>1124</v>
      </c>
      <c r="AH64" s="3">
        <v>1165</v>
      </c>
      <c r="AI64" s="3">
        <v>1190</v>
      </c>
      <c r="AJ64" s="3">
        <v>1225</v>
      </c>
      <c r="AK64" s="3">
        <v>1242</v>
      </c>
      <c r="AL64" s="3">
        <v>1291</v>
      </c>
      <c r="AM64" s="3">
        <v>1324</v>
      </c>
      <c r="AN64" s="3">
        <v>1387</v>
      </c>
      <c r="AO64" s="3">
        <v>1454</v>
      </c>
      <c r="AP64" s="3">
        <v>1549</v>
      </c>
      <c r="AR64" s="4">
        <f t="shared" si="6"/>
        <v>46.457665126609946</v>
      </c>
      <c r="AS64" s="5">
        <f t="shared" si="7"/>
        <v>2.0748987854251015</v>
      </c>
      <c r="AT64" s="5">
        <f t="shared" si="0"/>
        <v>0.78446502057613154</v>
      </c>
      <c r="AU64" s="5">
        <f t="shared" si="1"/>
        <v>1.6972972972972973</v>
      </c>
      <c r="AV64" s="5">
        <f t="shared" si="2"/>
        <v>4.3160813308687613</v>
      </c>
      <c r="AW64" s="5">
        <f t="shared" si="3"/>
        <v>1.4606652377550211</v>
      </c>
      <c r="AX64" s="5">
        <f t="shared" si="4"/>
        <v>3.3729729729729727</v>
      </c>
      <c r="AY64" s="5">
        <f t="shared" si="5"/>
        <v>2.9470766312871577</v>
      </c>
      <c r="AZ64">
        <f t="shared" si="8"/>
        <v>33400000</v>
      </c>
      <c r="BA64">
        <v>0</v>
      </c>
      <c r="BB64">
        <v>510000</v>
      </c>
      <c r="BC64">
        <v>0</v>
      </c>
      <c r="BD64">
        <v>0</v>
      </c>
      <c r="BE64">
        <v>0</v>
      </c>
      <c r="BF64">
        <v>0</v>
      </c>
      <c r="BG64">
        <v>70000</v>
      </c>
      <c r="BH64">
        <v>0</v>
      </c>
      <c r="BI64">
        <v>0</v>
      </c>
      <c r="BJ64">
        <v>740000</v>
      </c>
      <c r="BK64">
        <v>0</v>
      </c>
      <c r="BL64">
        <v>0</v>
      </c>
      <c r="BM64">
        <v>5110000</v>
      </c>
      <c r="BN64">
        <v>0</v>
      </c>
      <c r="BO64">
        <v>0</v>
      </c>
      <c r="BP64">
        <v>1990000</v>
      </c>
      <c r="BQ64">
        <v>4590000</v>
      </c>
      <c r="BR64">
        <v>5600000</v>
      </c>
      <c r="BS64">
        <v>12160000</v>
      </c>
      <c r="BT64">
        <v>1350000</v>
      </c>
      <c r="BU64">
        <v>0</v>
      </c>
      <c r="BV64">
        <v>0</v>
      </c>
      <c r="BW64">
        <v>260000</v>
      </c>
      <c r="BX64">
        <v>1020000</v>
      </c>
      <c r="BY64">
        <v>0</v>
      </c>
      <c r="BZ64">
        <v>0</v>
      </c>
      <c r="CA64">
        <v>0</v>
      </c>
      <c r="CB64">
        <v>75</v>
      </c>
      <c r="CC64">
        <v>91</v>
      </c>
      <c r="CD64">
        <v>89</v>
      </c>
      <c r="CE64">
        <v>97</v>
      </c>
      <c r="CF64" s="17">
        <v>2.254960914010824</v>
      </c>
      <c r="CG64" s="17">
        <v>2.7360192423331329</v>
      </c>
      <c r="CH64" s="17">
        <v>2.6758869512928443</v>
      </c>
      <c r="CI64" s="17">
        <v>2.9164161154539991</v>
      </c>
      <c r="CJ64" s="18">
        <v>1</v>
      </c>
      <c r="CK64" s="18">
        <v>1.2133333333333334</v>
      </c>
      <c r="CL64" s="18">
        <v>1.1866666666666668</v>
      </c>
      <c r="CM64" s="18">
        <v>1.2933333333333332</v>
      </c>
      <c r="CN64" s="18">
        <v>0</v>
      </c>
      <c r="CO64" s="18">
        <v>0.4810583283223091</v>
      </c>
      <c r="CP64" s="18">
        <v>0.42092603728202049</v>
      </c>
      <c r="CQ64" s="18">
        <v>0.66145520144317504</v>
      </c>
      <c r="CR64" s="18">
        <f t="shared" si="9"/>
        <v>1.786774628879892</v>
      </c>
      <c r="CS64" s="18">
        <f t="shared" si="10"/>
        <v>1.3815267749071332</v>
      </c>
      <c r="CT64">
        <v>0.65868263473053801</v>
      </c>
      <c r="CU64">
        <v>12.81437125748503</v>
      </c>
      <c r="CV64">
        <v>86.526946107784426</v>
      </c>
      <c r="CW64">
        <v>0</v>
      </c>
      <c r="CX64">
        <v>0</v>
      </c>
      <c r="CY64">
        <v>1.1377245508981999</v>
      </c>
      <c r="CZ64">
        <v>41.077844311377248</v>
      </c>
      <c r="DA64">
        <v>57.784431137724496</v>
      </c>
      <c r="DB64">
        <v>0</v>
      </c>
      <c r="DC64">
        <v>0</v>
      </c>
      <c r="DD64">
        <v>1.16766467065868</v>
      </c>
      <c r="DE64">
        <v>38.802395209580844</v>
      </c>
      <c r="DF64">
        <v>60.029940119760496</v>
      </c>
      <c r="DG64">
        <v>0</v>
      </c>
      <c r="DH64">
        <v>0</v>
      </c>
      <c r="DI64">
        <v>1.40718562874252</v>
      </c>
      <c r="DJ64">
        <v>17.84431137724555</v>
      </c>
      <c r="DK64">
        <v>80.748502994012014</v>
      </c>
      <c r="DL64">
        <v>0</v>
      </c>
      <c r="DM64">
        <v>0</v>
      </c>
      <c r="DN64">
        <v>1.736526946107783</v>
      </c>
      <c r="DO64">
        <v>17.514970059880248</v>
      </c>
      <c r="DP64">
        <v>80.748502994012014</v>
      </c>
      <c r="DQ64">
        <v>0</v>
      </c>
      <c r="DR64">
        <v>0</v>
      </c>
      <c r="DS64" t="s">
        <v>355</v>
      </c>
      <c r="DT64">
        <v>0</v>
      </c>
      <c r="DU64">
        <v>1598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 t="s">
        <v>274</v>
      </c>
      <c r="EE64" t="s">
        <v>274</v>
      </c>
      <c r="EF64" t="s">
        <v>274</v>
      </c>
      <c r="EG64" t="s">
        <v>274</v>
      </c>
    </row>
    <row r="65" spans="1:137" ht="14.55" customHeight="1" x14ac:dyDescent="0.3">
      <c r="A65" t="s">
        <v>402</v>
      </c>
      <c r="B65">
        <v>2163</v>
      </c>
      <c r="C65" t="s">
        <v>403</v>
      </c>
      <c r="D65" t="s">
        <v>269</v>
      </c>
      <c r="E65" t="s">
        <v>269</v>
      </c>
      <c r="F65" t="s">
        <v>270</v>
      </c>
      <c r="G65" t="s">
        <v>352</v>
      </c>
      <c r="H65" s="3">
        <v>112062986.934</v>
      </c>
      <c r="I65">
        <v>11202</v>
      </c>
      <c r="J65" s="3">
        <v>11206.2986934</v>
      </c>
      <c r="K65">
        <v>791</v>
      </c>
      <c r="L65">
        <v>2347</v>
      </c>
      <c r="M65">
        <v>1383.5491974346</v>
      </c>
      <c r="N65">
        <v>292.00322416939099</v>
      </c>
      <c r="O65">
        <v>0</v>
      </c>
      <c r="P65">
        <v>77.788063049316406</v>
      </c>
      <c r="Q65">
        <v>20.980190277099599</v>
      </c>
      <c r="R65">
        <v>11.7591600418091</v>
      </c>
      <c r="S65" t="s">
        <v>272</v>
      </c>
      <c r="T65" t="s">
        <v>402</v>
      </c>
      <c r="U65" t="s">
        <v>403</v>
      </c>
      <c r="V65" t="s">
        <v>403</v>
      </c>
      <c r="W65" s="3">
        <v>2538</v>
      </c>
      <c r="X65" s="3">
        <v>112070000</v>
      </c>
      <c r="Y65">
        <v>3</v>
      </c>
      <c r="Z65" s="3">
        <v>1534</v>
      </c>
      <c r="AA65" s="3">
        <v>1648</v>
      </c>
      <c r="AB65" s="3">
        <v>1897</v>
      </c>
      <c r="AC65" s="3">
        <v>2028</v>
      </c>
      <c r="AD65" s="3">
        <v>2059</v>
      </c>
      <c r="AE65" s="3">
        <v>2098</v>
      </c>
      <c r="AF65" s="3">
        <v>2156</v>
      </c>
      <c r="AG65" s="3">
        <v>2183</v>
      </c>
      <c r="AH65" s="3">
        <v>2198</v>
      </c>
      <c r="AI65" s="3">
        <v>2295</v>
      </c>
      <c r="AJ65" s="3">
        <v>2354</v>
      </c>
      <c r="AK65" s="3">
        <v>2384</v>
      </c>
      <c r="AL65" s="3">
        <v>2416</v>
      </c>
      <c r="AM65" s="3">
        <v>2435</v>
      </c>
      <c r="AN65" s="3">
        <v>2477</v>
      </c>
      <c r="AO65" s="3">
        <v>2483</v>
      </c>
      <c r="AP65" s="3">
        <v>2538</v>
      </c>
      <c r="AR65" s="4">
        <f t="shared" si="6"/>
        <v>22.647977440533211</v>
      </c>
      <c r="AS65" s="5">
        <f t="shared" si="7"/>
        <v>0.92894393741851355</v>
      </c>
      <c r="AT65" s="5">
        <f t="shared" si="0"/>
        <v>1.6788025889967635</v>
      </c>
      <c r="AU65" s="5">
        <f t="shared" si="1"/>
        <v>1.3653136531365315</v>
      </c>
      <c r="AV65" s="5">
        <f t="shared" si="2"/>
        <v>1.7717996289424862</v>
      </c>
      <c r="AW65" s="5">
        <f t="shared" si="3"/>
        <v>1.3919779124165963</v>
      </c>
      <c r="AX65" s="5">
        <f t="shared" si="4"/>
        <v>1.6895097522403795</v>
      </c>
      <c r="AY65" s="5">
        <f t="shared" si="5"/>
        <v>1.7689136333204132</v>
      </c>
      <c r="AZ65">
        <f t="shared" si="8"/>
        <v>112010000</v>
      </c>
      <c r="BA65">
        <v>0</v>
      </c>
      <c r="BB65">
        <v>1590000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17790000</v>
      </c>
      <c r="BN65">
        <v>0</v>
      </c>
      <c r="BO65">
        <v>0</v>
      </c>
      <c r="BP65">
        <v>470000</v>
      </c>
      <c r="BQ65">
        <v>30820000</v>
      </c>
      <c r="BR65">
        <v>11460000</v>
      </c>
      <c r="BS65">
        <v>33700000</v>
      </c>
      <c r="BT65">
        <v>1110000</v>
      </c>
      <c r="BU65">
        <v>7380000</v>
      </c>
      <c r="BV65">
        <v>0</v>
      </c>
      <c r="BW65">
        <v>800000</v>
      </c>
      <c r="BX65">
        <v>6490000</v>
      </c>
      <c r="BY65">
        <v>0</v>
      </c>
      <c r="BZ65">
        <v>0</v>
      </c>
      <c r="CA65">
        <v>400000</v>
      </c>
      <c r="CB65">
        <v>174</v>
      </c>
      <c r="CC65">
        <v>214</v>
      </c>
      <c r="CD65">
        <v>239</v>
      </c>
      <c r="CE65">
        <v>262</v>
      </c>
      <c r="CF65" s="17">
        <v>1.552185548617306</v>
      </c>
      <c r="CG65" s="17">
        <v>1.9090098126672612</v>
      </c>
      <c r="CH65" s="17">
        <v>2.1320249776984834</v>
      </c>
      <c r="CI65" s="17">
        <v>2.3371989295272075</v>
      </c>
      <c r="CJ65" s="18">
        <v>1</v>
      </c>
      <c r="CK65" s="18">
        <v>1.2298850574712643</v>
      </c>
      <c r="CL65" s="18">
        <v>1.3735632183908046</v>
      </c>
      <c r="CM65" s="18">
        <v>1.5057471264367817</v>
      </c>
      <c r="CN65" s="18">
        <v>0</v>
      </c>
      <c r="CO65" s="18">
        <v>0.35682426404995543</v>
      </c>
      <c r="CP65" s="18">
        <v>0.57983942908117747</v>
      </c>
      <c r="CQ65" s="18">
        <v>0.78501338090990191</v>
      </c>
      <c r="CR65" s="18">
        <f t="shared" si="9"/>
        <v>1.5873533246414602</v>
      </c>
      <c r="CS65" s="18">
        <f t="shared" si="10"/>
        <v>1.0541964827771528</v>
      </c>
      <c r="CT65">
        <v>0.47317203821087439</v>
      </c>
      <c r="CU65">
        <v>8.3831800732077468</v>
      </c>
      <c r="CV65">
        <v>90.849031336487897</v>
      </c>
      <c r="CW65">
        <v>0</v>
      </c>
      <c r="CX65">
        <v>0.29461655209356302</v>
      </c>
      <c r="CY65">
        <v>1.2588161771270401</v>
      </c>
      <c r="CZ65">
        <v>29.015266494062999</v>
      </c>
      <c r="DA65">
        <v>69.368806356575305</v>
      </c>
      <c r="DB65">
        <v>0</v>
      </c>
      <c r="DC65">
        <v>0.35711097223462201</v>
      </c>
      <c r="DD65">
        <v>1.2588161771270401</v>
      </c>
      <c r="DE65">
        <v>29.015266494062999</v>
      </c>
      <c r="DF65">
        <v>69.368806356575305</v>
      </c>
      <c r="DG65">
        <v>0</v>
      </c>
      <c r="DH65">
        <v>0.35711097223462201</v>
      </c>
      <c r="DI65">
        <v>1.4195161146326201</v>
      </c>
      <c r="DJ65">
        <v>15.8825104901348</v>
      </c>
      <c r="DK65">
        <v>82.340862422997887</v>
      </c>
      <c r="DL65">
        <v>0</v>
      </c>
      <c r="DM65">
        <v>0.35711097223462201</v>
      </c>
      <c r="DN65">
        <v>1.4195161146326201</v>
      </c>
      <c r="DO65">
        <v>15.8825104901348</v>
      </c>
      <c r="DP65">
        <v>82.340862422997887</v>
      </c>
      <c r="DQ65">
        <v>0</v>
      </c>
      <c r="DR65">
        <v>0.35711097223462201</v>
      </c>
      <c r="DS65" t="s">
        <v>273</v>
      </c>
      <c r="DT65" t="s">
        <v>273</v>
      </c>
      <c r="DU65" t="s">
        <v>273</v>
      </c>
      <c r="DV65" t="s">
        <v>273</v>
      </c>
      <c r="DW65" t="s">
        <v>273</v>
      </c>
      <c r="DX65" t="s">
        <v>273</v>
      </c>
      <c r="DY65" t="s">
        <v>273</v>
      </c>
      <c r="DZ65" t="s">
        <v>273</v>
      </c>
      <c r="EA65" t="s">
        <v>273</v>
      </c>
      <c r="EB65" t="s">
        <v>273</v>
      </c>
      <c r="EC65" t="s">
        <v>273</v>
      </c>
      <c r="ED65" t="s">
        <v>274</v>
      </c>
      <c r="EE65" t="s">
        <v>274</v>
      </c>
      <c r="EF65" t="s">
        <v>274</v>
      </c>
      <c r="EG65" t="s">
        <v>274</v>
      </c>
    </row>
    <row r="66" spans="1:137" ht="14.55" customHeight="1" x14ac:dyDescent="0.3">
      <c r="A66" t="s">
        <v>404</v>
      </c>
      <c r="B66">
        <v>2173</v>
      </c>
      <c r="C66" t="s">
        <v>405</v>
      </c>
      <c r="D66" t="s">
        <v>269</v>
      </c>
      <c r="E66" t="s">
        <v>269</v>
      </c>
      <c r="F66" t="s">
        <v>270</v>
      </c>
      <c r="G66" t="s">
        <v>406</v>
      </c>
      <c r="H66" s="3">
        <v>6219742.3124299999</v>
      </c>
      <c r="I66">
        <v>617</v>
      </c>
      <c r="J66" s="3">
        <v>621.97423124399995</v>
      </c>
      <c r="K66">
        <v>619</v>
      </c>
      <c r="L66">
        <v>761</v>
      </c>
      <c r="M66">
        <v>685.04351490886097</v>
      </c>
      <c r="N66">
        <v>34.656781611665998</v>
      </c>
      <c r="O66">
        <v>0</v>
      </c>
      <c r="P66">
        <v>33.612411499023402</v>
      </c>
      <c r="Q66">
        <v>6.0344762802123997</v>
      </c>
      <c r="R66">
        <v>4.2551383972168004</v>
      </c>
      <c r="S66" t="s">
        <v>272</v>
      </c>
      <c r="T66" t="s">
        <v>404</v>
      </c>
      <c r="U66" t="s">
        <v>405</v>
      </c>
      <c r="V66" t="s">
        <v>405</v>
      </c>
      <c r="W66" s="3">
        <v>796</v>
      </c>
      <c r="X66" s="3">
        <v>6220000</v>
      </c>
      <c r="Y66">
        <v>3</v>
      </c>
      <c r="Z66" s="3">
        <v>454</v>
      </c>
      <c r="AA66" s="3">
        <v>485</v>
      </c>
      <c r="AB66" s="3">
        <v>610</v>
      </c>
      <c r="AC66" s="3">
        <v>645</v>
      </c>
      <c r="AD66" s="3">
        <v>675</v>
      </c>
      <c r="AE66" s="3">
        <v>683</v>
      </c>
      <c r="AF66" s="3">
        <v>695</v>
      </c>
      <c r="AG66" s="3">
        <v>696</v>
      </c>
      <c r="AH66" s="3">
        <v>711</v>
      </c>
      <c r="AI66" s="3">
        <v>710</v>
      </c>
      <c r="AJ66" s="3">
        <v>768</v>
      </c>
      <c r="AK66" s="3">
        <v>774</v>
      </c>
      <c r="AL66" s="3">
        <v>803</v>
      </c>
      <c r="AM66" s="3">
        <v>792</v>
      </c>
      <c r="AN66" s="3">
        <v>793</v>
      </c>
      <c r="AO66" s="3">
        <v>796</v>
      </c>
      <c r="AP66" s="3">
        <v>796</v>
      </c>
      <c r="AR66" s="4">
        <f t="shared" si="6"/>
        <v>127.97957857642014</v>
      </c>
      <c r="AS66" s="5">
        <f t="shared" si="7"/>
        <v>0.8535242290748899</v>
      </c>
      <c r="AT66" s="5">
        <f t="shared" si="0"/>
        <v>2.8636884306987396</v>
      </c>
      <c r="AU66" s="5">
        <f t="shared" si="1"/>
        <v>1.3934426229508194</v>
      </c>
      <c r="AV66" s="5">
        <f t="shared" si="2"/>
        <v>1.4532374100719425</v>
      </c>
      <c r="AW66" s="5">
        <f t="shared" si="3"/>
        <v>2.0212490282456597</v>
      </c>
      <c r="AX66" s="5">
        <f t="shared" si="4"/>
        <v>1.5245901639344261</v>
      </c>
      <c r="AY66" s="5">
        <f t="shared" si="5"/>
        <v>2.0359566615073219</v>
      </c>
      <c r="AZ66">
        <f t="shared" si="8"/>
        <v>6170000</v>
      </c>
      <c r="BA66">
        <v>0</v>
      </c>
      <c r="BB66">
        <v>360000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4250000</v>
      </c>
      <c r="BK66">
        <v>0</v>
      </c>
      <c r="BL66">
        <v>0</v>
      </c>
      <c r="BM66">
        <v>240000</v>
      </c>
      <c r="BN66">
        <v>0</v>
      </c>
      <c r="BO66">
        <v>0</v>
      </c>
      <c r="BP66">
        <v>0</v>
      </c>
      <c r="BQ66">
        <v>0</v>
      </c>
      <c r="BR66">
        <v>1320000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34</v>
      </c>
      <c r="CC66">
        <v>42</v>
      </c>
      <c r="CD66">
        <v>43</v>
      </c>
      <c r="CE66">
        <v>55</v>
      </c>
      <c r="CF66" s="17">
        <v>5.4838709677419359</v>
      </c>
      <c r="CG66" s="17">
        <v>6.7741935483870979</v>
      </c>
      <c r="CH66" s="17">
        <v>6.935483870967742</v>
      </c>
      <c r="CI66" s="17">
        <v>8.870967741935484</v>
      </c>
      <c r="CJ66" s="18">
        <v>1</v>
      </c>
      <c r="CK66" s="18">
        <v>1.2352941176470589</v>
      </c>
      <c r="CL66" s="18">
        <v>1.2647058823529411</v>
      </c>
      <c r="CM66" s="18">
        <v>1.6176470588235294</v>
      </c>
      <c r="CN66" s="18">
        <v>0</v>
      </c>
      <c r="CO66" s="18">
        <v>1.2903225806451613</v>
      </c>
      <c r="CP66" s="18">
        <v>1.4516129032258065</v>
      </c>
      <c r="CQ66" s="18">
        <v>3.3870967741935489</v>
      </c>
      <c r="CR66" s="18">
        <f t="shared" si="9"/>
        <v>1.7444933920704846</v>
      </c>
      <c r="CS66" s="18">
        <f t="shared" si="10"/>
        <v>1.0784140969162996</v>
      </c>
      <c r="CT66">
        <v>0</v>
      </c>
      <c r="CU66">
        <v>83.1442463533226</v>
      </c>
      <c r="CV66">
        <v>16.855753646677499</v>
      </c>
      <c r="CW66">
        <v>0</v>
      </c>
      <c r="CX66">
        <v>0</v>
      </c>
      <c r="CY66">
        <v>5.3484602917341997</v>
      </c>
      <c r="CZ66">
        <v>73.257698541329006</v>
      </c>
      <c r="DA66">
        <v>21.393841166936799</v>
      </c>
      <c r="DB66">
        <v>0</v>
      </c>
      <c r="DC66">
        <v>0</v>
      </c>
      <c r="DD66">
        <v>5.3484602917341997</v>
      </c>
      <c r="DE66">
        <v>73.257698541329006</v>
      </c>
      <c r="DF66">
        <v>21.393841166936799</v>
      </c>
      <c r="DG66">
        <v>0</v>
      </c>
      <c r="DH66">
        <v>0</v>
      </c>
      <c r="DI66">
        <v>5.8346839546191296</v>
      </c>
      <c r="DJ66">
        <v>72.771474878444124</v>
      </c>
      <c r="DK66">
        <v>21.393841166936799</v>
      </c>
      <c r="DL66">
        <v>0</v>
      </c>
      <c r="DM66">
        <v>0</v>
      </c>
      <c r="DN66">
        <v>5.8346839546191296</v>
      </c>
      <c r="DO66">
        <v>72.771474878444124</v>
      </c>
      <c r="DP66">
        <v>21.393841166936799</v>
      </c>
      <c r="DQ66">
        <v>0</v>
      </c>
      <c r="DR66">
        <v>0</v>
      </c>
      <c r="DS66" t="s">
        <v>273</v>
      </c>
      <c r="DT66" t="s">
        <v>273</v>
      </c>
      <c r="DU66" t="s">
        <v>273</v>
      </c>
      <c r="DV66" t="s">
        <v>273</v>
      </c>
      <c r="DW66" t="s">
        <v>273</v>
      </c>
      <c r="DX66" t="s">
        <v>273</v>
      </c>
      <c r="DY66" t="s">
        <v>273</v>
      </c>
      <c r="DZ66" t="s">
        <v>273</v>
      </c>
      <c r="EA66" t="s">
        <v>273</v>
      </c>
      <c r="EB66" t="s">
        <v>273</v>
      </c>
      <c r="EC66" t="s">
        <v>273</v>
      </c>
      <c r="ED66" t="s">
        <v>274</v>
      </c>
      <c r="EE66" t="s">
        <v>274</v>
      </c>
      <c r="EF66" t="s">
        <v>274</v>
      </c>
      <c r="EG66" t="s">
        <v>274</v>
      </c>
    </row>
    <row r="67" spans="1:137" ht="14.55" customHeight="1" x14ac:dyDescent="0.3">
      <c r="A67" t="s">
        <v>407</v>
      </c>
      <c r="B67">
        <v>2174</v>
      </c>
      <c r="C67" t="s">
        <v>408</v>
      </c>
      <c r="D67" t="s">
        <v>269</v>
      </c>
      <c r="E67" t="s">
        <v>269</v>
      </c>
      <c r="F67" t="s">
        <v>270</v>
      </c>
      <c r="G67" t="s">
        <v>406</v>
      </c>
      <c r="H67" s="3">
        <v>5833051.2017799998</v>
      </c>
      <c r="I67">
        <v>582</v>
      </c>
      <c r="J67" s="3">
        <v>583.30512017799992</v>
      </c>
      <c r="K67">
        <v>601</v>
      </c>
      <c r="L67">
        <v>715</v>
      </c>
      <c r="M67">
        <v>656.99078755196103</v>
      </c>
      <c r="N67">
        <v>26.745491950791301</v>
      </c>
      <c r="O67">
        <v>0</v>
      </c>
      <c r="P67">
        <v>33.183383941650398</v>
      </c>
      <c r="Q67">
        <v>6.45554447174072</v>
      </c>
      <c r="R67">
        <v>4.0683917999267596</v>
      </c>
      <c r="S67" t="s">
        <v>272</v>
      </c>
      <c r="T67" t="s">
        <v>407</v>
      </c>
      <c r="U67" t="s">
        <v>408</v>
      </c>
      <c r="V67" t="s">
        <v>408</v>
      </c>
      <c r="W67" s="3">
        <v>1925</v>
      </c>
      <c r="X67" s="3">
        <v>5830000</v>
      </c>
      <c r="Y67">
        <v>2</v>
      </c>
      <c r="Z67" s="3">
        <v>921</v>
      </c>
      <c r="AA67" s="3">
        <v>1080</v>
      </c>
      <c r="AB67" s="3">
        <v>1304</v>
      </c>
      <c r="AC67" s="3">
        <v>1510</v>
      </c>
      <c r="AD67" s="3">
        <v>1642</v>
      </c>
      <c r="AE67" s="3">
        <v>1676</v>
      </c>
      <c r="AF67" s="3">
        <v>1690</v>
      </c>
      <c r="AG67" s="3">
        <v>1704</v>
      </c>
      <c r="AH67" s="3">
        <v>1770</v>
      </c>
      <c r="AI67" s="3">
        <v>1844</v>
      </c>
      <c r="AJ67" s="3">
        <v>1846</v>
      </c>
      <c r="AK67" s="3">
        <v>1859</v>
      </c>
      <c r="AL67" s="3">
        <v>1874</v>
      </c>
      <c r="AM67" s="3">
        <v>1864</v>
      </c>
      <c r="AN67" s="3">
        <v>1880</v>
      </c>
      <c r="AO67" s="3">
        <v>1921</v>
      </c>
      <c r="AP67" s="3">
        <v>1925</v>
      </c>
      <c r="AR67" s="4">
        <f t="shared" si="6"/>
        <v>330.01596135699475</v>
      </c>
      <c r="AS67" s="5">
        <f t="shared" si="7"/>
        <v>2.1579804560260585</v>
      </c>
      <c r="AT67" s="5">
        <f t="shared" si="0"/>
        <v>2.3045267489711931</v>
      </c>
      <c r="AU67" s="5">
        <f t="shared" si="1"/>
        <v>2.9601226993865035</v>
      </c>
      <c r="AV67" s="5">
        <f t="shared" si="2"/>
        <v>1.390532544378698</v>
      </c>
      <c r="AW67" s="5">
        <f t="shared" si="3"/>
        <v>2.4461902024653508</v>
      </c>
      <c r="AX67" s="5">
        <f t="shared" si="4"/>
        <v>2.3811349693251533</v>
      </c>
      <c r="AY67" s="5">
        <f t="shared" si="5"/>
        <v>2.9462687443143469</v>
      </c>
      <c r="AZ67">
        <f t="shared" si="8"/>
        <v>5830000</v>
      </c>
      <c r="BA67">
        <v>0</v>
      </c>
      <c r="BB67">
        <v>780000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3670000</v>
      </c>
      <c r="BK67">
        <v>0</v>
      </c>
      <c r="BL67">
        <v>0</v>
      </c>
      <c r="BM67">
        <v>820000</v>
      </c>
      <c r="BN67">
        <v>0</v>
      </c>
      <c r="BO67">
        <v>0</v>
      </c>
      <c r="BP67">
        <v>0</v>
      </c>
      <c r="BQ67">
        <v>280000</v>
      </c>
      <c r="BR67">
        <v>200000</v>
      </c>
      <c r="BS67">
        <v>0</v>
      </c>
      <c r="BT67">
        <v>0</v>
      </c>
      <c r="BU67">
        <v>80000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64</v>
      </c>
      <c r="CC67">
        <v>77</v>
      </c>
      <c r="CD67">
        <v>90</v>
      </c>
      <c r="CE67">
        <v>99</v>
      </c>
      <c r="CF67" s="17">
        <v>11.053540587219343</v>
      </c>
      <c r="CG67" s="17">
        <v>13.298791018998275</v>
      </c>
      <c r="CH67" s="17">
        <v>15.544041450777202</v>
      </c>
      <c r="CI67" s="17">
        <v>17.098445595854923</v>
      </c>
      <c r="CJ67" s="18">
        <v>1</v>
      </c>
      <c r="CK67" s="18">
        <v>1.203125</v>
      </c>
      <c r="CL67" s="18">
        <v>1.40625</v>
      </c>
      <c r="CM67" s="18">
        <v>1.546875</v>
      </c>
      <c r="CN67" s="18">
        <v>0</v>
      </c>
      <c r="CO67" s="18">
        <v>2.2452504317789295</v>
      </c>
      <c r="CP67" s="18">
        <v>4.4905008635578589</v>
      </c>
      <c r="CQ67" s="18">
        <v>6.0449050086355784</v>
      </c>
      <c r="CR67" s="18">
        <f t="shared" si="9"/>
        <v>2.0238870792616721</v>
      </c>
      <c r="CS67" s="18">
        <f t="shared" si="10"/>
        <v>1.3083714451792627</v>
      </c>
      <c r="CT67">
        <v>5.14579759862779</v>
      </c>
      <c r="CU67">
        <v>83.704974271012034</v>
      </c>
      <c r="CV67">
        <v>11.1492281303602</v>
      </c>
      <c r="CW67">
        <v>0</v>
      </c>
      <c r="CX67">
        <v>0</v>
      </c>
      <c r="CY67">
        <v>12.178387650085799</v>
      </c>
      <c r="CZ67">
        <v>78.730703259005097</v>
      </c>
      <c r="DA67">
        <v>9.0909090909090899</v>
      </c>
      <c r="DB67">
        <v>0</v>
      </c>
      <c r="DC67">
        <v>0</v>
      </c>
      <c r="DD67">
        <v>12.178387650085799</v>
      </c>
      <c r="DE67">
        <v>79.245283018867894</v>
      </c>
      <c r="DF67">
        <v>8.5763293310463098</v>
      </c>
      <c r="DG67">
        <v>0</v>
      </c>
      <c r="DH67">
        <v>0</v>
      </c>
      <c r="DI67">
        <v>13.3790737564322</v>
      </c>
      <c r="DJ67">
        <v>77.015437392795903</v>
      </c>
      <c r="DK67">
        <v>9.6054888507718701</v>
      </c>
      <c r="DL67">
        <v>0</v>
      </c>
      <c r="DM67">
        <v>0</v>
      </c>
      <c r="DN67">
        <v>13.3790737564322</v>
      </c>
      <c r="DO67">
        <v>77.015437392795903</v>
      </c>
      <c r="DP67">
        <v>9.6054888507718701</v>
      </c>
      <c r="DQ67">
        <v>0</v>
      </c>
      <c r="DR67">
        <v>0</v>
      </c>
      <c r="DS67" t="s">
        <v>312</v>
      </c>
      <c r="DT67" t="s">
        <v>313</v>
      </c>
      <c r="DU67">
        <v>1921</v>
      </c>
      <c r="DV67">
        <v>2196</v>
      </c>
      <c r="DW67" t="s">
        <v>269</v>
      </c>
      <c r="DX67">
        <v>18</v>
      </c>
      <c r="DY67">
        <v>0</v>
      </c>
      <c r="DZ67">
        <v>18</v>
      </c>
      <c r="EA67">
        <v>89789</v>
      </c>
      <c r="EB67">
        <v>0</v>
      </c>
      <c r="EC67">
        <v>89789</v>
      </c>
      <c r="ED67" t="s">
        <v>274</v>
      </c>
      <c r="EE67" t="s">
        <v>274</v>
      </c>
      <c r="EF67" t="s">
        <v>274</v>
      </c>
      <c r="EG67" t="s">
        <v>274</v>
      </c>
    </row>
    <row r="68" spans="1:137" ht="14.55" customHeight="1" x14ac:dyDescent="0.3">
      <c r="A68" t="s">
        <v>409</v>
      </c>
      <c r="B68">
        <v>2175</v>
      </c>
      <c r="C68" t="s">
        <v>410</v>
      </c>
      <c r="D68" t="s">
        <v>269</v>
      </c>
      <c r="E68" t="s">
        <v>269</v>
      </c>
      <c r="F68" t="s">
        <v>270</v>
      </c>
      <c r="G68" t="s">
        <v>406</v>
      </c>
      <c r="H68" s="3">
        <v>8880113.0313799996</v>
      </c>
      <c r="I68">
        <v>892</v>
      </c>
      <c r="J68" s="3">
        <v>888.01130313900001</v>
      </c>
      <c r="K68">
        <v>556</v>
      </c>
      <c r="L68">
        <v>759</v>
      </c>
      <c r="M68">
        <v>637.11667158018895</v>
      </c>
      <c r="N68">
        <v>42.988557663440403</v>
      </c>
      <c r="O68">
        <v>0</v>
      </c>
      <c r="P68">
        <v>28.8800754547119</v>
      </c>
      <c r="Q68">
        <v>7.5455775260925302</v>
      </c>
      <c r="R68">
        <v>4.5986523628234899</v>
      </c>
      <c r="S68" t="s">
        <v>272</v>
      </c>
      <c r="T68" t="s">
        <v>409</v>
      </c>
      <c r="U68" t="s">
        <v>410</v>
      </c>
      <c r="V68" t="s">
        <v>410</v>
      </c>
      <c r="W68" s="3">
        <v>3280</v>
      </c>
      <c r="X68" s="3">
        <v>8880000</v>
      </c>
      <c r="Y68">
        <v>2</v>
      </c>
      <c r="Z68" s="3">
        <v>1765</v>
      </c>
      <c r="AA68" s="3">
        <v>2197</v>
      </c>
      <c r="AB68" s="3">
        <v>2261</v>
      </c>
      <c r="AC68" s="3">
        <v>2365</v>
      </c>
      <c r="AD68" s="3">
        <v>2419</v>
      </c>
      <c r="AE68" s="3">
        <v>2490</v>
      </c>
      <c r="AF68" s="3">
        <v>2653</v>
      </c>
      <c r="AG68" s="3">
        <v>2770</v>
      </c>
      <c r="AH68" s="3">
        <v>2866</v>
      </c>
      <c r="AI68" s="3">
        <v>2936</v>
      </c>
      <c r="AJ68" s="3">
        <v>3063</v>
      </c>
      <c r="AK68" s="3">
        <v>3182</v>
      </c>
      <c r="AL68" s="3">
        <v>3288</v>
      </c>
      <c r="AM68" s="3">
        <v>3348</v>
      </c>
      <c r="AN68" s="3">
        <v>3338</v>
      </c>
      <c r="AO68" s="3">
        <v>3283</v>
      </c>
      <c r="AP68" s="3">
        <v>3280</v>
      </c>
      <c r="AR68" s="4">
        <f t="shared" si="6"/>
        <v>369.36466781511035</v>
      </c>
      <c r="AS68" s="5">
        <f t="shared" si="7"/>
        <v>3.059490084985836</v>
      </c>
      <c r="AT68" s="5">
        <f t="shared" si="0"/>
        <v>0.32367369645476152</v>
      </c>
      <c r="AU68" s="5">
        <f t="shared" si="1"/>
        <v>1.7337461300309598</v>
      </c>
      <c r="AV68" s="5">
        <f t="shared" si="2"/>
        <v>2.3633622314361098</v>
      </c>
      <c r="AW68" s="5">
        <f t="shared" si="3"/>
        <v>1.6530578236960505</v>
      </c>
      <c r="AX68" s="5">
        <f t="shared" si="4"/>
        <v>2.2534276868642196</v>
      </c>
      <c r="AY68" s="5">
        <f t="shared" si="5"/>
        <v>2.3198836229997704</v>
      </c>
      <c r="AZ68">
        <f t="shared" si="8"/>
        <v>8940000</v>
      </c>
      <c r="BA68">
        <v>0</v>
      </c>
      <c r="BB68">
        <v>930000</v>
      </c>
      <c r="BC68">
        <v>10000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5050000</v>
      </c>
      <c r="BK68">
        <v>0</v>
      </c>
      <c r="BL68">
        <v>0</v>
      </c>
      <c r="BM68">
        <v>440000</v>
      </c>
      <c r="BN68">
        <v>0</v>
      </c>
      <c r="BO68">
        <v>0</v>
      </c>
      <c r="BP68">
        <v>0</v>
      </c>
      <c r="BQ68">
        <v>430000</v>
      </c>
      <c r="BR68">
        <v>2080000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81</v>
      </c>
      <c r="CC68">
        <v>95</v>
      </c>
      <c r="CD68">
        <v>100</v>
      </c>
      <c r="CE68">
        <v>110</v>
      </c>
      <c r="CF68" s="17">
        <v>9.0909090909090917</v>
      </c>
      <c r="CG68" s="17">
        <v>10.662177328843995</v>
      </c>
      <c r="CH68" s="17">
        <v>11.22334455667789</v>
      </c>
      <c r="CI68" s="17">
        <v>12.345679012345679</v>
      </c>
      <c r="CJ68" s="18">
        <v>1</v>
      </c>
      <c r="CK68" s="18">
        <v>1.1728395061728396</v>
      </c>
      <c r="CL68" s="18">
        <v>1.2345679012345678</v>
      </c>
      <c r="CM68" s="18">
        <v>1.3580246913580247</v>
      </c>
      <c r="CN68" s="18">
        <v>0</v>
      </c>
      <c r="CO68" s="18">
        <v>1.5712682379349048</v>
      </c>
      <c r="CP68" s="18">
        <v>2.1324354657687992</v>
      </c>
      <c r="CQ68" s="18">
        <v>3.2547699214365879</v>
      </c>
      <c r="CR68" s="18">
        <f t="shared" si="9"/>
        <v>1.8968838526912182</v>
      </c>
      <c r="CS68" s="18">
        <f t="shared" si="10"/>
        <v>1.3967962915271697</v>
      </c>
      <c r="CT68">
        <v>9.2841163310961967</v>
      </c>
      <c r="CU68">
        <v>61.073825503355707</v>
      </c>
      <c r="CV68">
        <v>29.6420581655481</v>
      </c>
      <c r="CW68">
        <v>0</v>
      </c>
      <c r="CX68">
        <v>0</v>
      </c>
      <c r="CY68">
        <v>9.9552572706935099</v>
      </c>
      <c r="CZ68">
        <v>62.192393736017898</v>
      </c>
      <c r="DA68">
        <v>27.852348993288601</v>
      </c>
      <c r="DB68">
        <v>0</v>
      </c>
      <c r="DC68">
        <v>0</v>
      </c>
      <c r="DD68">
        <v>9.9552572706935099</v>
      </c>
      <c r="DE68">
        <v>62.192393736017898</v>
      </c>
      <c r="DF68">
        <v>27.852348993288601</v>
      </c>
      <c r="DG68">
        <v>0</v>
      </c>
      <c r="DH68">
        <v>0</v>
      </c>
      <c r="DI68">
        <v>10.402684563758401</v>
      </c>
      <c r="DJ68">
        <v>61.521252796420548</v>
      </c>
      <c r="DK68">
        <v>28.076062639821</v>
      </c>
      <c r="DL68">
        <v>0</v>
      </c>
      <c r="DM68">
        <v>0</v>
      </c>
      <c r="DN68">
        <v>10.51454138702462</v>
      </c>
      <c r="DO68">
        <v>61.409395973154346</v>
      </c>
      <c r="DP68">
        <v>28.076062639821</v>
      </c>
      <c r="DQ68">
        <v>0</v>
      </c>
      <c r="DR68">
        <v>0</v>
      </c>
      <c r="DS68" t="s">
        <v>371</v>
      </c>
      <c r="DT68" t="s">
        <v>313</v>
      </c>
      <c r="DU68">
        <v>3406</v>
      </c>
      <c r="DV68">
        <v>2196</v>
      </c>
      <c r="DW68" t="s">
        <v>269</v>
      </c>
      <c r="DX68">
        <v>18</v>
      </c>
      <c r="DY68">
        <v>0</v>
      </c>
      <c r="DZ68">
        <v>18</v>
      </c>
      <c r="EA68">
        <v>89789</v>
      </c>
      <c r="EB68">
        <v>0</v>
      </c>
      <c r="EC68">
        <v>89789</v>
      </c>
      <c r="ED68" t="s">
        <v>274</v>
      </c>
      <c r="EE68" t="s">
        <v>274</v>
      </c>
      <c r="EF68" t="s">
        <v>274</v>
      </c>
      <c r="EG68" t="s">
        <v>274</v>
      </c>
    </row>
    <row r="69" spans="1:137" ht="14.55" customHeight="1" x14ac:dyDescent="0.3">
      <c r="A69" t="s">
        <v>411</v>
      </c>
      <c r="B69">
        <v>2177</v>
      </c>
      <c r="C69" t="s">
        <v>412</v>
      </c>
      <c r="D69" t="s">
        <v>269</v>
      </c>
      <c r="E69" t="s">
        <v>269</v>
      </c>
      <c r="F69" t="s">
        <v>270</v>
      </c>
      <c r="G69" t="s">
        <v>406</v>
      </c>
      <c r="H69" s="3">
        <v>3940597.6180599998</v>
      </c>
      <c r="I69">
        <v>392</v>
      </c>
      <c r="J69" s="3">
        <v>394.05976180599998</v>
      </c>
      <c r="K69">
        <v>640</v>
      </c>
      <c r="L69">
        <v>797</v>
      </c>
      <c r="M69">
        <v>710.07580806397903</v>
      </c>
      <c r="N69">
        <v>30.984395109609299</v>
      </c>
      <c r="O69">
        <v>0</v>
      </c>
      <c r="P69">
        <v>28.799680709838899</v>
      </c>
      <c r="Q69">
        <v>6.1540951728820801</v>
      </c>
      <c r="R69">
        <v>4.1650152206420898</v>
      </c>
      <c r="S69" t="s">
        <v>272</v>
      </c>
      <c r="T69" t="s">
        <v>411</v>
      </c>
      <c r="U69" t="s">
        <v>412</v>
      </c>
      <c r="V69" t="s">
        <v>412</v>
      </c>
      <c r="W69" s="3">
        <v>842</v>
      </c>
      <c r="X69" s="3">
        <v>3940000</v>
      </c>
      <c r="Y69">
        <v>3</v>
      </c>
      <c r="Z69" s="3">
        <v>349</v>
      </c>
      <c r="AA69" s="3">
        <v>370</v>
      </c>
      <c r="AB69" s="3">
        <v>544</v>
      </c>
      <c r="AC69" s="3">
        <v>607</v>
      </c>
      <c r="AD69" s="3">
        <v>618</v>
      </c>
      <c r="AE69" s="3">
        <v>643</v>
      </c>
      <c r="AF69" s="3">
        <v>650</v>
      </c>
      <c r="AG69" s="3">
        <v>657</v>
      </c>
      <c r="AH69" s="3">
        <v>661</v>
      </c>
      <c r="AI69" s="3">
        <v>702</v>
      </c>
      <c r="AJ69" s="3">
        <v>705</v>
      </c>
      <c r="AK69" s="3">
        <v>803</v>
      </c>
      <c r="AL69" s="3">
        <v>854</v>
      </c>
      <c r="AM69" s="3">
        <v>844</v>
      </c>
      <c r="AN69" s="3">
        <v>858</v>
      </c>
      <c r="AO69" s="3">
        <v>856</v>
      </c>
      <c r="AP69" s="3">
        <v>842</v>
      </c>
      <c r="AR69" s="4">
        <f t="shared" si="6"/>
        <v>213.67317387115662</v>
      </c>
      <c r="AS69" s="5">
        <f t="shared" si="7"/>
        <v>0.75214899713467043</v>
      </c>
      <c r="AT69" s="5">
        <f t="shared" ref="AT69:AT130" si="11">(AB69-AA69)/AA69/9*100</f>
        <v>5.2252252252252251</v>
      </c>
      <c r="AU69" s="5">
        <f t="shared" ref="AU69:AU130" si="12">(AF69-AB69)/AB69/10*100</f>
        <v>1.9485294117647058</v>
      </c>
      <c r="AV69" s="5">
        <f t="shared" ref="AV69:AV130" si="13">(AP69-AF69)/AF69/10*100</f>
        <v>2.953846153846154</v>
      </c>
      <c r="AW69" s="5">
        <f t="shared" ref="AW69:AW130" si="14">(AB69-Z69)/Z69/17*100</f>
        <v>3.2867015000842743</v>
      </c>
      <c r="AX69" s="5">
        <f t="shared" ref="AX69:AX130" si="15">(AP69-AB69)/AB69/20*100</f>
        <v>2.7389705882352944</v>
      </c>
      <c r="AY69" s="5">
        <f t="shared" ref="AY69:AY130" si="16">(AP69-Z69)/Z69/37*100</f>
        <v>3.8178579725857662</v>
      </c>
      <c r="AZ69">
        <f t="shared" si="8"/>
        <v>3920000</v>
      </c>
      <c r="BA69">
        <v>0</v>
      </c>
      <c r="BB69">
        <v>430000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2760000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730000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24</v>
      </c>
      <c r="CC69">
        <v>33</v>
      </c>
      <c r="CD69">
        <v>41</v>
      </c>
      <c r="CE69">
        <v>46</v>
      </c>
      <c r="CF69" s="17">
        <v>6.091370558375635</v>
      </c>
      <c r="CG69" s="17">
        <v>8.3756345177664979</v>
      </c>
      <c r="CH69" s="17">
        <v>10.406091370558377</v>
      </c>
      <c r="CI69" s="17">
        <v>11.6751269035533</v>
      </c>
      <c r="CJ69" s="18">
        <v>1</v>
      </c>
      <c r="CK69" s="18">
        <v>1.375</v>
      </c>
      <c r="CL69" s="18">
        <v>1.7083333333333333</v>
      </c>
      <c r="CM69" s="18">
        <v>1.9166666666666667</v>
      </c>
      <c r="CN69" s="18">
        <v>0</v>
      </c>
      <c r="CO69" s="18">
        <v>2.2842639593908629</v>
      </c>
      <c r="CP69" s="18">
        <v>4.3147208121827409</v>
      </c>
      <c r="CQ69" s="18">
        <v>5.5837563451776653</v>
      </c>
      <c r="CR69" s="18">
        <f t="shared" si="9"/>
        <v>2.4183381088825215</v>
      </c>
      <c r="CS69" s="18">
        <f t="shared" si="10"/>
        <v>1.2617416220256634</v>
      </c>
      <c r="CT69">
        <v>4.5918367346938798</v>
      </c>
      <c r="CU69">
        <v>77.295918367346943</v>
      </c>
      <c r="CV69">
        <v>18.112244897959201</v>
      </c>
      <c r="CW69">
        <v>0</v>
      </c>
      <c r="CX69">
        <v>0</v>
      </c>
      <c r="CY69">
        <v>7.1428571428571397</v>
      </c>
      <c r="CZ69">
        <v>74.234693877550995</v>
      </c>
      <c r="DA69">
        <v>18.622448979591798</v>
      </c>
      <c r="DB69">
        <v>0</v>
      </c>
      <c r="DC69">
        <v>0</v>
      </c>
      <c r="DD69">
        <v>7.1428571428571397</v>
      </c>
      <c r="DE69">
        <v>74.234693877550995</v>
      </c>
      <c r="DF69">
        <v>18.622448979591798</v>
      </c>
      <c r="DG69">
        <v>0</v>
      </c>
      <c r="DH69">
        <v>0</v>
      </c>
      <c r="DI69">
        <v>7.6530612244898002</v>
      </c>
      <c r="DJ69">
        <v>73.724489795918402</v>
      </c>
      <c r="DK69">
        <v>18.622448979591798</v>
      </c>
      <c r="DL69">
        <v>0</v>
      </c>
      <c r="DM69">
        <v>0</v>
      </c>
      <c r="DN69">
        <v>10.969387755102</v>
      </c>
      <c r="DO69">
        <v>70.408163265306101</v>
      </c>
      <c r="DP69">
        <v>18.622448979591798</v>
      </c>
      <c r="DQ69">
        <v>0</v>
      </c>
      <c r="DR69">
        <v>0</v>
      </c>
      <c r="DS69" t="s">
        <v>273</v>
      </c>
      <c r="DT69" t="s">
        <v>273</v>
      </c>
      <c r="DU69" t="s">
        <v>273</v>
      </c>
      <c r="DV69" t="s">
        <v>273</v>
      </c>
      <c r="DW69" t="s">
        <v>273</v>
      </c>
      <c r="DX69" t="s">
        <v>273</v>
      </c>
      <c r="DY69" t="s">
        <v>273</v>
      </c>
      <c r="DZ69" t="s">
        <v>273</v>
      </c>
      <c r="EA69" t="s">
        <v>273</v>
      </c>
      <c r="EB69" t="s">
        <v>273</v>
      </c>
      <c r="EC69" t="s">
        <v>273</v>
      </c>
      <c r="ED69" t="s">
        <v>274</v>
      </c>
      <c r="EE69" t="s">
        <v>274</v>
      </c>
      <c r="EF69" t="s">
        <v>274</v>
      </c>
      <c r="EG69" t="s">
        <v>274</v>
      </c>
    </row>
    <row r="70" spans="1:137" ht="14.55" customHeight="1" x14ac:dyDescent="0.3">
      <c r="A70" t="s">
        <v>413</v>
      </c>
      <c r="B70">
        <v>2183</v>
      </c>
      <c r="C70" t="s">
        <v>414</v>
      </c>
      <c r="D70" t="s">
        <v>269</v>
      </c>
      <c r="E70" t="s">
        <v>269</v>
      </c>
      <c r="F70" t="s">
        <v>270</v>
      </c>
      <c r="G70" t="s">
        <v>406</v>
      </c>
      <c r="H70" s="3">
        <v>7234034.8751299996</v>
      </c>
      <c r="I70">
        <v>720</v>
      </c>
      <c r="J70" s="3">
        <v>723.40348751299996</v>
      </c>
      <c r="K70">
        <v>585</v>
      </c>
      <c r="L70">
        <v>722</v>
      </c>
      <c r="M70">
        <v>654.38901953690299</v>
      </c>
      <c r="N70">
        <v>23.528214247605799</v>
      </c>
      <c r="O70">
        <v>0</v>
      </c>
      <c r="P70">
        <v>37.058914184570298</v>
      </c>
      <c r="Q70">
        <v>6.8296852111816397</v>
      </c>
      <c r="R70">
        <v>4.3771505355834996</v>
      </c>
      <c r="S70" t="s">
        <v>272</v>
      </c>
      <c r="T70" t="s">
        <v>413</v>
      </c>
      <c r="U70" t="s">
        <v>414</v>
      </c>
      <c r="V70" t="s">
        <v>414</v>
      </c>
      <c r="W70" s="3">
        <v>2717</v>
      </c>
      <c r="X70" s="3">
        <v>7230000</v>
      </c>
      <c r="Y70">
        <v>2</v>
      </c>
      <c r="Z70" s="3">
        <v>1009</v>
      </c>
      <c r="AA70" s="3">
        <v>1523</v>
      </c>
      <c r="AB70" s="3">
        <v>1735</v>
      </c>
      <c r="AC70" s="3">
        <v>2140</v>
      </c>
      <c r="AD70" s="3">
        <v>2234</v>
      </c>
      <c r="AE70" s="3">
        <v>2263</v>
      </c>
      <c r="AF70" s="3">
        <v>2260</v>
      </c>
      <c r="AG70" s="3">
        <v>2240</v>
      </c>
      <c r="AH70" s="3">
        <v>2262</v>
      </c>
      <c r="AI70" s="3">
        <v>2266</v>
      </c>
      <c r="AJ70" s="3">
        <v>2312</v>
      </c>
      <c r="AK70" s="3">
        <v>2364</v>
      </c>
      <c r="AL70" s="3">
        <v>2455</v>
      </c>
      <c r="AM70" s="3">
        <v>2454</v>
      </c>
      <c r="AN70" s="3">
        <v>2563</v>
      </c>
      <c r="AO70" s="3">
        <v>2696</v>
      </c>
      <c r="AP70" s="3">
        <v>2717</v>
      </c>
      <c r="AR70" s="4">
        <f t="shared" ref="AR70:AR130" si="17">AP70/(J70/100)</f>
        <v>375.5856927564472</v>
      </c>
      <c r="AS70" s="5">
        <f t="shared" ref="AS70:AS130" si="18">(AA70-Z70)/Z70/8*100</f>
        <v>6.3676907829534199</v>
      </c>
      <c r="AT70" s="5">
        <f t="shared" si="11"/>
        <v>1.546654993798789</v>
      </c>
      <c r="AU70" s="5">
        <f t="shared" si="12"/>
        <v>3.0259365994236309</v>
      </c>
      <c r="AV70" s="5">
        <f t="shared" si="13"/>
        <v>2.0221238938053094</v>
      </c>
      <c r="AW70" s="5">
        <f t="shared" si="14"/>
        <v>4.2324957733341106</v>
      </c>
      <c r="AX70" s="5">
        <f t="shared" si="15"/>
        <v>2.8299711815561963</v>
      </c>
      <c r="AY70" s="5">
        <f t="shared" si="16"/>
        <v>4.5750408485790057</v>
      </c>
      <c r="AZ70">
        <f t="shared" ref="AZ70:AZ133" si="19">SUM(BA70:CA70)</f>
        <v>7210000</v>
      </c>
      <c r="BA70">
        <v>0</v>
      </c>
      <c r="BB70">
        <v>880000</v>
      </c>
      <c r="BC70">
        <v>60000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2240000</v>
      </c>
      <c r="BK70">
        <v>0</v>
      </c>
      <c r="BL70">
        <v>0</v>
      </c>
      <c r="BM70">
        <v>1820000</v>
      </c>
      <c r="BN70">
        <v>0</v>
      </c>
      <c r="BO70">
        <v>0</v>
      </c>
      <c r="BP70">
        <v>0</v>
      </c>
      <c r="BQ70">
        <v>50000</v>
      </c>
      <c r="BR70">
        <v>1560000</v>
      </c>
      <c r="BS70">
        <v>0</v>
      </c>
      <c r="BT70">
        <v>0</v>
      </c>
      <c r="BU70">
        <v>600000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63</v>
      </c>
      <c r="CC70">
        <v>87</v>
      </c>
      <c r="CD70">
        <v>95</v>
      </c>
      <c r="CE70">
        <v>109</v>
      </c>
      <c r="CF70" s="17">
        <v>8.7016574585635365</v>
      </c>
      <c r="CG70" s="17">
        <v>12.016574585635359</v>
      </c>
      <c r="CH70" s="17">
        <v>13.121546961325967</v>
      </c>
      <c r="CI70" s="17">
        <v>15.05524861878453</v>
      </c>
      <c r="CJ70" s="18">
        <v>1</v>
      </c>
      <c r="CK70" s="18">
        <v>1.3809523809523809</v>
      </c>
      <c r="CL70" s="18">
        <v>1.5079365079365079</v>
      </c>
      <c r="CM70" s="18">
        <v>1.7301587301587302</v>
      </c>
      <c r="CN70" s="18">
        <v>0</v>
      </c>
      <c r="CO70" s="18">
        <v>3.3149171270718232</v>
      </c>
      <c r="CP70" s="18">
        <v>4.4198895027624303</v>
      </c>
      <c r="CQ70" s="18">
        <v>6.3535911602209953</v>
      </c>
      <c r="CR70" s="18">
        <f t="shared" ref="CR70:CR133" si="20">AM70/Z70</f>
        <v>2.4321110009910805</v>
      </c>
      <c r="CS70" s="18">
        <f t="shared" ref="CS70:CS133" si="21">CR70/CM70</f>
        <v>1.405715532682918</v>
      </c>
      <c r="CT70">
        <v>3.7447988904299572</v>
      </c>
      <c r="CU70">
        <v>61.997226074895948</v>
      </c>
      <c r="CV70">
        <v>34.257975034674097</v>
      </c>
      <c r="CW70">
        <v>0</v>
      </c>
      <c r="CX70">
        <v>0</v>
      </c>
      <c r="CY70">
        <v>11.789181692094356</v>
      </c>
      <c r="CZ70">
        <v>57.975034674063799</v>
      </c>
      <c r="DA70">
        <v>30.235783633841898</v>
      </c>
      <c r="DB70">
        <v>0</v>
      </c>
      <c r="DC70">
        <v>0</v>
      </c>
      <c r="DD70">
        <v>12.898751733703158</v>
      </c>
      <c r="DE70">
        <v>56.865464632454902</v>
      </c>
      <c r="DF70">
        <v>30.235783633841898</v>
      </c>
      <c r="DG70">
        <v>0</v>
      </c>
      <c r="DH70">
        <v>0</v>
      </c>
      <c r="DI70">
        <v>12.343966712898757</v>
      </c>
      <c r="DJ70">
        <v>57.004160887655999</v>
      </c>
      <c r="DK70">
        <v>30.651872399445171</v>
      </c>
      <c r="DL70">
        <v>0</v>
      </c>
      <c r="DM70">
        <v>0</v>
      </c>
      <c r="DN70">
        <v>13.037447988904256</v>
      </c>
      <c r="DO70">
        <v>56.3106796116504</v>
      </c>
      <c r="DP70">
        <v>30.651872399445171</v>
      </c>
      <c r="DQ70">
        <v>0</v>
      </c>
      <c r="DR70">
        <v>0</v>
      </c>
      <c r="DS70" t="s">
        <v>371</v>
      </c>
      <c r="DT70" t="s">
        <v>313</v>
      </c>
      <c r="DU70">
        <v>2893</v>
      </c>
      <c r="DV70">
        <v>2196</v>
      </c>
      <c r="DW70" t="s">
        <v>269</v>
      </c>
      <c r="DX70">
        <v>18</v>
      </c>
      <c r="DY70">
        <v>0</v>
      </c>
      <c r="DZ70">
        <v>18</v>
      </c>
      <c r="EA70">
        <v>89789</v>
      </c>
      <c r="EB70">
        <v>0</v>
      </c>
      <c r="EC70">
        <v>89789</v>
      </c>
      <c r="ED70" t="s">
        <v>274</v>
      </c>
      <c r="EE70" t="s">
        <v>274</v>
      </c>
      <c r="EF70" t="s">
        <v>274</v>
      </c>
      <c r="EG70" t="s">
        <v>274</v>
      </c>
    </row>
    <row r="71" spans="1:137" ht="14.55" customHeight="1" x14ac:dyDescent="0.3">
      <c r="A71" t="s">
        <v>415</v>
      </c>
      <c r="B71">
        <v>2186</v>
      </c>
      <c r="C71" t="s">
        <v>416</v>
      </c>
      <c r="D71" t="s">
        <v>269</v>
      </c>
      <c r="E71" t="s">
        <v>269</v>
      </c>
      <c r="F71" t="s">
        <v>270</v>
      </c>
      <c r="G71" t="s">
        <v>406</v>
      </c>
      <c r="H71" s="3">
        <v>4969680.9723100001</v>
      </c>
      <c r="I71">
        <v>497</v>
      </c>
      <c r="J71" s="3">
        <v>496.968097231</v>
      </c>
      <c r="K71">
        <v>628</v>
      </c>
      <c r="L71">
        <v>784</v>
      </c>
      <c r="M71">
        <v>710.478771097047</v>
      </c>
      <c r="N71">
        <v>24.471660238302398</v>
      </c>
      <c r="O71">
        <v>0</v>
      </c>
      <c r="P71">
        <v>32.136474609375</v>
      </c>
      <c r="Q71">
        <v>6.2956600189209002</v>
      </c>
      <c r="R71">
        <v>4.2504363059997603</v>
      </c>
      <c r="S71" t="s">
        <v>272</v>
      </c>
      <c r="T71" t="s">
        <v>415</v>
      </c>
      <c r="U71" t="s">
        <v>416</v>
      </c>
      <c r="V71" t="s">
        <v>416</v>
      </c>
      <c r="W71" s="3">
        <v>1504</v>
      </c>
      <c r="X71" s="3">
        <v>4970000</v>
      </c>
      <c r="Y71">
        <v>3</v>
      </c>
      <c r="Z71" s="3">
        <v>660</v>
      </c>
      <c r="AA71" s="3">
        <v>777</v>
      </c>
      <c r="AB71" s="3">
        <v>918</v>
      </c>
      <c r="AC71" s="3">
        <v>1139</v>
      </c>
      <c r="AD71" s="3">
        <v>1150</v>
      </c>
      <c r="AE71" s="3">
        <v>1208</v>
      </c>
      <c r="AF71" s="3">
        <v>1259</v>
      </c>
      <c r="AG71" s="3">
        <v>1327</v>
      </c>
      <c r="AH71" s="3">
        <v>1350</v>
      </c>
      <c r="AI71" s="3">
        <v>1385</v>
      </c>
      <c r="AJ71" s="3">
        <v>1421</v>
      </c>
      <c r="AK71" s="3">
        <v>1441</v>
      </c>
      <c r="AL71" s="3">
        <v>1490</v>
      </c>
      <c r="AM71" s="3">
        <v>1473</v>
      </c>
      <c r="AN71" s="3">
        <v>1497</v>
      </c>
      <c r="AO71" s="3">
        <v>1509</v>
      </c>
      <c r="AP71" s="3">
        <v>1504</v>
      </c>
      <c r="AR71" s="4">
        <f t="shared" si="17"/>
        <v>302.63512051980126</v>
      </c>
      <c r="AS71" s="5">
        <f t="shared" si="18"/>
        <v>2.2159090909090908</v>
      </c>
      <c r="AT71" s="5">
        <f t="shared" si="11"/>
        <v>2.0163020163020162</v>
      </c>
      <c r="AU71" s="5">
        <f t="shared" si="12"/>
        <v>3.7145969498910678</v>
      </c>
      <c r="AV71" s="5">
        <f t="shared" si="13"/>
        <v>1.9459888800635423</v>
      </c>
      <c r="AW71" s="5">
        <f t="shared" si="14"/>
        <v>2.2994652406417111</v>
      </c>
      <c r="AX71" s="5">
        <f t="shared" si="15"/>
        <v>3.1917211328976034</v>
      </c>
      <c r="AY71" s="5">
        <f t="shared" si="16"/>
        <v>3.4561834561834566</v>
      </c>
      <c r="AZ71">
        <f t="shared" si="19"/>
        <v>4980000</v>
      </c>
      <c r="BA71">
        <v>0</v>
      </c>
      <c r="BB71">
        <v>640000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1920000</v>
      </c>
      <c r="BK71">
        <v>0</v>
      </c>
      <c r="BL71">
        <v>0</v>
      </c>
      <c r="BM71">
        <v>1560000</v>
      </c>
      <c r="BN71">
        <v>0</v>
      </c>
      <c r="BO71">
        <v>0</v>
      </c>
      <c r="BP71">
        <v>0</v>
      </c>
      <c r="BQ71">
        <v>0</v>
      </c>
      <c r="BR71">
        <v>860000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43</v>
      </c>
      <c r="CC71">
        <v>53</v>
      </c>
      <c r="CD71">
        <v>59</v>
      </c>
      <c r="CE71">
        <v>68</v>
      </c>
      <c r="CF71" s="17">
        <v>8.6345381526104426</v>
      </c>
      <c r="CG71" s="17">
        <v>10.642570281124499</v>
      </c>
      <c r="CH71" s="17">
        <v>11.847389558232932</v>
      </c>
      <c r="CI71" s="17">
        <v>13.654618473895583</v>
      </c>
      <c r="CJ71" s="18">
        <v>1</v>
      </c>
      <c r="CK71" s="18">
        <v>1.2325581395348837</v>
      </c>
      <c r="CL71" s="18">
        <v>1.3720930232558139</v>
      </c>
      <c r="CM71" s="18">
        <v>1.5813953488372092</v>
      </c>
      <c r="CN71" s="18">
        <v>0</v>
      </c>
      <c r="CO71" s="18">
        <v>2.0080321285140563</v>
      </c>
      <c r="CP71" s="18">
        <v>3.2128514056224895</v>
      </c>
      <c r="CQ71" s="18">
        <v>5.0200803212851408</v>
      </c>
      <c r="CR71" s="18">
        <f t="shared" si="20"/>
        <v>2.2318181818181819</v>
      </c>
      <c r="CS71" s="18">
        <f t="shared" si="21"/>
        <v>1.4112967914438503</v>
      </c>
      <c r="CT71">
        <v>2.0080321285140599</v>
      </c>
      <c r="CU71">
        <v>80.120481927710856</v>
      </c>
      <c r="CV71">
        <v>17.871485943775099</v>
      </c>
      <c r="CW71">
        <v>0</v>
      </c>
      <c r="CX71">
        <v>0</v>
      </c>
      <c r="CY71">
        <v>12.2489959839357</v>
      </c>
      <c r="CZ71">
        <v>70.481927710843394</v>
      </c>
      <c r="DA71">
        <v>17.269076305220899</v>
      </c>
      <c r="DB71">
        <v>0</v>
      </c>
      <c r="DC71">
        <v>0</v>
      </c>
      <c r="DD71">
        <v>12.2489959839357</v>
      </c>
      <c r="DE71">
        <v>70.481927710843394</v>
      </c>
      <c r="DF71">
        <v>17.269076305220899</v>
      </c>
      <c r="DG71">
        <v>0</v>
      </c>
      <c r="DH71">
        <v>0</v>
      </c>
      <c r="DI71">
        <v>12.851405622490001</v>
      </c>
      <c r="DJ71">
        <v>69.879518072289201</v>
      </c>
      <c r="DK71">
        <v>17.269076305220899</v>
      </c>
      <c r="DL71">
        <v>0</v>
      </c>
      <c r="DM71">
        <v>0</v>
      </c>
      <c r="DN71">
        <v>12.851405622490001</v>
      </c>
      <c r="DO71">
        <v>69.879518072289201</v>
      </c>
      <c r="DP71">
        <v>17.269076305220899</v>
      </c>
      <c r="DQ71">
        <v>0</v>
      </c>
      <c r="DR71">
        <v>0</v>
      </c>
      <c r="DS71" t="s">
        <v>312</v>
      </c>
      <c r="DT71" t="s">
        <v>313</v>
      </c>
      <c r="DU71">
        <v>1521</v>
      </c>
      <c r="DV71">
        <v>2196</v>
      </c>
      <c r="DW71" t="s">
        <v>269</v>
      </c>
      <c r="DX71">
        <v>18</v>
      </c>
      <c r="DY71">
        <v>0</v>
      </c>
      <c r="DZ71">
        <v>18</v>
      </c>
      <c r="EA71">
        <v>89789</v>
      </c>
      <c r="EB71">
        <v>0</v>
      </c>
      <c r="EC71">
        <v>89789</v>
      </c>
      <c r="ED71" t="s">
        <v>274</v>
      </c>
      <c r="EE71" t="s">
        <v>274</v>
      </c>
      <c r="EF71" t="s">
        <v>274</v>
      </c>
      <c r="EG71" t="s">
        <v>274</v>
      </c>
    </row>
    <row r="72" spans="1:137" ht="14.55" customHeight="1" x14ac:dyDescent="0.3">
      <c r="A72" t="s">
        <v>417</v>
      </c>
      <c r="B72">
        <v>2194</v>
      </c>
      <c r="C72" t="s">
        <v>418</v>
      </c>
      <c r="D72" t="s">
        <v>269</v>
      </c>
      <c r="E72" t="s">
        <v>269</v>
      </c>
      <c r="F72" t="s">
        <v>270</v>
      </c>
      <c r="G72" t="s">
        <v>406</v>
      </c>
      <c r="H72" s="3">
        <v>1018290.66901</v>
      </c>
      <c r="I72">
        <v>104</v>
      </c>
      <c r="J72" s="3">
        <v>101.82906690099999</v>
      </c>
      <c r="K72">
        <v>728</v>
      </c>
      <c r="L72">
        <v>866</v>
      </c>
      <c r="M72">
        <v>764.59318766066804</v>
      </c>
      <c r="N72">
        <v>26.328841543766501</v>
      </c>
      <c r="O72">
        <v>0</v>
      </c>
      <c r="P72">
        <v>36.617515563964801</v>
      </c>
      <c r="Q72">
        <v>8.2778663635253906</v>
      </c>
      <c r="R72">
        <v>6.96537113189697</v>
      </c>
      <c r="S72" t="s">
        <v>272</v>
      </c>
      <c r="T72" t="s">
        <v>417</v>
      </c>
      <c r="U72" t="s">
        <v>418</v>
      </c>
      <c r="V72" t="s">
        <v>418</v>
      </c>
      <c r="W72" s="3">
        <v>266</v>
      </c>
      <c r="X72" s="3">
        <v>1020000</v>
      </c>
      <c r="Y72">
        <v>3</v>
      </c>
      <c r="Z72" s="3">
        <v>146</v>
      </c>
      <c r="AA72" s="3">
        <v>148</v>
      </c>
      <c r="AB72" s="3">
        <v>181</v>
      </c>
      <c r="AC72" s="3">
        <v>228</v>
      </c>
      <c r="AD72" s="3">
        <v>227</v>
      </c>
      <c r="AE72" s="3">
        <v>237</v>
      </c>
      <c r="AF72" s="3">
        <v>241</v>
      </c>
      <c r="AG72" s="3">
        <v>257</v>
      </c>
      <c r="AH72" s="3">
        <v>264</v>
      </c>
      <c r="AI72" s="3">
        <v>278</v>
      </c>
      <c r="AJ72" s="3">
        <v>280</v>
      </c>
      <c r="AK72" s="3">
        <v>275</v>
      </c>
      <c r="AL72" s="3">
        <v>285</v>
      </c>
      <c r="AM72" s="3">
        <v>277</v>
      </c>
      <c r="AN72" s="3">
        <v>283</v>
      </c>
      <c r="AO72" s="3">
        <v>273</v>
      </c>
      <c r="AP72" s="3">
        <v>266</v>
      </c>
      <c r="AR72" s="4">
        <f t="shared" si="17"/>
        <v>261.22207351522712</v>
      </c>
      <c r="AS72" s="5">
        <f t="shared" si="18"/>
        <v>0.17123287671232876</v>
      </c>
      <c r="AT72" s="5">
        <f t="shared" si="11"/>
        <v>2.4774774774774775</v>
      </c>
      <c r="AU72" s="5">
        <f t="shared" si="12"/>
        <v>3.3149171270718232</v>
      </c>
      <c r="AV72" s="5">
        <f t="shared" si="13"/>
        <v>1.0373443983402491</v>
      </c>
      <c r="AW72" s="5">
        <f t="shared" si="14"/>
        <v>1.410153102336825</v>
      </c>
      <c r="AX72" s="5">
        <f t="shared" si="15"/>
        <v>2.3480662983425415</v>
      </c>
      <c r="AY72" s="5">
        <f t="shared" si="16"/>
        <v>2.2213994816734544</v>
      </c>
      <c r="AZ72">
        <f t="shared" si="19"/>
        <v>1030000</v>
      </c>
      <c r="BA72">
        <v>0</v>
      </c>
      <c r="BB72">
        <v>190000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710000</v>
      </c>
      <c r="BN72">
        <v>0</v>
      </c>
      <c r="BO72">
        <v>0</v>
      </c>
      <c r="BP72">
        <v>10000</v>
      </c>
      <c r="BQ72">
        <v>0</v>
      </c>
      <c r="BR72">
        <v>120000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15</v>
      </c>
      <c r="CC72">
        <v>16</v>
      </c>
      <c r="CD72">
        <v>16</v>
      </c>
      <c r="CE72">
        <v>17</v>
      </c>
      <c r="CF72" s="17">
        <v>14.705882352941178</v>
      </c>
      <c r="CG72" s="17">
        <v>15.686274509803921</v>
      </c>
      <c r="CH72" s="17">
        <v>15.686274509803921</v>
      </c>
      <c r="CI72" s="17">
        <v>16.666666666666664</v>
      </c>
      <c r="CJ72" s="18">
        <v>1</v>
      </c>
      <c r="CK72" s="18">
        <v>1.0666666666666667</v>
      </c>
      <c r="CL72" s="18">
        <v>1.0666666666666667</v>
      </c>
      <c r="CM72" s="18">
        <v>1.1333333333333333</v>
      </c>
      <c r="CN72" s="18">
        <v>0</v>
      </c>
      <c r="CO72" s="18">
        <v>0.98039215686274506</v>
      </c>
      <c r="CP72" s="18">
        <v>0.98039215686274506</v>
      </c>
      <c r="CQ72" s="18">
        <v>1.9607843137254901</v>
      </c>
      <c r="CR72" s="18">
        <f t="shared" si="20"/>
        <v>1.8972602739726028</v>
      </c>
      <c r="CS72" s="18">
        <f t="shared" si="21"/>
        <v>1.6740531829170024</v>
      </c>
      <c r="CT72">
        <v>10.679611650485441</v>
      </c>
      <c r="CU72">
        <v>65.048543689320411</v>
      </c>
      <c r="CV72">
        <v>24.271844660194201</v>
      </c>
      <c r="CW72">
        <v>0</v>
      </c>
      <c r="CX72">
        <v>0</v>
      </c>
      <c r="CY72">
        <v>18.446601941747598</v>
      </c>
      <c r="CZ72">
        <v>68.932038834951499</v>
      </c>
      <c r="DA72">
        <v>12.621359223301001</v>
      </c>
      <c r="DB72">
        <v>0</v>
      </c>
      <c r="DC72">
        <v>0</v>
      </c>
      <c r="DD72">
        <v>18.446601941747598</v>
      </c>
      <c r="DE72">
        <v>68.932038834951499</v>
      </c>
      <c r="DF72">
        <v>12.621359223301001</v>
      </c>
      <c r="DG72">
        <v>0</v>
      </c>
      <c r="DH72">
        <v>0</v>
      </c>
      <c r="DI72">
        <v>18.446601941747598</v>
      </c>
      <c r="DJ72">
        <v>68.932038834951499</v>
      </c>
      <c r="DK72">
        <v>12.621359223301001</v>
      </c>
      <c r="DL72">
        <v>0</v>
      </c>
      <c r="DM72">
        <v>0</v>
      </c>
      <c r="DN72">
        <v>18.446601941747598</v>
      </c>
      <c r="DO72">
        <v>68.932038834951499</v>
      </c>
      <c r="DP72">
        <v>12.621359223301001</v>
      </c>
      <c r="DQ72">
        <v>0</v>
      </c>
      <c r="DR72">
        <v>0</v>
      </c>
      <c r="DS72" t="s">
        <v>312</v>
      </c>
      <c r="DT72" t="s">
        <v>313</v>
      </c>
      <c r="DU72">
        <v>263</v>
      </c>
      <c r="DV72">
        <v>2196</v>
      </c>
      <c r="DW72" t="s">
        <v>269</v>
      </c>
      <c r="DX72">
        <v>18</v>
      </c>
      <c r="DY72">
        <v>0</v>
      </c>
      <c r="DZ72">
        <v>18</v>
      </c>
      <c r="EA72">
        <v>89789</v>
      </c>
      <c r="EB72">
        <v>0</v>
      </c>
      <c r="EC72">
        <v>89789</v>
      </c>
      <c r="ED72" t="s">
        <v>274</v>
      </c>
      <c r="EE72" t="s">
        <v>274</v>
      </c>
      <c r="EF72" t="s">
        <v>274</v>
      </c>
      <c r="EG72" t="s">
        <v>274</v>
      </c>
    </row>
    <row r="73" spans="1:137" ht="14.55" customHeight="1" x14ac:dyDescent="0.3">
      <c r="A73" t="s">
        <v>419</v>
      </c>
      <c r="B73">
        <v>2196</v>
      </c>
      <c r="C73" t="s">
        <v>269</v>
      </c>
      <c r="D73" t="s">
        <v>269</v>
      </c>
      <c r="E73" t="s">
        <v>269</v>
      </c>
      <c r="F73" t="s">
        <v>270</v>
      </c>
      <c r="G73" t="s">
        <v>406</v>
      </c>
      <c r="H73" s="3">
        <v>9284601.6296800002</v>
      </c>
      <c r="I73">
        <v>922</v>
      </c>
      <c r="J73" s="3">
        <v>916.30958015899989</v>
      </c>
      <c r="K73">
        <v>491</v>
      </c>
      <c r="L73">
        <v>714</v>
      </c>
      <c r="M73">
        <v>620.62298949174397</v>
      </c>
      <c r="N73">
        <v>43.146431243249801</v>
      </c>
      <c r="O73">
        <v>0</v>
      </c>
      <c r="P73">
        <v>55.634506225585902</v>
      </c>
      <c r="Q73">
        <v>10.103599548339799</v>
      </c>
      <c r="R73">
        <v>8.6458406448364293</v>
      </c>
      <c r="S73" t="s">
        <v>272</v>
      </c>
      <c r="T73" t="s">
        <v>419</v>
      </c>
      <c r="U73" t="s">
        <v>269</v>
      </c>
      <c r="V73" t="s">
        <v>269</v>
      </c>
      <c r="W73" s="3">
        <v>38197</v>
      </c>
      <c r="X73" s="3">
        <v>9280000</v>
      </c>
      <c r="Y73">
        <v>2</v>
      </c>
      <c r="Z73" s="3">
        <v>36439</v>
      </c>
      <c r="AA73" s="3">
        <v>33913</v>
      </c>
      <c r="AB73" s="3">
        <v>31860</v>
      </c>
      <c r="AC73" s="3">
        <v>33418</v>
      </c>
      <c r="AD73" s="3">
        <v>33836</v>
      </c>
      <c r="AE73" s="3">
        <v>34084</v>
      </c>
      <c r="AF73" s="3">
        <v>34490</v>
      </c>
      <c r="AG73" s="3">
        <v>34718</v>
      </c>
      <c r="AH73" s="3">
        <v>35680</v>
      </c>
      <c r="AI73" s="3">
        <v>36633</v>
      </c>
      <c r="AJ73" s="3">
        <v>37485</v>
      </c>
      <c r="AK73" s="3">
        <v>38288</v>
      </c>
      <c r="AL73" s="3">
        <v>38489</v>
      </c>
      <c r="AM73" s="3">
        <v>38829</v>
      </c>
      <c r="AN73" s="3">
        <v>38521</v>
      </c>
      <c r="AO73" s="3">
        <v>38365</v>
      </c>
      <c r="AP73" s="3">
        <v>38197</v>
      </c>
      <c r="AR73" s="4">
        <f t="shared" si="17"/>
        <v>4168.5693162099196</v>
      </c>
      <c r="AS73" s="5">
        <f t="shared" si="18"/>
        <v>-0.86651664425478203</v>
      </c>
      <c r="AT73" s="5">
        <f t="shared" si="11"/>
        <v>-0.67263618998941743</v>
      </c>
      <c r="AU73" s="5">
        <f t="shared" si="12"/>
        <v>0.82548650345260521</v>
      </c>
      <c r="AV73" s="5">
        <f t="shared" si="13"/>
        <v>1.0748042910988691</v>
      </c>
      <c r="AW73" s="5">
        <f t="shared" si="14"/>
        <v>-0.7391886198207156</v>
      </c>
      <c r="AX73" s="5">
        <f t="shared" si="15"/>
        <v>0.99450721908349027</v>
      </c>
      <c r="AY73" s="5">
        <f t="shared" si="16"/>
        <v>0.13039192489781143</v>
      </c>
      <c r="AZ73">
        <f t="shared" si="19"/>
        <v>9160000</v>
      </c>
      <c r="BA73">
        <v>950000</v>
      </c>
      <c r="BB73">
        <v>5250000</v>
      </c>
      <c r="BC73">
        <v>400000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630000</v>
      </c>
      <c r="BK73">
        <v>0</v>
      </c>
      <c r="BL73">
        <v>0</v>
      </c>
      <c r="BM73">
        <v>10000</v>
      </c>
      <c r="BN73">
        <v>0</v>
      </c>
      <c r="BO73">
        <v>480000</v>
      </c>
      <c r="BP73">
        <v>100000</v>
      </c>
      <c r="BQ73">
        <v>0</v>
      </c>
      <c r="BR73">
        <v>1310000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30000</v>
      </c>
      <c r="CB73">
        <v>552</v>
      </c>
      <c r="CC73">
        <v>572</v>
      </c>
      <c r="CD73">
        <v>587</v>
      </c>
      <c r="CE73">
        <v>600</v>
      </c>
      <c r="CF73" s="17">
        <v>59.163987138263664</v>
      </c>
      <c r="CG73" s="17">
        <v>61.307609860664527</v>
      </c>
      <c r="CH73" s="17">
        <v>62.915326902465161</v>
      </c>
      <c r="CI73" s="17">
        <v>64.308681672025727</v>
      </c>
      <c r="CJ73" s="18">
        <v>1</v>
      </c>
      <c r="CK73" s="18">
        <v>1.036231884057971</v>
      </c>
      <c r="CL73" s="18">
        <v>1.0634057971014492</v>
      </c>
      <c r="CM73" s="18">
        <v>1.0869565217391304</v>
      </c>
      <c r="CN73" s="18">
        <v>0</v>
      </c>
      <c r="CO73" s="18">
        <v>2.1436227224008575</v>
      </c>
      <c r="CP73" s="18">
        <v>3.7513397642015009</v>
      </c>
      <c r="CQ73" s="18">
        <v>5.144694533762058</v>
      </c>
      <c r="CR73" s="18">
        <f t="shared" si="20"/>
        <v>1.0655890666593486</v>
      </c>
      <c r="CS73" s="18">
        <f t="shared" si="21"/>
        <v>0.9803419413266008</v>
      </c>
      <c r="CT73">
        <v>67.685589519650648</v>
      </c>
      <c r="CU73">
        <v>17.685589519650648</v>
      </c>
      <c r="CV73">
        <v>11.353711790393</v>
      </c>
      <c r="CW73">
        <v>0</v>
      </c>
      <c r="CX73">
        <v>3.2751091703056798</v>
      </c>
      <c r="CY73">
        <v>71.834061135371186</v>
      </c>
      <c r="CZ73">
        <v>12.3362445414847</v>
      </c>
      <c r="DA73">
        <v>15.502183406113501</v>
      </c>
      <c r="DB73">
        <v>0</v>
      </c>
      <c r="DC73">
        <v>0.32751091703056801</v>
      </c>
      <c r="DD73">
        <v>71.834061135371186</v>
      </c>
      <c r="DE73">
        <v>12.3362445414847</v>
      </c>
      <c r="DF73">
        <v>15.502183406113501</v>
      </c>
      <c r="DG73">
        <v>0</v>
      </c>
      <c r="DH73">
        <v>0.32751091703056801</v>
      </c>
      <c r="DI73">
        <v>72.052401746724939</v>
      </c>
      <c r="DJ73">
        <v>12.227074235807855</v>
      </c>
      <c r="DK73">
        <v>15.393013100436701</v>
      </c>
      <c r="DL73">
        <v>0</v>
      </c>
      <c r="DM73">
        <v>0.32751091703056801</v>
      </c>
      <c r="DN73">
        <v>72.052401746724939</v>
      </c>
      <c r="DO73">
        <v>12.227074235807855</v>
      </c>
      <c r="DP73">
        <v>15.393013100436701</v>
      </c>
      <c r="DQ73">
        <v>0</v>
      </c>
      <c r="DR73">
        <v>0.32751091703056801</v>
      </c>
      <c r="DS73" t="s">
        <v>362</v>
      </c>
      <c r="DT73" t="s">
        <v>313</v>
      </c>
      <c r="DU73">
        <v>37653</v>
      </c>
      <c r="DV73">
        <v>2196</v>
      </c>
      <c r="DW73" t="s">
        <v>269</v>
      </c>
      <c r="DX73">
        <v>18</v>
      </c>
      <c r="DY73">
        <v>0</v>
      </c>
      <c r="DZ73">
        <v>18</v>
      </c>
      <c r="EA73">
        <v>89789</v>
      </c>
      <c r="EB73">
        <v>0</v>
      </c>
      <c r="EC73">
        <v>89789</v>
      </c>
      <c r="ED73" t="s">
        <v>274</v>
      </c>
      <c r="EE73" t="s">
        <v>274</v>
      </c>
      <c r="EF73" t="s">
        <v>274</v>
      </c>
      <c r="EG73" t="s">
        <v>274</v>
      </c>
    </row>
    <row r="74" spans="1:137" ht="14.55" customHeight="1" x14ac:dyDescent="0.3">
      <c r="A74" t="s">
        <v>420</v>
      </c>
      <c r="B74">
        <v>2197</v>
      </c>
      <c r="C74" t="s">
        <v>421</v>
      </c>
      <c r="D74" t="s">
        <v>269</v>
      </c>
      <c r="E74" t="s">
        <v>269</v>
      </c>
      <c r="F74" t="s">
        <v>270</v>
      </c>
      <c r="G74" t="s">
        <v>406</v>
      </c>
      <c r="H74" s="3">
        <v>3456107.7213699999</v>
      </c>
      <c r="I74">
        <v>347</v>
      </c>
      <c r="J74" s="3">
        <v>345.61077213699997</v>
      </c>
      <c r="K74">
        <v>597</v>
      </c>
      <c r="L74">
        <v>719</v>
      </c>
      <c r="M74">
        <v>650.52472996020504</v>
      </c>
      <c r="N74">
        <v>27.258057704535702</v>
      </c>
      <c r="O74">
        <v>0</v>
      </c>
      <c r="P74">
        <v>30.6213474273682</v>
      </c>
      <c r="Q74">
        <v>6.9616675376892099</v>
      </c>
      <c r="R74">
        <v>4.8047113418579102</v>
      </c>
      <c r="S74" t="s">
        <v>272</v>
      </c>
      <c r="T74" t="s">
        <v>420</v>
      </c>
      <c r="U74" t="s">
        <v>421</v>
      </c>
      <c r="V74" t="s">
        <v>421</v>
      </c>
      <c r="W74" s="3">
        <v>3177</v>
      </c>
      <c r="X74" s="3">
        <v>3460000</v>
      </c>
      <c r="Y74">
        <v>2</v>
      </c>
      <c r="Z74" s="3">
        <v>1162</v>
      </c>
      <c r="AA74" s="3">
        <v>1691</v>
      </c>
      <c r="AB74" s="3">
        <v>1873</v>
      </c>
      <c r="AC74" s="3">
        <v>2603</v>
      </c>
      <c r="AD74" s="3">
        <v>2758</v>
      </c>
      <c r="AE74" s="3">
        <v>2945</v>
      </c>
      <c r="AF74" s="3">
        <v>2982</v>
      </c>
      <c r="AG74" s="3">
        <v>3012</v>
      </c>
      <c r="AH74" s="3">
        <v>3031</v>
      </c>
      <c r="AI74" s="3">
        <v>3043</v>
      </c>
      <c r="AJ74" s="3">
        <v>3146</v>
      </c>
      <c r="AK74" s="3">
        <v>3118</v>
      </c>
      <c r="AL74" s="3">
        <v>3125</v>
      </c>
      <c r="AM74" s="3">
        <v>3178</v>
      </c>
      <c r="AN74" s="3">
        <v>3199</v>
      </c>
      <c r="AO74" s="3">
        <v>3166</v>
      </c>
      <c r="AP74" s="3">
        <v>3177</v>
      </c>
      <c r="AR74" s="4">
        <f t="shared" si="17"/>
        <v>919.24218112641427</v>
      </c>
      <c r="AS74" s="5">
        <f t="shared" si="18"/>
        <v>5.6906196213425133</v>
      </c>
      <c r="AT74" s="5">
        <f t="shared" si="11"/>
        <v>1.1958735790787831</v>
      </c>
      <c r="AU74" s="5">
        <f t="shared" si="12"/>
        <v>5.9209823812066205</v>
      </c>
      <c r="AV74" s="5">
        <f t="shared" si="13"/>
        <v>0.65392354124748486</v>
      </c>
      <c r="AW74" s="5">
        <f t="shared" si="14"/>
        <v>3.5992710337146905</v>
      </c>
      <c r="AX74" s="5">
        <f t="shared" si="15"/>
        <v>3.4810464495461826</v>
      </c>
      <c r="AY74" s="5">
        <f t="shared" si="16"/>
        <v>4.6867004698330001</v>
      </c>
      <c r="AZ74">
        <f t="shared" si="19"/>
        <v>3490000</v>
      </c>
      <c r="BA74">
        <v>0</v>
      </c>
      <c r="BB74">
        <v>700000</v>
      </c>
      <c r="BC74">
        <v>990000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120000</v>
      </c>
      <c r="BK74">
        <v>0</v>
      </c>
      <c r="BL74">
        <v>0</v>
      </c>
      <c r="BM74">
        <v>920000</v>
      </c>
      <c r="BN74">
        <v>0</v>
      </c>
      <c r="BO74">
        <v>0</v>
      </c>
      <c r="BP74">
        <v>0</v>
      </c>
      <c r="BQ74">
        <v>0</v>
      </c>
      <c r="BR74">
        <v>760000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77</v>
      </c>
      <c r="CC74">
        <v>121</v>
      </c>
      <c r="CD74">
        <v>141</v>
      </c>
      <c r="CE74">
        <v>147</v>
      </c>
      <c r="CF74" s="17">
        <v>22.190201729106629</v>
      </c>
      <c r="CG74" s="17">
        <v>34.870317002881848</v>
      </c>
      <c r="CH74" s="17">
        <v>40.634005763688762</v>
      </c>
      <c r="CI74" s="17">
        <v>42.363112391930834</v>
      </c>
      <c r="CJ74" s="18">
        <v>1</v>
      </c>
      <c r="CK74" s="18">
        <v>1.5714285714285714</v>
      </c>
      <c r="CL74" s="18">
        <v>1.8311688311688312</v>
      </c>
      <c r="CM74" s="18">
        <v>1.9090909090909092</v>
      </c>
      <c r="CN74" s="18">
        <v>0</v>
      </c>
      <c r="CO74" s="18">
        <v>12.680115273775217</v>
      </c>
      <c r="CP74" s="18">
        <v>18.443804034582133</v>
      </c>
      <c r="CQ74" s="18">
        <v>20.172910662824208</v>
      </c>
      <c r="CR74" s="18">
        <f t="shared" si="20"/>
        <v>2.7349397590361444</v>
      </c>
      <c r="CS74" s="18">
        <f t="shared" si="21"/>
        <v>1.4325874928284565</v>
      </c>
      <c r="CT74">
        <v>17.47851002865329</v>
      </c>
      <c r="CU74">
        <v>58.4527220630372</v>
      </c>
      <c r="CV74">
        <v>24.0687679083095</v>
      </c>
      <c r="CW74">
        <v>0</v>
      </c>
      <c r="CX74">
        <v>0</v>
      </c>
      <c r="CY74">
        <v>42.406876790830999</v>
      </c>
      <c r="CZ74">
        <v>35.8166189111748</v>
      </c>
      <c r="DA74">
        <v>21.7765042979943</v>
      </c>
      <c r="DB74">
        <v>0</v>
      </c>
      <c r="DC74">
        <v>0</v>
      </c>
      <c r="DD74">
        <v>44.126074498567405</v>
      </c>
      <c r="DE74">
        <v>34.097421203438401</v>
      </c>
      <c r="DF74">
        <v>21.7765042979943</v>
      </c>
      <c r="DG74">
        <v>0</v>
      </c>
      <c r="DH74">
        <v>0</v>
      </c>
      <c r="DI74">
        <v>44.985673352435597</v>
      </c>
      <c r="DJ74">
        <v>33.237822349570159</v>
      </c>
      <c r="DK74">
        <v>21.7765042979943</v>
      </c>
      <c r="DL74">
        <v>0</v>
      </c>
      <c r="DM74">
        <v>0</v>
      </c>
      <c r="DN74">
        <v>48.424068767908302</v>
      </c>
      <c r="DO74">
        <v>29.799426934097379</v>
      </c>
      <c r="DP74">
        <v>21.7765042979943</v>
      </c>
      <c r="DQ74">
        <v>0</v>
      </c>
      <c r="DR74">
        <v>0</v>
      </c>
      <c r="DS74" t="s">
        <v>371</v>
      </c>
      <c r="DT74" t="s">
        <v>313</v>
      </c>
      <c r="DU74">
        <v>3183</v>
      </c>
      <c r="DV74">
        <v>2196</v>
      </c>
      <c r="DW74" t="s">
        <v>269</v>
      </c>
      <c r="DX74">
        <v>18</v>
      </c>
      <c r="DY74">
        <v>0</v>
      </c>
      <c r="DZ74">
        <v>18</v>
      </c>
      <c r="EA74">
        <v>89789</v>
      </c>
      <c r="EB74">
        <v>0</v>
      </c>
      <c r="EC74">
        <v>89789</v>
      </c>
      <c r="ED74" t="s">
        <v>274</v>
      </c>
      <c r="EE74" t="s">
        <v>274</v>
      </c>
      <c r="EF74" t="s">
        <v>274</v>
      </c>
      <c r="EG74" t="s">
        <v>274</v>
      </c>
    </row>
    <row r="75" spans="1:137" ht="14.55" customHeight="1" x14ac:dyDescent="0.3">
      <c r="A75" t="s">
        <v>422</v>
      </c>
      <c r="B75">
        <v>2198</v>
      </c>
      <c r="C75" t="s">
        <v>423</v>
      </c>
      <c r="D75" t="s">
        <v>269</v>
      </c>
      <c r="E75" t="s">
        <v>269</v>
      </c>
      <c r="F75" t="s">
        <v>270</v>
      </c>
      <c r="G75" t="s">
        <v>406</v>
      </c>
      <c r="H75" s="3">
        <v>3991037.4668999999</v>
      </c>
      <c r="I75">
        <v>363</v>
      </c>
      <c r="J75" s="3">
        <v>366.51048972800004</v>
      </c>
      <c r="K75">
        <v>520</v>
      </c>
      <c r="L75">
        <v>681</v>
      </c>
      <c r="M75">
        <v>606.62223411848697</v>
      </c>
      <c r="N75">
        <v>24.4878200639147</v>
      </c>
      <c r="O75">
        <v>0</v>
      </c>
      <c r="P75">
        <v>44.847999572753899</v>
      </c>
      <c r="Q75">
        <v>7.2792420387268102</v>
      </c>
      <c r="R75">
        <v>5.7325901985168501</v>
      </c>
      <c r="S75" t="s">
        <v>272</v>
      </c>
      <c r="T75" t="s">
        <v>422</v>
      </c>
      <c r="U75" t="s">
        <v>423</v>
      </c>
      <c r="V75" t="s">
        <v>423</v>
      </c>
      <c r="W75" s="3">
        <v>3773</v>
      </c>
      <c r="X75" s="3">
        <v>3990000</v>
      </c>
      <c r="Y75">
        <v>2</v>
      </c>
      <c r="Z75" s="3">
        <v>1075</v>
      </c>
      <c r="AA75" s="3">
        <v>1700</v>
      </c>
      <c r="AB75" s="3">
        <v>1955</v>
      </c>
      <c r="AC75" s="3">
        <v>2218</v>
      </c>
      <c r="AD75" s="3">
        <v>2322</v>
      </c>
      <c r="AE75" s="3">
        <v>2377</v>
      </c>
      <c r="AF75" s="3">
        <v>2477</v>
      </c>
      <c r="AG75" s="3">
        <v>2605</v>
      </c>
      <c r="AH75" s="3">
        <v>2729</v>
      </c>
      <c r="AI75" s="3">
        <v>2926</v>
      </c>
      <c r="AJ75" s="3">
        <v>3102</v>
      </c>
      <c r="AK75" s="3">
        <v>3170</v>
      </c>
      <c r="AL75" s="3">
        <v>3358</v>
      </c>
      <c r="AM75" s="3">
        <v>3606</v>
      </c>
      <c r="AN75" s="3">
        <v>3686</v>
      </c>
      <c r="AO75" s="3">
        <v>3750</v>
      </c>
      <c r="AP75" s="3">
        <v>3773</v>
      </c>
      <c r="AR75" s="4">
        <f t="shared" si="17"/>
        <v>1029.4384760447299</v>
      </c>
      <c r="AS75" s="5">
        <f t="shared" si="18"/>
        <v>7.2674418604651168</v>
      </c>
      <c r="AT75" s="5">
        <f t="shared" si="11"/>
        <v>1.6666666666666667</v>
      </c>
      <c r="AU75" s="5">
        <f t="shared" si="12"/>
        <v>2.6700767263427112</v>
      </c>
      <c r="AV75" s="5">
        <f t="shared" si="13"/>
        <v>5.2321356479612433</v>
      </c>
      <c r="AW75" s="5">
        <f t="shared" si="14"/>
        <v>4.8153214774281805</v>
      </c>
      <c r="AX75" s="5">
        <f t="shared" si="15"/>
        <v>4.6496163682864449</v>
      </c>
      <c r="AY75" s="5">
        <f t="shared" si="16"/>
        <v>6.7831552482715276</v>
      </c>
      <c r="AZ75">
        <f t="shared" si="19"/>
        <v>3620000</v>
      </c>
      <c r="BA75">
        <v>0</v>
      </c>
      <c r="BB75">
        <v>740000</v>
      </c>
      <c r="BC75">
        <v>640000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1250000</v>
      </c>
      <c r="BK75">
        <v>0</v>
      </c>
      <c r="BL75">
        <v>0</v>
      </c>
      <c r="BM75">
        <v>0</v>
      </c>
      <c r="BN75">
        <v>0</v>
      </c>
      <c r="BO75">
        <v>700000</v>
      </c>
      <c r="BP75">
        <v>0</v>
      </c>
      <c r="BQ75">
        <v>0</v>
      </c>
      <c r="BR75">
        <v>290000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76</v>
      </c>
      <c r="CC75">
        <v>104</v>
      </c>
      <c r="CD75">
        <v>125</v>
      </c>
      <c r="CE75">
        <v>145</v>
      </c>
      <c r="CF75" s="17">
        <v>19.240506329113924</v>
      </c>
      <c r="CG75" s="17">
        <v>26.329113924050635</v>
      </c>
      <c r="CH75" s="17">
        <v>31.645569620253166</v>
      </c>
      <c r="CI75" s="17">
        <v>36.708860759493675</v>
      </c>
      <c r="CJ75" s="18">
        <v>1</v>
      </c>
      <c r="CK75" s="18">
        <v>1.368421052631579</v>
      </c>
      <c r="CL75" s="18">
        <v>1.6447368421052631</v>
      </c>
      <c r="CM75" s="18">
        <v>1.9078947368421053</v>
      </c>
      <c r="CN75" s="18">
        <v>0</v>
      </c>
      <c r="CO75" s="18">
        <v>7.0886075949367093</v>
      </c>
      <c r="CP75" s="18">
        <v>12.405063291139239</v>
      </c>
      <c r="CQ75" s="18">
        <v>17.468354430379744</v>
      </c>
      <c r="CR75" s="18">
        <f t="shared" si="20"/>
        <v>3.3544186046511628</v>
      </c>
      <c r="CS75" s="18">
        <f t="shared" si="21"/>
        <v>1.758178027265437</v>
      </c>
      <c r="CT75">
        <v>20.165745856353567</v>
      </c>
      <c r="CU75">
        <v>61.878453038673996</v>
      </c>
      <c r="CV75">
        <v>17.955801104972402</v>
      </c>
      <c r="CW75">
        <v>0</v>
      </c>
      <c r="CX75">
        <v>0</v>
      </c>
      <c r="CY75">
        <v>34.254143646408899</v>
      </c>
      <c r="CZ75">
        <v>51.381215469613302</v>
      </c>
      <c r="DA75">
        <v>14.3646408839779</v>
      </c>
      <c r="DB75">
        <v>0</v>
      </c>
      <c r="DC75">
        <v>0</v>
      </c>
      <c r="DD75">
        <v>34.254143646408899</v>
      </c>
      <c r="DE75">
        <v>51.381215469613302</v>
      </c>
      <c r="DF75">
        <v>14.3646408839779</v>
      </c>
      <c r="DG75">
        <v>0</v>
      </c>
      <c r="DH75">
        <v>0</v>
      </c>
      <c r="DI75">
        <v>38.121546961325905</v>
      </c>
      <c r="DJ75">
        <v>53.867403314917098</v>
      </c>
      <c r="DK75">
        <v>8.0110497237569103</v>
      </c>
      <c r="DL75">
        <v>0</v>
      </c>
      <c r="DM75">
        <v>0</v>
      </c>
      <c r="DN75">
        <v>38.121546961325905</v>
      </c>
      <c r="DO75">
        <v>53.867403314917098</v>
      </c>
      <c r="DP75">
        <v>8.0110497237569103</v>
      </c>
      <c r="DQ75">
        <v>0</v>
      </c>
      <c r="DR75">
        <v>0</v>
      </c>
      <c r="DS75" t="s">
        <v>371</v>
      </c>
      <c r="DT75" t="s">
        <v>313</v>
      </c>
      <c r="DU75">
        <v>3853</v>
      </c>
      <c r="DV75">
        <v>2196</v>
      </c>
      <c r="DW75" t="s">
        <v>269</v>
      </c>
      <c r="DX75">
        <v>18</v>
      </c>
      <c r="DY75">
        <v>0</v>
      </c>
      <c r="DZ75">
        <v>18</v>
      </c>
      <c r="EA75">
        <v>89789</v>
      </c>
      <c r="EB75">
        <v>0</v>
      </c>
      <c r="EC75">
        <v>89789</v>
      </c>
      <c r="ED75" t="s">
        <v>274</v>
      </c>
      <c r="EE75" t="s">
        <v>274</v>
      </c>
      <c r="EF75" t="s">
        <v>274</v>
      </c>
      <c r="EG75" t="s">
        <v>274</v>
      </c>
    </row>
    <row r="76" spans="1:137" ht="14.55" customHeight="1" x14ac:dyDescent="0.3">
      <c r="A76" t="s">
        <v>424</v>
      </c>
      <c r="B76">
        <v>2200</v>
      </c>
      <c r="C76" t="s">
        <v>425</v>
      </c>
      <c r="D76" t="s">
        <v>269</v>
      </c>
      <c r="E76" t="s">
        <v>269</v>
      </c>
      <c r="F76" t="s">
        <v>270</v>
      </c>
      <c r="G76" t="s">
        <v>406</v>
      </c>
      <c r="H76" s="3">
        <v>5340340.2561999997</v>
      </c>
      <c r="I76">
        <v>535</v>
      </c>
      <c r="J76" s="3">
        <v>534.03402561999997</v>
      </c>
      <c r="K76">
        <v>526</v>
      </c>
      <c r="L76">
        <v>745</v>
      </c>
      <c r="M76">
        <v>617.32080323252103</v>
      </c>
      <c r="N76">
        <v>28.303108231023199</v>
      </c>
      <c r="O76">
        <v>0</v>
      </c>
      <c r="P76">
        <v>31.821241378784201</v>
      </c>
      <c r="Q76">
        <v>6.0531005859375</v>
      </c>
      <c r="R76">
        <v>4.2582278251648003</v>
      </c>
      <c r="S76" t="s">
        <v>272</v>
      </c>
      <c r="T76" t="s">
        <v>424</v>
      </c>
      <c r="U76" t="s">
        <v>425</v>
      </c>
      <c r="V76" t="s">
        <v>425</v>
      </c>
      <c r="W76" s="3">
        <v>1972</v>
      </c>
      <c r="X76" s="3">
        <v>5340000</v>
      </c>
      <c r="Y76">
        <v>3</v>
      </c>
      <c r="Z76" s="3">
        <v>823</v>
      </c>
      <c r="AA76" s="3">
        <v>1272</v>
      </c>
      <c r="AB76" s="3">
        <v>1498</v>
      </c>
      <c r="AC76" s="3">
        <v>1541</v>
      </c>
      <c r="AD76" s="3">
        <v>1576</v>
      </c>
      <c r="AE76" s="3">
        <v>1609</v>
      </c>
      <c r="AF76" s="3">
        <v>1640</v>
      </c>
      <c r="AG76" s="3">
        <v>1697</v>
      </c>
      <c r="AH76" s="3">
        <v>1776</v>
      </c>
      <c r="AI76" s="3">
        <v>1858</v>
      </c>
      <c r="AJ76" s="3">
        <v>1886</v>
      </c>
      <c r="AK76" s="3">
        <v>1911</v>
      </c>
      <c r="AL76" s="3">
        <v>1900</v>
      </c>
      <c r="AM76" s="3">
        <v>1945</v>
      </c>
      <c r="AN76" s="3">
        <v>1947</v>
      </c>
      <c r="AO76" s="3">
        <v>1921</v>
      </c>
      <c r="AP76" s="3">
        <v>1972</v>
      </c>
      <c r="AR76" s="4">
        <f t="shared" si="17"/>
        <v>369.2648605508906</v>
      </c>
      <c r="AS76" s="5">
        <f t="shared" si="18"/>
        <v>6.819562575941676</v>
      </c>
      <c r="AT76" s="5">
        <f t="shared" si="11"/>
        <v>1.9741439552760305</v>
      </c>
      <c r="AU76" s="5">
        <f t="shared" si="12"/>
        <v>0.94793057409879833</v>
      </c>
      <c r="AV76" s="5">
        <f t="shared" si="13"/>
        <v>2.024390243902439</v>
      </c>
      <c r="AW76" s="5">
        <f t="shared" si="14"/>
        <v>4.8245300550353791</v>
      </c>
      <c r="AX76" s="5">
        <f t="shared" si="15"/>
        <v>1.5821094793057413</v>
      </c>
      <c r="AY76" s="5">
        <f t="shared" si="16"/>
        <v>3.7732750976979408</v>
      </c>
      <c r="AZ76">
        <f t="shared" si="19"/>
        <v>5360000</v>
      </c>
      <c r="BA76">
        <v>0</v>
      </c>
      <c r="BB76">
        <v>640000</v>
      </c>
      <c r="BC76">
        <v>280000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2920000</v>
      </c>
      <c r="BK76">
        <v>0</v>
      </c>
      <c r="BL76">
        <v>0</v>
      </c>
      <c r="BM76">
        <v>710000</v>
      </c>
      <c r="BN76">
        <v>0</v>
      </c>
      <c r="BO76">
        <v>0</v>
      </c>
      <c r="BP76">
        <v>0</v>
      </c>
      <c r="BQ76">
        <v>0</v>
      </c>
      <c r="BR76">
        <v>810000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63</v>
      </c>
      <c r="CC76">
        <v>82</v>
      </c>
      <c r="CD76">
        <v>88</v>
      </c>
      <c r="CE76">
        <v>96</v>
      </c>
      <c r="CF76" s="17">
        <v>11.775700934579438</v>
      </c>
      <c r="CG76" s="17">
        <v>15.327102803738319</v>
      </c>
      <c r="CH76" s="17">
        <v>16.448598130841123</v>
      </c>
      <c r="CI76" s="17">
        <v>17.943925233644858</v>
      </c>
      <c r="CJ76" s="18">
        <v>1</v>
      </c>
      <c r="CK76" s="18">
        <v>1.3015873015873016</v>
      </c>
      <c r="CL76" s="18">
        <v>1.3968253968253967</v>
      </c>
      <c r="CM76" s="18">
        <v>1.5238095238095237</v>
      </c>
      <c r="CN76" s="18">
        <v>0</v>
      </c>
      <c r="CO76" s="18">
        <v>3.5514018691588789</v>
      </c>
      <c r="CP76" s="18">
        <v>4.6728971962616823</v>
      </c>
      <c r="CQ76" s="18">
        <v>6.1682242990654199</v>
      </c>
      <c r="CR76" s="18">
        <f t="shared" si="20"/>
        <v>2.3633049817739975</v>
      </c>
      <c r="CS76" s="18">
        <f t="shared" si="21"/>
        <v>1.5509188942891861</v>
      </c>
      <c r="CT76">
        <v>6.1567164179104505</v>
      </c>
      <c r="CU76">
        <v>77.985074626865696</v>
      </c>
      <c r="CV76">
        <v>15.858208955223899</v>
      </c>
      <c r="CW76">
        <v>0</v>
      </c>
      <c r="CX76">
        <v>0</v>
      </c>
      <c r="CY76">
        <v>17.164179104477629</v>
      </c>
      <c r="CZ76">
        <v>68.656716417910502</v>
      </c>
      <c r="DA76">
        <v>14.179104477611901</v>
      </c>
      <c r="DB76">
        <v>0</v>
      </c>
      <c r="DC76">
        <v>0</v>
      </c>
      <c r="DD76">
        <v>17.164179104477629</v>
      </c>
      <c r="DE76">
        <v>68.656716417910502</v>
      </c>
      <c r="DF76">
        <v>14.179104477611901</v>
      </c>
      <c r="DG76">
        <v>0</v>
      </c>
      <c r="DH76">
        <v>0</v>
      </c>
      <c r="DI76">
        <v>17.164179104477629</v>
      </c>
      <c r="DJ76">
        <v>67.723880597014897</v>
      </c>
      <c r="DK76">
        <v>15.1119402985075</v>
      </c>
      <c r="DL76">
        <v>0</v>
      </c>
      <c r="DM76">
        <v>0</v>
      </c>
      <c r="DN76">
        <v>17.164179104477629</v>
      </c>
      <c r="DO76">
        <v>67.723880597014897</v>
      </c>
      <c r="DP76">
        <v>15.1119402985075</v>
      </c>
      <c r="DQ76">
        <v>0</v>
      </c>
      <c r="DR76">
        <v>0</v>
      </c>
      <c r="DS76" t="s">
        <v>312</v>
      </c>
      <c r="DT76" t="s">
        <v>313</v>
      </c>
      <c r="DU76">
        <v>2093</v>
      </c>
      <c r="DV76">
        <v>2196</v>
      </c>
      <c r="DW76" t="s">
        <v>269</v>
      </c>
      <c r="DX76">
        <v>18</v>
      </c>
      <c r="DY76">
        <v>0</v>
      </c>
      <c r="DZ76">
        <v>18</v>
      </c>
      <c r="EA76">
        <v>89789</v>
      </c>
      <c r="EB76">
        <v>0</v>
      </c>
      <c r="EC76">
        <v>89789</v>
      </c>
      <c r="ED76" t="s">
        <v>274</v>
      </c>
      <c r="EE76" t="s">
        <v>274</v>
      </c>
      <c r="EF76" t="s">
        <v>274</v>
      </c>
      <c r="EG76" t="s">
        <v>274</v>
      </c>
    </row>
    <row r="77" spans="1:137" ht="14.55" customHeight="1" x14ac:dyDescent="0.3">
      <c r="A77" t="s">
        <v>426</v>
      </c>
      <c r="B77">
        <v>2206</v>
      </c>
      <c r="C77" t="s">
        <v>427</v>
      </c>
      <c r="D77" t="s">
        <v>269</v>
      </c>
      <c r="E77" t="s">
        <v>269</v>
      </c>
      <c r="F77" t="s">
        <v>270</v>
      </c>
      <c r="G77" t="s">
        <v>406</v>
      </c>
      <c r="H77" s="3">
        <v>7721529.5989499995</v>
      </c>
      <c r="I77">
        <v>770</v>
      </c>
      <c r="J77" s="3">
        <v>772.15295989499998</v>
      </c>
      <c r="K77">
        <v>538</v>
      </c>
      <c r="L77">
        <v>746</v>
      </c>
      <c r="M77">
        <v>624.607567017306</v>
      </c>
      <c r="N77">
        <v>36.184058712906896</v>
      </c>
      <c r="O77">
        <v>0</v>
      </c>
      <c r="P77">
        <v>48.910598754882798</v>
      </c>
      <c r="Q77">
        <v>9.1309852600097692</v>
      </c>
      <c r="R77">
        <v>7.2514958381652797</v>
      </c>
      <c r="S77" t="s">
        <v>272</v>
      </c>
      <c r="T77" t="s">
        <v>426</v>
      </c>
      <c r="U77" t="s">
        <v>427</v>
      </c>
      <c r="V77" t="s">
        <v>427</v>
      </c>
      <c r="W77" s="3">
        <v>8138</v>
      </c>
      <c r="X77" s="3">
        <v>7720000</v>
      </c>
      <c r="Y77">
        <v>2</v>
      </c>
      <c r="Z77" s="3">
        <v>5278</v>
      </c>
      <c r="AA77" s="3">
        <v>6469</v>
      </c>
      <c r="AB77" s="3">
        <v>6649</v>
      </c>
      <c r="AC77" s="3">
        <v>7346</v>
      </c>
      <c r="AD77" s="3">
        <v>7383</v>
      </c>
      <c r="AE77" s="3">
        <v>7419</v>
      </c>
      <c r="AF77" s="3">
        <v>7471</v>
      </c>
      <c r="AG77" s="3">
        <v>7577</v>
      </c>
      <c r="AH77" s="3">
        <v>7653</v>
      </c>
      <c r="AI77" s="3">
        <v>7729</v>
      </c>
      <c r="AJ77" s="3">
        <v>7919</v>
      </c>
      <c r="AK77" s="3">
        <v>8095</v>
      </c>
      <c r="AL77" s="3">
        <v>8083</v>
      </c>
      <c r="AM77" s="3">
        <v>8185</v>
      </c>
      <c r="AN77" s="3">
        <v>8201</v>
      </c>
      <c r="AO77" s="3">
        <v>8193</v>
      </c>
      <c r="AP77" s="3">
        <v>8138</v>
      </c>
      <c r="AR77" s="4">
        <f t="shared" si="17"/>
        <v>1053.9362565037156</v>
      </c>
      <c r="AS77" s="5">
        <f t="shared" si="18"/>
        <v>2.8206707086017428</v>
      </c>
      <c r="AT77" s="5">
        <f t="shared" si="11"/>
        <v>0.30916679548616477</v>
      </c>
      <c r="AU77" s="5">
        <f t="shared" si="12"/>
        <v>1.2362761317491353</v>
      </c>
      <c r="AV77" s="5">
        <f t="shared" si="13"/>
        <v>0.89278543702315627</v>
      </c>
      <c r="AW77" s="5">
        <f t="shared" si="14"/>
        <v>1.5279851993847937</v>
      </c>
      <c r="AX77" s="5">
        <f t="shared" si="15"/>
        <v>1.1197172507143933</v>
      </c>
      <c r="AY77" s="5">
        <f t="shared" si="16"/>
        <v>1.4645187058980162</v>
      </c>
      <c r="AZ77">
        <f t="shared" si="19"/>
        <v>7740000</v>
      </c>
      <c r="BA77">
        <v>0</v>
      </c>
      <c r="BB77">
        <v>2640000</v>
      </c>
      <c r="BC77">
        <v>350000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740000</v>
      </c>
      <c r="BK77">
        <v>0</v>
      </c>
      <c r="BL77">
        <v>0</v>
      </c>
      <c r="BM77">
        <v>1240000</v>
      </c>
      <c r="BN77">
        <v>0</v>
      </c>
      <c r="BO77">
        <v>70000</v>
      </c>
      <c r="BP77">
        <v>330000</v>
      </c>
      <c r="BQ77">
        <v>0</v>
      </c>
      <c r="BR77">
        <v>2340000</v>
      </c>
      <c r="BS77">
        <v>0</v>
      </c>
      <c r="BT77">
        <v>0</v>
      </c>
      <c r="BU77">
        <v>30000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172</v>
      </c>
      <c r="CC77">
        <v>220</v>
      </c>
      <c r="CD77">
        <v>238</v>
      </c>
      <c r="CE77">
        <v>252</v>
      </c>
      <c r="CF77" s="17">
        <v>22.308690012970171</v>
      </c>
      <c r="CG77" s="17">
        <v>28.534370946822307</v>
      </c>
      <c r="CH77" s="17">
        <v>30.869001297016862</v>
      </c>
      <c r="CI77" s="17">
        <v>32.684824902723733</v>
      </c>
      <c r="CJ77" s="18">
        <v>1</v>
      </c>
      <c r="CK77" s="18">
        <v>1.2790697674418605</v>
      </c>
      <c r="CL77" s="18">
        <v>1.3837209302325582</v>
      </c>
      <c r="CM77" s="18">
        <v>1.4651162790697674</v>
      </c>
      <c r="CN77" s="18">
        <v>0</v>
      </c>
      <c r="CO77" s="18">
        <v>6.2256809338521402</v>
      </c>
      <c r="CP77" s="18">
        <v>8.5603112840466924</v>
      </c>
      <c r="CQ77" s="18">
        <v>10.376134889753567</v>
      </c>
      <c r="CR77" s="18">
        <f t="shared" si="20"/>
        <v>1.550776809397499</v>
      </c>
      <c r="CS77" s="18">
        <f t="shared" si="21"/>
        <v>1.0584667111760708</v>
      </c>
      <c r="CT77">
        <v>23.901808785529667</v>
      </c>
      <c r="CU77">
        <v>42.764857881136912</v>
      </c>
      <c r="CV77">
        <v>31.782945736434101</v>
      </c>
      <c r="CW77">
        <v>0</v>
      </c>
      <c r="CX77">
        <v>1.55038759689923</v>
      </c>
      <c r="CY77">
        <v>37.984496124031033</v>
      </c>
      <c r="CZ77">
        <v>27.131782945736401</v>
      </c>
      <c r="DA77">
        <v>34.883720930232542</v>
      </c>
      <c r="DB77">
        <v>0</v>
      </c>
      <c r="DC77">
        <v>0</v>
      </c>
      <c r="DD77">
        <v>37.984496124031033</v>
      </c>
      <c r="DE77">
        <v>27.131782945736401</v>
      </c>
      <c r="DF77">
        <v>34.883720930232599</v>
      </c>
      <c r="DG77">
        <v>0</v>
      </c>
      <c r="DH77">
        <v>0</v>
      </c>
      <c r="DI77">
        <v>38.630490956072308</v>
      </c>
      <c r="DJ77">
        <v>26.485788113695062</v>
      </c>
      <c r="DK77">
        <v>34.883720930232606</v>
      </c>
      <c r="DL77">
        <v>0</v>
      </c>
      <c r="DM77">
        <v>0</v>
      </c>
      <c r="DN77">
        <v>38.630490956072308</v>
      </c>
      <c r="DO77">
        <v>26.485788113695062</v>
      </c>
      <c r="DP77">
        <v>34.883720930232606</v>
      </c>
      <c r="DQ77">
        <v>0</v>
      </c>
      <c r="DR77">
        <v>0</v>
      </c>
      <c r="DS77" t="s">
        <v>312</v>
      </c>
      <c r="DT77" t="s">
        <v>313</v>
      </c>
      <c r="DU77">
        <v>8596</v>
      </c>
      <c r="DV77">
        <v>2196</v>
      </c>
      <c r="DW77" t="s">
        <v>269</v>
      </c>
      <c r="DX77">
        <v>18</v>
      </c>
      <c r="DY77">
        <v>0</v>
      </c>
      <c r="DZ77">
        <v>18</v>
      </c>
      <c r="EA77">
        <v>89789</v>
      </c>
      <c r="EB77">
        <v>0</v>
      </c>
      <c r="EC77">
        <v>89789</v>
      </c>
      <c r="ED77" t="s">
        <v>274</v>
      </c>
      <c r="EE77" t="s">
        <v>274</v>
      </c>
      <c r="EF77" t="s">
        <v>274</v>
      </c>
      <c r="EG77" t="s">
        <v>274</v>
      </c>
    </row>
    <row r="78" spans="1:137" ht="14.55" customHeight="1" x14ac:dyDescent="0.3">
      <c r="A78" t="s">
        <v>428</v>
      </c>
      <c r="B78">
        <v>2208</v>
      </c>
      <c r="C78" t="s">
        <v>429</v>
      </c>
      <c r="D78" t="s">
        <v>269</v>
      </c>
      <c r="E78" t="s">
        <v>269</v>
      </c>
      <c r="F78" t="s">
        <v>270</v>
      </c>
      <c r="G78" t="s">
        <v>406</v>
      </c>
      <c r="H78" s="3">
        <v>2912512.40191</v>
      </c>
      <c r="I78">
        <v>290</v>
      </c>
      <c r="J78" s="3">
        <v>291.25124019100002</v>
      </c>
      <c r="K78">
        <v>548</v>
      </c>
      <c r="L78">
        <v>695</v>
      </c>
      <c r="M78">
        <v>625.75921762589905</v>
      </c>
      <c r="N78">
        <v>26.445967388517101</v>
      </c>
      <c r="O78">
        <v>0</v>
      </c>
      <c r="P78">
        <v>25.675462722778299</v>
      </c>
      <c r="Q78">
        <v>6.5521621704101598</v>
      </c>
      <c r="R78">
        <v>4.0920753479003897</v>
      </c>
      <c r="S78" t="s">
        <v>272</v>
      </c>
      <c r="T78" t="s">
        <v>428</v>
      </c>
      <c r="U78" t="s">
        <v>429</v>
      </c>
      <c r="V78" t="s">
        <v>429</v>
      </c>
      <c r="W78" s="3">
        <v>1543</v>
      </c>
      <c r="X78" s="3">
        <v>2910000</v>
      </c>
      <c r="Y78">
        <v>2</v>
      </c>
      <c r="Z78" s="3">
        <v>628</v>
      </c>
      <c r="AA78" s="3">
        <v>1025</v>
      </c>
      <c r="AB78" s="3">
        <v>1251</v>
      </c>
      <c r="AC78" s="3">
        <v>1440</v>
      </c>
      <c r="AD78" s="3">
        <v>1486</v>
      </c>
      <c r="AE78" s="3">
        <v>1464</v>
      </c>
      <c r="AF78" s="3">
        <v>1581</v>
      </c>
      <c r="AG78" s="3">
        <v>1556</v>
      </c>
      <c r="AH78" s="3">
        <v>1546</v>
      </c>
      <c r="AI78" s="3">
        <v>1567</v>
      </c>
      <c r="AJ78" s="3">
        <v>1568</v>
      </c>
      <c r="AK78" s="3">
        <v>1564</v>
      </c>
      <c r="AL78" s="3">
        <v>1539</v>
      </c>
      <c r="AM78" s="3">
        <v>1533</v>
      </c>
      <c r="AN78" s="3">
        <v>1523</v>
      </c>
      <c r="AO78" s="3">
        <v>1521</v>
      </c>
      <c r="AP78" s="3">
        <v>1543</v>
      </c>
      <c r="AR78" s="4">
        <f t="shared" si="17"/>
        <v>529.78315182043991</v>
      </c>
      <c r="AS78" s="5">
        <f t="shared" si="18"/>
        <v>7.9020700636942678</v>
      </c>
      <c r="AT78" s="5">
        <f t="shared" si="11"/>
        <v>2.4498644986449865</v>
      </c>
      <c r="AU78" s="5">
        <f t="shared" si="12"/>
        <v>2.637889688249401</v>
      </c>
      <c r="AV78" s="5">
        <f t="shared" si="13"/>
        <v>-0.24035420619860851</v>
      </c>
      <c r="AW78" s="5">
        <f t="shared" si="14"/>
        <v>5.8355189209441738</v>
      </c>
      <c r="AX78" s="5">
        <f t="shared" si="15"/>
        <v>1.167066346922462</v>
      </c>
      <c r="AY78" s="5">
        <f t="shared" si="16"/>
        <v>3.9378550525047342</v>
      </c>
      <c r="AZ78">
        <f t="shared" si="19"/>
        <v>2900000</v>
      </c>
      <c r="BA78">
        <v>0</v>
      </c>
      <c r="BB78">
        <v>930000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1150000</v>
      </c>
      <c r="BK78">
        <v>0</v>
      </c>
      <c r="BL78">
        <v>0</v>
      </c>
      <c r="BM78">
        <v>0</v>
      </c>
      <c r="BN78">
        <v>0</v>
      </c>
      <c r="BO78">
        <v>290000</v>
      </c>
      <c r="BP78">
        <v>0</v>
      </c>
      <c r="BQ78">
        <v>0</v>
      </c>
      <c r="BR78">
        <v>530000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65</v>
      </c>
      <c r="CC78">
        <v>79</v>
      </c>
      <c r="CD78">
        <v>83</v>
      </c>
      <c r="CE78">
        <v>91</v>
      </c>
      <c r="CF78" s="17">
        <v>22.260273972602739</v>
      </c>
      <c r="CG78" s="17">
        <v>27.054794520547947</v>
      </c>
      <c r="CH78" s="17">
        <v>28.424657534246577</v>
      </c>
      <c r="CI78" s="17">
        <v>31.164383561643838</v>
      </c>
      <c r="CJ78" s="18">
        <v>1</v>
      </c>
      <c r="CK78" s="18">
        <v>1.2153846153846153</v>
      </c>
      <c r="CL78" s="18">
        <v>1.2769230769230768</v>
      </c>
      <c r="CM78" s="18">
        <v>1.4</v>
      </c>
      <c r="CN78" s="18">
        <v>0</v>
      </c>
      <c r="CO78" s="18">
        <v>4.7945205479452051</v>
      </c>
      <c r="CP78" s="18">
        <v>6.1643835616438354</v>
      </c>
      <c r="CQ78" s="18">
        <v>8.9041095890410951</v>
      </c>
      <c r="CR78" s="18">
        <f t="shared" si="20"/>
        <v>2.4410828025477707</v>
      </c>
      <c r="CS78" s="18">
        <f t="shared" si="21"/>
        <v>1.7436305732484076</v>
      </c>
      <c r="CT78">
        <v>15.86206896551724</v>
      </c>
      <c r="CU78">
        <v>77.241379310344897</v>
      </c>
      <c r="CV78">
        <v>6.8965517241379297</v>
      </c>
      <c r="CW78">
        <v>0</v>
      </c>
      <c r="CX78">
        <v>0</v>
      </c>
      <c r="CY78">
        <v>29.6551724137931</v>
      </c>
      <c r="CZ78">
        <v>53.1034482758621</v>
      </c>
      <c r="DA78">
        <v>17.241379310344801</v>
      </c>
      <c r="DB78">
        <v>0</v>
      </c>
      <c r="DC78">
        <v>0</v>
      </c>
      <c r="DD78">
        <v>29.6551724137931</v>
      </c>
      <c r="DE78">
        <v>53.1034482758621</v>
      </c>
      <c r="DF78">
        <v>17.241379310344801</v>
      </c>
      <c r="DG78">
        <v>0</v>
      </c>
      <c r="DH78">
        <v>0</v>
      </c>
      <c r="DI78">
        <v>32.068965517241402</v>
      </c>
      <c r="DJ78">
        <v>49.655172413793103</v>
      </c>
      <c r="DK78">
        <v>18.275862068965498</v>
      </c>
      <c r="DL78">
        <v>0</v>
      </c>
      <c r="DM78">
        <v>0</v>
      </c>
      <c r="DN78">
        <v>32.068965517241402</v>
      </c>
      <c r="DO78">
        <v>49.655172413793103</v>
      </c>
      <c r="DP78">
        <v>18.275862068965498</v>
      </c>
      <c r="DQ78">
        <v>0</v>
      </c>
      <c r="DR78">
        <v>0</v>
      </c>
      <c r="DS78" t="s">
        <v>312</v>
      </c>
      <c r="DT78" t="s">
        <v>313</v>
      </c>
      <c r="DU78">
        <v>1721</v>
      </c>
      <c r="DV78">
        <v>2196</v>
      </c>
      <c r="DW78" t="s">
        <v>269</v>
      </c>
      <c r="DX78">
        <v>18</v>
      </c>
      <c r="DY78">
        <v>0</v>
      </c>
      <c r="DZ78">
        <v>18</v>
      </c>
      <c r="EA78">
        <v>89789</v>
      </c>
      <c r="EB78">
        <v>0</v>
      </c>
      <c r="EC78">
        <v>89789</v>
      </c>
      <c r="ED78" t="s">
        <v>274</v>
      </c>
      <c r="EE78" t="s">
        <v>274</v>
      </c>
      <c r="EF78" t="s">
        <v>274</v>
      </c>
      <c r="EG78" t="s">
        <v>274</v>
      </c>
    </row>
    <row r="79" spans="1:137" ht="14.55" customHeight="1" x14ac:dyDescent="0.3">
      <c r="A79" t="s">
        <v>430</v>
      </c>
      <c r="B79">
        <v>2211</v>
      </c>
      <c r="C79" t="s">
        <v>431</v>
      </c>
      <c r="D79" t="s">
        <v>269</v>
      </c>
      <c r="E79" t="s">
        <v>269</v>
      </c>
      <c r="F79" t="s">
        <v>270</v>
      </c>
      <c r="G79" t="s">
        <v>406</v>
      </c>
      <c r="H79" s="3">
        <v>5529693.5838099997</v>
      </c>
      <c r="I79">
        <v>557</v>
      </c>
      <c r="J79" s="3">
        <v>552.96935838100001</v>
      </c>
      <c r="K79">
        <v>599</v>
      </c>
      <c r="L79">
        <v>771</v>
      </c>
      <c r="M79">
        <v>678.08431163287105</v>
      </c>
      <c r="N79">
        <v>33.578774526639599</v>
      </c>
      <c r="O79">
        <v>0</v>
      </c>
      <c r="P79">
        <v>41.488719940185597</v>
      </c>
      <c r="Q79">
        <v>7.2567987442016602</v>
      </c>
      <c r="R79">
        <v>4.9837293624877903</v>
      </c>
      <c r="S79" t="s">
        <v>272</v>
      </c>
      <c r="T79" t="s">
        <v>430</v>
      </c>
      <c r="U79" t="s">
        <v>431</v>
      </c>
      <c r="V79" t="s">
        <v>431</v>
      </c>
      <c r="W79" s="3">
        <v>2664</v>
      </c>
      <c r="X79" s="3">
        <v>5530000</v>
      </c>
      <c r="Y79">
        <v>2</v>
      </c>
      <c r="Z79" s="3">
        <v>957</v>
      </c>
      <c r="AA79" s="3">
        <v>1024</v>
      </c>
      <c r="AB79" s="3">
        <v>1601</v>
      </c>
      <c r="AC79" s="3">
        <v>1926</v>
      </c>
      <c r="AD79" s="3">
        <v>1996</v>
      </c>
      <c r="AE79" s="3">
        <v>2078</v>
      </c>
      <c r="AF79" s="3">
        <v>2138</v>
      </c>
      <c r="AG79" s="3">
        <v>2135</v>
      </c>
      <c r="AH79" s="3">
        <v>2208</v>
      </c>
      <c r="AI79" s="3">
        <v>2321</v>
      </c>
      <c r="AJ79" s="3">
        <v>2387</v>
      </c>
      <c r="AK79" s="3">
        <v>2504</v>
      </c>
      <c r="AL79" s="3">
        <v>2572</v>
      </c>
      <c r="AM79" s="3">
        <v>2587</v>
      </c>
      <c r="AN79" s="3">
        <v>2593</v>
      </c>
      <c r="AO79" s="3">
        <v>2567</v>
      </c>
      <c r="AP79" s="3">
        <v>2664</v>
      </c>
      <c r="AR79" s="4">
        <f t="shared" si="17"/>
        <v>481.76267990684647</v>
      </c>
      <c r="AS79" s="5">
        <f t="shared" si="18"/>
        <v>0.87513061650992685</v>
      </c>
      <c r="AT79" s="5">
        <f t="shared" si="11"/>
        <v>6.2608506944444446</v>
      </c>
      <c r="AU79" s="5">
        <f t="shared" si="12"/>
        <v>3.3541536539662706</v>
      </c>
      <c r="AV79" s="5">
        <f t="shared" si="13"/>
        <v>2.4602432179607105</v>
      </c>
      <c r="AW79" s="5">
        <f t="shared" si="14"/>
        <v>3.9584485831950338</v>
      </c>
      <c r="AX79" s="5">
        <f t="shared" si="15"/>
        <v>3.3198001249219242</v>
      </c>
      <c r="AY79" s="5">
        <f t="shared" si="16"/>
        <v>4.8208082690841314</v>
      </c>
      <c r="AZ79">
        <f t="shared" si="19"/>
        <v>5560000</v>
      </c>
      <c r="BA79">
        <v>0</v>
      </c>
      <c r="BB79">
        <v>730000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3450000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1380000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58</v>
      </c>
      <c r="CC79">
        <v>72</v>
      </c>
      <c r="CD79">
        <v>84</v>
      </c>
      <c r="CE79">
        <v>96</v>
      </c>
      <c r="CF79" s="17">
        <v>10.431654676258994</v>
      </c>
      <c r="CG79" s="17">
        <v>12.949640287769784</v>
      </c>
      <c r="CH79" s="17">
        <v>15.107913669064748</v>
      </c>
      <c r="CI79" s="17">
        <v>17.266187050359711</v>
      </c>
      <c r="CJ79" s="18">
        <v>1</v>
      </c>
      <c r="CK79" s="18">
        <v>1.2413793103448276</v>
      </c>
      <c r="CL79" s="18">
        <v>1.4482758620689655</v>
      </c>
      <c r="CM79" s="18">
        <v>1.6551724137931034</v>
      </c>
      <c r="CN79" s="18">
        <v>0</v>
      </c>
      <c r="CO79" s="18">
        <v>2.5179856115107913</v>
      </c>
      <c r="CP79" s="18">
        <v>4.6762589928057556</v>
      </c>
      <c r="CQ79" s="18">
        <v>6.8345323741007196</v>
      </c>
      <c r="CR79" s="18">
        <f t="shared" si="20"/>
        <v>2.7032392894461861</v>
      </c>
      <c r="CS79" s="18">
        <f t="shared" si="21"/>
        <v>1.6332070707070707</v>
      </c>
      <c r="CT79">
        <v>4.85611510791367</v>
      </c>
      <c r="CU79">
        <v>73.920863309352498</v>
      </c>
      <c r="CV79">
        <v>21.2230215827338</v>
      </c>
      <c r="CW79">
        <v>0</v>
      </c>
      <c r="CX79">
        <v>0</v>
      </c>
      <c r="CY79">
        <v>13.129496402877701</v>
      </c>
      <c r="CZ79">
        <v>58.453237410071999</v>
      </c>
      <c r="DA79">
        <v>28.417266187050402</v>
      </c>
      <c r="DB79">
        <v>0</v>
      </c>
      <c r="DC79">
        <v>0</v>
      </c>
      <c r="DD79">
        <v>13.129496402877701</v>
      </c>
      <c r="DE79">
        <v>62.050359712230197</v>
      </c>
      <c r="DF79">
        <v>24.820143884892101</v>
      </c>
      <c r="DG79">
        <v>0</v>
      </c>
      <c r="DH79">
        <v>0</v>
      </c>
      <c r="DI79">
        <v>13.129496402877701</v>
      </c>
      <c r="DJ79">
        <v>62.050359712230197</v>
      </c>
      <c r="DK79">
        <v>24.820143884892101</v>
      </c>
      <c r="DL79">
        <v>0</v>
      </c>
      <c r="DM79">
        <v>0</v>
      </c>
      <c r="DN79">
        <v>13.129496402877701</v>
      </c>
      <c r="DO79">
        <v>62.050359712230197</v>
      </c>
      <c r="DP79">
        <v>24.820143884892101</v>
      </c>
      <c r="DQ79">
        <v>0</v>
      </c>
      <c r="DR79">
        <v>0</v>
      </c>
      <c r="DS79" t="s">
        <v>312</v>
      </c>
      <c r="DT79" t="s">
        <v>313</v>
      </c>
      <c r="DU79">
        <v>2837</v>
      </c>
      <c r="DV79">
        <v>2196</v>
      </c>
      <c r="DW79" t="s">
        <v>269</v>
      </c>
      <c r="DX79">
        <v>18</v>
      </c>
      <c r="DY79">
        <v>0</v>
      </c>
      <c r="DZ79">
        <v>18</v>
      </c>
      <c r="EA79">
        <v>89789</v>
      </c>
      <c r="EB79">
        <v>0</v>
      </c>
      <c r="EC79">
        <v>89789</v>
      </c>
      <c r="ED79" t="s">
        <v>274</v>
      </c>
      <c r="EE79" t="s">
        <v>274</v>
      </c>
      <c r="EF79" t="s">
        <v>274</v>
      </c>
      <c r="EG79" t="s">
        <v>274</v>
      </c>
    </row>
    <row r="80" spans="1:137" ht="14.55" customHeight="1" x14ac:dyDescent="0.3">
      <c r="A80" t="s">
        <v>432</v>
      </c>
      <c r="B80">
        <v>2216</v>
      </c>
      <c r="C80" t="s">
        <v>433</v>
      </c>
      <c r="D80" t="s">
        <v>269</v>
      </c>
      <c r="E80" t="s">
        <v>269</v>
      </c>
      <c r="F80" t="s">
        <v>270</v>
      </c>
      <c r="G80" t="s">
        <v>406</v>
      </c>
      <c r="H80" s="3">
        <v>5056435.2489400003</v>
      </c>
      <c r="I80">
        <v>512</v>
      </c>
      <c r="J80" s="3">
        <v>505.64352489400005</v>
      </c>
      <c r="K80">
        <v>546</v>
      </c>
      <c r="L80">
        <v>783</v>
      </c>
      <c r="M80">
        <v>704.44575502268299</v>
      </c>
      <c r="N80">
        <v>37.180235811433199</v>
      </c>
      <c r="O80">
        <v>0</v>
      </c>
      <c r="P80">
        <v>48.6514282226563</v>
      </c>
      <c r="Q80">
        <v>8.1549386978149396</v>
      </c>
      <c r="R80">
        <v>5.5536041259765598</v>
      </c>
      <c r="S80" t="s">
        <v>272</v>
      </c>
      <c r="T80" t="s">
        <v>432</v>
      </c>
      <c r="U80" t="s">
        <v>433</v>
      </c>
      <c r="V80" t="s">
        <v>433</v>
      </c>
      <c r="W80" s="3">
        <v>160</v>
      </c>
      <c r="X80" s="3">
        <v>5060000</v>
      </c>
      <c r="Y80">
        <v>3</v>
      </c>
      <c r="Z80" s="3">
        <v>161</v>
      </c>
      <c r="AA80" s="3">
        <v>156</v>
      </c>
      <c r="AB80" s="3">
        <v>139</v>
      </c>
      <c r="AC80" s="3">
        <v>146</v>
      </c>
      <c r="AD80" s="3">
        <v>151</v>
      </c>
      <c r="AE80" s="3">
        <v>152</v>
      </c>
      <c r="AF80" s="3">
        <v>151</v>
      </c>
      <c r="AG80" s="3">
        <v>146</v>
      </c>
      <c r="AH80" s="3">
        <v>148</v>
      </c>
      <c r="AI80" s="3">
        <v>149</v>
      </c>
      <c r="AJ80" s="3">
        <v>148</v>
      </c>
      <c r="AK80" s="3">
        <v>141</v>
      </c>
      <c r="AL80" s="3">
        <v>139</v>
      </c>
      <c r="AM80" s="3">
        <v>148</v>
      </c>
      <c r="AN80" s="3">
        <v>154</v>
      </c>
      <c r="AO80" s="3">
        <v>156</v>
      </c>
      <c r="AP80" s="3">
        <v>160</v>
      </c>
      <c r="AR80" s="4">
        <f t="shared" si="17"/>
        <v>31.642845625985501</v>
      </c>
      <c r="AS80" s="5">
        <f t="shared" si="18"/>
        <v>-0.38819875776397517</v>
      </c>
      <c r="AT80" s="5">
        <f t="shared" si="11"/>
        <v>-1.2108262108262109</v>
      </c>
      <c r="AU80" s="5">
        <f t="shared" si="12"/>
        <v>0.86330935251798557</v>
      </c>
      <c r="AV80" s="5">
        <f t="shared" si="13"/>
        <v>0.5960264900662251</v>
      </c>
      <c r="AW80" s="5">
        <f t="shared" si="14"/>
        <v>-0.80379978078187808</v>
      </c>
      <c r="AX80" s="5">
        <f t="shared" si="15"/>
        <v>0.75539568345323738</v>
      </c>
      <c r="AY80" s="5">
        <f t="shared" si="16"/>
        <v>-1.6786973308712438E-2</v>
      </c>
      <c r="AZ80">
        <f t="shared" si="19"/>
        <v>5080000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2880000</v>
      </c>
      <c r="BK80">
        <v>0</v>
      </c>
      <c r="BL80">
        <v>0</v>
      </c>
      <c r="BM80">
        <v>0</v>
      </c>
      <c r="BN80">
        <v>0</v>
      </c>
      <c r="BO80">
        <v>1350000</v>
      </c>
      <c r="BP80">
        <v>0</v>
      </c>
      <c r="BQ80">
        <v>60000</v>
      </c>
      <c r="BR80">
        <v>790000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29</v>
      </c>
      <c r="CC80">
        <v>32</v>
      </c>
      <c r="CD80">
        <v>36</v>
      </c>
      <c r="CE80">
        <v>35</v>
      </c>
      <c r="CF80" s="17">
        <v>5.7199211045364891</v>
      </c>
      <c r="CG80" s="17">
        <v>6.3116370808678504</v>
      </c>
      <c r="CH80" s="17">
        <v>7.1005917159763312</v>
      </c>
      <c r="CI80" s="17">
        <v>6.9033530571992117</v>
      </c>
      <c r="CJ80" s="18">
        <v>1</v>
      </c>
      <c r="CK80" s="18">
        <v>1.103448275862069</v>
      </c>
      <c r="CL80" s="18">
        <v>1.2413793103448276</v>
      </c>
      <c r="CM80" s="18">
        <v>1.2068965517241379</v>
      </c>
      <c r="CN80" s="18">
        <v>0</v>
      </c>
      <c r="CO80" s="18">
        <v>0.59171597633136097</v>
      </c>
      <c r="CP80" s="18">
        <v>1.3806706114398422</v>
      </c>
      <c r="CQ80" s="18">
        <v>1.1834319526627219</v>
      </c>
      <c r="CR80" s="18">
        <f t="shared" si="20"/>
        <v>0.91925465838509313</v>
      </c>
      <c r="CS80" s="18">
        <f t="shared" si="21"/>
        <v>0.76166814551907713</v>
      </c>
      <c r="CT80">
        <v>0.39370078740157499</v>
      </c>
      <c r="CU80">
        <v>77.952755905511793</v>
      </c>
      <c r="CV80">
        <v>21.259842519685002</v>
      </c>
      <c r="CW80">
        <v>0</v>
      </c>
      <c r="CX80">
        <v>0.39370078740157499</v>
      </c>
      <c r="CY80">
        <v>0</v>
      </c>
      <c r="CZ80">
        <v>83.267716535433095</v>
      </c>
      <c r="DA80">
        <v>16.732283464566901</v>
      </c>
      <c r="DB80">
        <v>0</v>
      </c>
      <c r="DC80">
        <v>0</v>
      </c>
      <c r="DD80">
        <v>0</v>
      </c>
      <c r="DE80">
        <v>83.267716535433095</v>
      </c>
      <c r="DF80">
        <v>16.732283464566901</v>
      </c>
      <c r="DG80">
        <v>0</v>
      </c>
      <c r="DH80">
        <v>0</v>
      </c>
      <c r="DI80">
        <v>0</v>
      </c>
      <c r="DJ80">
        <v>83.267716535433095</v>
      </c>
      <c r="DK80">
        <v>16.732283464566901</v>
      </c>
      <c r="DL80">
        <v>0</v>
      </c>
      <c r="DM80">
        <v>0</v>
      </c>
      <c r="DN80">
        <v>0</v>
      </c>
      <c r="DO80">
        <v>83.267716535433095</v>
      </c>
      <c r="DP80">
        <v>16.732283464566901</v>
      </c>
      <c r="DQ80">
        <v>0</v>
      </c>
      <c r="DR80">
        <v>0</v>
      </c>
      <c r="DS80" t="s">
        <v>312</v>
      </c>
      <c r="DT80" t="s">
        <v>313</v>
      </c>
      <c r="DU80">
        <v>154</v>
      </c>
      <c r="DV80">
        <v>2196</v>
      </c>
      <c r="DW80" t="s">
        <v>269</v>
      </c>
      <c r="DX80">
        <v>18</v>
      </c>
      <c r="DY80">
        <v>0</v>
      </c>
      <c r="DZ80">
        <v>18</v>
      </c>
      <c r="EA80">
        <v>89789</v>
      </c>
      <c r="EB80">
        <v>0</v>
      </c>
      <c r="EC80">
        <v>89789</v>
      </c>
      <c r="ED80" t="s">
        <v>274</v>
      </c>
      <c r="EE80" t="s">
        <v>274</v>
      </c>
      <c r="EF80" t="s">
        <v>274</v>
      </c>
      <c r="EG80" t="s">
        <v>274</v>
      </c>
    </row>
    <row r="81" spans="1:137" ht="14.55" customHeight="1" x14ac:dyDescent="0.3">
      <c r="A81" t="s">
        <v>434</v>
      </c>
      <c r="B81">
        <v>2217</v>
      </c>
      <c r="C81" t="s">
        <v>435</v>
      </c>
      <c r="D81" t="s">
        <v>269</v>
      </c>
      <c r="E81" t="s">
        <v>269</v>
      </c>
      <c r="F81" t="s">
        <v>270</v>
      </c>
      <c r="G81" t="s">
        <v>406</v>
      </c>
      <c r="H81" s="3">
        <v>5907768.2858899999</v>
      </c>
      <c r="I81">
        <v>590</v>
      </c>
      <c r="J81" s="3">
        <v>590.77682858900005</v>
      </c>
      <c r="K81">
        <v>606</v>
      </c>
      <c r="L81">
        <v>748</v>
      </c>
      <c r="M81">
        <v>666.09822616407996</v>
      </c>
      <c r="N81">
        <v>26.9750006865983</v>
      </c>
      <c r="O81">
        <v>0</v>
      </c>
      <c r="P81">
        <v>33.732364654541001</v>
      </c>
      <c r="Q81">
        <v>6.2496585845947301</v>
      </c>
      <c r="R81">
        <v>4.04803371429443</v>
      </c>
      <c r="S81" t="s">
        <v>272</v>
      </c>
      <c r="T81" t="s">
        <v>434</v>
      </c>
      <c r="U81" t="s">
        <v>435</v>
      </c>
      <c r="V81" t="s">
        <v>435</v>
      </c>
      <c r="W81" s="3">
        <v>750</v>
      </c>
      <c r="X81" s="3">
        <v>5910000</v>
      </c>
      <c r="Y81">
        <v>3</v>
      </c>
      <c r="Z81" s="3">
        <v>403</v>
      </c>
      <c r="AA81" s="3">
        <v>438</v>
      </c>
      <c r="AB81" s="3">
        <v>493</v>
      </c>
      <c r="AC81" s="3">
        <v>566</v>
      </c>
      <c r="AD81" s="3">
        <v>565</v>
      </c>
      <c r="AE81" s="3">
        <v>614</v>
      </c>
      <c r="AF81" s="3">
        <v>623</v>
      </c>
      <c r="AG81" s="3">
        <v>639</v>
      </c>
      <c r="AH81" s="3">
        <v>659</v>
      </c>
      <c r="AI81" s="3">
        <v>681</v>
      </c>
      <c r="AJ81" s="3">
        <v>694</v>
      </c>
      <c r="AK81" s="3">
        <v>690</v>
      </c>
      <c r="AL81" s="3">
        <v>686</v>
      </c>
      <c r="AM81" s="3">
        <v>723</v>
      </c>
      <c r="AN81" s="3">
        <v>727</v>
      </c>
      <c r="AO81" s="3">
        <v>745</v>
      </c>
      <c r="AP81" s="3">
        <v>750</v>
      </c>
      <c r="AR81" s="4">
        <f t="shared" si="17"/>
        <v>126.95149229046194</v>
      </c>
      <c r="AS81" s="5">
        <f t="shared" si="18"/>
        <v>1.0856079404466501</v>
      </c>
      <c r="AT81" s="5">
        <f t="shared" si="11"/>
        <v>1.3952308472856418</v>
      </c>
      <c r="AU81" s="5">
        <f t="shared" si="12"/>
        <v>2.6369168356997976</v>
      </c>
      <c r="AV81" s="5">
        <f t="shared" si="13"/>
        <v>2.0385232744783308</v>
      </c>
      <c r="AW81" s="5">
        <f t="shared" si="14"/>
        <v>1.3136768354984674</v>
      </c>
      <c r="AX81" s="5">
        <f t="shared" si="15"/>
        <v>2.6064908722109528</v>
      </c>
      <c r="AY81" s="5">
        <f t="shared" si="16"/>
        <v>2.3271410368184564</v>
      </c>
      <c r="AZ81">
        <f t="shared" si="19"/>
        <v>5890000</v>
      </c>
      <c r="BA81">
        <v>0</v>
      </c>
      <c r="BB81">
        <v>250000</v>
      </c>
      <c r="BC81">
        <v>10000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1860000</v>
      </c>
      <c r="BK81">
        <v>0</v>
      </c>
      <c r="BL81">
        <v>0</v>
      </c>
      <c r="BM81">
        <v>2420000</v>
      </c>
      <c r="BN81">
        <v>0</v>
      </c>
      <c r="BO81">
        <v>0</v>
      </c>
      <c r="BP81">
        <v>0</v>
      </c>
      <c r="BQ81">
        <v>0</v>
      </c>
      <c r="BR81">
        <v>1350000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29</v>
      </c>
      <c r="CC81">
        <v>34</v>
      </c>
      <c r="CD81">
        <v>43</v>
      </c>
      <c r="CE81">
        <v>47</v>
      </c>
      <c r="CF81" s="17">
        <v>4.8986486486486482</v>
      </c>
      <c r="CG81" s="17">
        <v>5.7432432432432439</v>
      </c>
      <c r="CH81" s="17">
        <v>7.2635135135135132</v>
      </c>
      <c r="CI81" s="17">
        <v>7.9391891891891886</v>
      </c>
      <c r="CJ81" s="18">
        <v>1</v>
      </c>
      <c r="CK81" s="18">
        <v>1.1724137931034482</v>
      </c>
      <c r="CL81" s="18">
        <v>1.4827586206896552</v>
      </c>
      <c r="CM81" s="18">
        <v>1.6206896551724137</v>
      </c>
      <c r="CN81" s="18">
        <v>0</v>
      </c>
      <c r="CO81" s="18">
        <v>0.84459459459459463</v>
      </c>
      <c r="CP81" s="18">
        <v>2.3648648648648649</v>
      </c>
      <c r="CQ81" s="18">
        <v>3.0405405405405408</v>
      </c>
      <c r="CR81" s="18">
        <f t="shared" si="20"/>
        <v>1.7940446650124069</v>
      </c>
      <c r="CS81" s="18">
        <f t="shared" si="21"/>
        <v>1.1069637294757404</v>
      </c>
      <c r="CT81">
        <v>1.0186757215619699</v>
      </c>
      <c r="CU81">
        <v>76.570458404074671</v>
      </c>
      <c r="CV81">
        <v>22.410865874363299</v>
      </c>
      <c r="CW81">
        <v>0</v>
      </c>
      <c r="CX81">
        <v>0</v>
      </c>
      <c r="CY81">
        <v>4.4142614601018648</v>
      </c>
      <c r="CZ81">
        <v>72.665534804753804</v>
      </c>
      <c r="DA81">
        <v>22.920203735144302</v>
      </c>
      <c r="DB81">
        <v>0</v>
      </c>
      <c r="DC81">
        <v>0</v>
      </c>
      <c r="DD81">
        <v>4.4142614601018648</v>
      </c>
      <c r="DE81">
        <v>72.665534804753804</v>
      </c>
      <c r="DF81">
        <v>22.920203735144302</v>
      </c>
      <c r="DG81">
        <v>0</v>
      </c>
      <c r="DH81">
        <v>0</v>
      </c>
      <c r="DI81">
        <v>4.4142614601018648</v>
      </c>
      <c r="DJ81">
        <v>72.665534804753904</v>
      </c>
      <c r="DK81">
        <v>22.920203735144302</v>
      </c>
      <c r="DL81">
        <v>0</v>
      </c>
      <c r="DM81">
        <v>0</v>
      </c>
      <c r="DN81">
        <v>4.4142614601018648</v>
      </c>
      <c r="DO81">
        <v>72.665534804753904</v>
      </c>
      <c r="DP81">
        <v>22.920203735144302</v>
      </c>
      <c r="DQ81">
        <v>0</v>
      </c>
      <c r="DR81">
        <v>0</v>
      </c>
      <c r="DS81" t="s">
        <v>273</v>
      </c>
      <c r="DT81" t="s">
        <v>273</v>
      </c>
      <c r="DU81" t="s">
        <v>273</v>
      </c>
      <c r="DV81" t="s">
        <v>273</v>
      </c>
      <c r="DW81" t="s">
        <v>273</v>
      </c>
      <c r="DX81" t="s">
        <v>273</v>
      </c>
      <c r="DY81" t="s">
        <v>273</v>
      </c>
      <c r="DZ81" t="s">
        <v>273</v>
      </c>
      <c r="EA81" t="s">
        <v>273</v>
      </c>
      <c r="EB81" t="s">
        <v>273</v>
      </c>
      <c r="EC81" t="s">
        <v>273</v>
      </c>
      <c r="ED81" t="s">
        <v>274</v>
      </c>
      <c r="EE81" t="s">
        <v>274</v>
      </c>
      <c r="EF81" t="s">
        <v>274</v>
      </c>
      <c r="EG81" t="s">
        <v>274</v>
      </c>
    </row>
    <row r="82" spans="1:137" ht="14.55" customHeight="1" x14ac:dyDescent="0.3">
      <c r="A82" t="s">
        <v>436</v>
      </c>
      <c r="B82">
        <v>2220</v>
      </c>
      <c r="C82" t="s">
        <v>437</v>
      </c>
      <c r="D82" t="s">
        <v>269</v>
      </c>
      <c r="E82" t="s">
        <v>269</v>
      </c>
      <c r="F82" t="s">
        <v>270</v>
      </c>
      <c r="G82" t="s">
        <v>406</v>
      </c>
      <c r="H82" s="3">
        <v>18560791.806499999</v>
      </c>
      <c r="I82">
        <v>1848</v>
      </c>
      <c r="J82" s="3">
        <v>1856.0791806499999</v>
      </c>
      <c r="K82">
        <v>679</v>
      </c>
      <c r="L82">
        <v>1520</v>
      </c>
      <c r="M82">
        <v>900.86605848449506</v>
      </c>
      <c r="N82">
        <v>168.60993955168601</v>
      </c>
      <c r="O82">
        <v>0</v>
      </c>
      <c r="P82">
        <v>47.410060882568402</v>
      </c>
      <c r="Q82">
        <v>10.5521688461304</v>
      </c>
      <c r="R82">
        <v>6.8268775939941397</v>
      </c>
      <c r="S82" t="s">
        <v>272</v>
      </c>
      <c r="T82" t="s">
        <v>436</v>
      </c>
      <c r="U82" t="s">
        <v>437</v>
      </c>
      <c r="V82" t="s">
        <v>437</v>
      </c>
      <c r="W82" s="3">
        <v>3135</v>
      </c>
      <c r="X82" s="3">
        <v>18560000</v>
      </c>
      <c r="Y82">
        <v>3</v>
      </c>
      <c r="Z82" s="3">
        <v>1847</v>
      </c>
      <c r="AA82" s="3">
        <v>2041</v>
      </c>
      <c r="AB82" s="3">
        <v>2667</v>
      </c>
      <c r="AC82" s="3">
        <v>2793</v>
      </c>
      <c r="AD82" s="3">
        <v>2846</v>
      </c>
      <c r="AE82" s="3">
        <v>2882</v>
      </c>
      <c r="AF82" s="3">
        <v>2892</v>
      </c>
      <c r="AG82" s="3">
        <v>2920</v>
      </c>
      <c r="AH82" s="3">
        <v>2990</v>
      </c>
      <c r="AI82" s="3">
        <v>3022</v>
      </c>
      <c r="AJ82" s="3">
        <v>3051</v>
      </c>
      <c r="AK82" s="3">
        <v>3104</v>
      </c>
      <c r="AL82" s="3">
        <v>3073</v>
      </c>
      <c r="AM82" s="3">
        <v>3156</v>
      </c>
      <c r="AN82" s="3">
        <v>3134</v>
      </c>
      <c r="AO82" s="3">
        <v>3154</v>
      </c>
      <c r="AP82" s="3">
        <v>3135</v>
      </c>
      <c r="AR82" s="4">
        <f t="shared" si="17"/>
        <v>168.90443213215298</v>
      </c>
      <c r="AS82" s="5">
        <f t="shared" si="18"/>
        <v>1.3129399025446671</v>
      </c>
      <c r="AT82" s="5">
        <f t="shared" si="11"/>
        <v>3.4079155098263376</v>
      </c>
      <c r="AU82" s="5">
        <f t="shared" si="12"/>
        <v>0.84364454443194603</v>
      </c>
      <c r="AV82" s="5">
        <f t="shared" si="13"/>
        <v>0.84024896265560178</v>
      </c>
      <c r="AW82" s="5">
        <f t="shared" si="14"/>
        <v>2.6115481384757477</v>
      </c>
      <c r="AX82" s="5">
        <f t="shared" si="15"/>
        <v>0.87739032620922397</v>
      </c>
      <c r="AY82" s="5">
        <f t="shared" si="16"/>
        <v>1.8847217547813107</v>
      </c>
      <c r="AZ82">
        <f t="shared" si="19"/>
        <v>18530000</v>
      </c>
      <c r="BA82">
        <v>0</v>
      </c>
      <c r="BB82">
        <v>1860000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8530000</v>
      </c>
      <c r="BN82">
        <v>0</v>
      </c>
      <c r="BO82">
        <v>0</v>
      </c>
      <c r="BP82">
        <v>0</v>
      </c>
      <c r="BQ82">
        <v>5340000</v>
      </c>
      <c r="BR82">
        <v>2800000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109</v>
      </c>
      <c r="CC82">
        <v>134</v>
      </c>
      <c r="CD82">
        <v>159</v>
      </c>
      <c r="CE82">
        <v>174</v>
      </c>
      <c r="CF82" s="17">
        <v>5.8665231431646934</v>
      </c>
      <c r="CG82" s="17">
        <v>7.2120559741657697</v>
      </c>
      <c r="CH82" s="17">
        <v>8.5575888051668461</v>
      </c>
      <c r="CI82" s="17">
        <v>9.3649085037674933</v>
      </c>
      <c r="CJ82" s="18">
        <v>1</v>
      </c>
      <c r="CK82" s="18">
        <v>1.2293577981651376</v>
      </c>
      <c r="CL82" s="18">
        <v>1.4587155963302751</v>
      </c>
      <c r="CM82" s="18">
        <v>1.5963302752293578</v>
      </c>
      <c r="CN82" s="18">
        <v>0</v>
      </c>
      <c r="CO82" s="18">
        <v>1.3455328310010763</v>
      </c>
      <c r="CP82" s="18">
        <v>2.6910656620021527</v>
      </c>
      <c r="CQ82" s="18">
        <v>3.4983853606027986</v>
      </c>
      <c r="CR82" s="18">
        <f t="shared" si="20"/>
        <v>1.7087168381158635</v>
      </c>
      <c r="CS82" s="18">
        <f t="shared" si="21"/>
        <v>1.0704030767507422</v>
      </c>
      <c r="CT82">
        <v>2.2665947112790104</v>
      </c>
      <c r="CU82">
        <v>53.426875337290895</v>
      </c>
      <c r="CV82">
        <v>44.306529951430065</v>
      </c>
      <c r="CW82">
        <v>0</v>
      </c>
      <c r="CX82">
        <v>0</v>
      </c>
      <c r="CY82">
        <v>5.8283864004317296</v>
      </c>
      <c r="CZ82">
        <v>51.484079870480301</v>
      </c>
      <c r="DA82">
        <v>42.687533729088003</v>
      </c>
      <c r="DB82">
        <v>0</v>
      </c>
      <c r="DC82">
        <v>0</v>
      </c>
      <c r="DD82">
        <v>5.8283864004317296</v>
      </c>
      <c r="DE82">
        <v>51.484079870480301</v>
      </c>
      <c r="DF82">
        <v>42.687533729088003</v>
      </c>
      <c r="DG82">
        <v>0</v>
      </c>
      <c r="DH82">
        <v>0</v>
      </c>
      <c r="DI82">
        <v>10.037776578521299</v>
      </c>
      <c r="DJ82">
        <v>46.033459255261697</v>
      </c>
      <c r="DK82">
        <v>43.928764166216901</v>
      </c>
      <c r="DL82">
        <v>0</v>
      </c>
      <c r="DM82">
        <v>0</v>
      </c>
      <c r="DN82">
        <v>10.037776578521299</v>
      </c>
      <c r="DO82">
        <v>46.033459255261697</v>
      </c>
      <c r="DP82">
        <v>43.928764166216901</v>
      </c>
      <c r="DQ82">
        <v>0</v>
      </c>
      <c r="DR82">
        <v>0</v>
      </c>
      <c r="DS82" t="s">
        <v>312</v>
      </c>
      <c r="DT82" t="s">
        <v>313</v>
      </c>
      <c r="DU82">
        <v>3250</v>
      </c>
      <c r="DV82">
        <v>2196</v>
      </c>
      <c r="DW82" t="s">
        <v>269</v>
      </c>
      <c r="DX82">
        <v>18</v>
      </c>
      <c r="DY82">
        <v>0</v>
      </c>
      <c r="DZ82">
        <v>18</v>
      </c>
      <c r="EA82">
        <v>89789</v>
      </c>
      <c r="EB82">
        <v>0</v>
      </c>
      <c r="EC82">
        <v>89789</v>
      </c>
      <c r="ED82" t="s">
        <v>274</v>
      </c>
      <c r="EE82" t="s">
        <v>274</v>
      </c>
      <c r="EF82" t="s">
        <v>274</v>
      </c>
      <c r="EG82" t="s">
        <v>274</v>
      </c>
    </row>
    <row r="83" spans="1:137" ht="14.55" customHeight="1" x14ac:dyDescent="0.3">
      <c r="A83" t="s">
        <v>438</v>
      </c>
      <c r="B83">
        <v>2226</v>
      </c>
      <c r="C83" t="s">
        <v>439</v>
      </c>
      <c r="D83" t="s">
        <v>269</v>
      </c>
      <c r="E83" t="s">
        <v>269</v>
      </c>
      <c r="F83" t="s">
        <v>270</v>
      </c>
      <c r="G83" t="s">
        <v>406</v>
      </c>
      <c r="H83" s="3">
        <v>11403529.833799999</v>
      </c>
      <c r="I83">
        <v>1141</v>
      </c>
      <c r="J83" s="3">
        <v>1140.3529833799998</v>
      </c>
      <c r="K83">
        <v>602</v>
      </c>
      <c r="L83">
        <v>1491</v>
      </c>
      <c r="M83">
        <v>836.27696374188395</v>
      </c>
      <c r="N83">
        <v>118.572932213378</v>
      </c>
      <c r="O83">
        <v>0</v>
      </c>
      <c r="P83">
        <v>54.099826812744098</v>
      </c>
      <c r="Q83">
        <v>10.9290990829468</v>
      </c>
      <c r="R83">
        <v>7.1534886360168501</v>
      </c>
      <c r="S83" t="s">
        <v>272</v>
      </c>
      <c r="T83" t="s">
        <v>438</v>
      </c>
      <c r="U83" t="s">
        <v>439</v>
      </c>
      <c r="V83" t="s">
        <v>439</v>
      </c>
      <c r="W83" s="3">
        <v>1483</v>
      </c>
      <c r="X83" s="3">
        <v>11400000</v>
      </c>
      <c r="Y83">
        <v>3</v>
      </c>
      <c r="Z83" s="3">
        <v>916</v>
      </c>
      <c r="AA83" s="3">
        <v>1072</v>
      </c>
      <c r="AB83" s="3">
        <v>1290</v>
      </c>
      <c r="AC83" s="3">
        <v>1371</v>
      </c>
      <c r="AD83" s="3">
        <v>1391</v>
      </c>
      <c r="AE83" s="3">
        <v>1410</v>
      </c>
      <c r="AF83" s="3">
        <v>1425</v>
      </c>
      <c r="AG83" s="3">
        <v>1437</v>
      </c>
      <c r="AH83" s="3">
        <v>1451</v>
      </c>
      <c r="AI83" s="3">
        <v>1439</v>
      </c>
      <c r="AJ83" s="3">
        <v>1447</v>
      </c>
      <c r="AK83" s="3">
        <v>1441</v>
      </c>
      <c r="AL83" s="3">
        <v>1442</v>
      </c>
      <c r="AM83" s="3">
        <v>1449</v>
      </c>
      <c r="AN83" s="3">
        <v>1448</v>
      </c>
      <c r="AO83" s="3">
        <v>1470</v>
      </c>
      <c r="AP83" s="3">
        <v>1483</v>
      </c>
      <c r="AR83" s="4">
        <f t="shared" si="17"/>
        <v>130.04745211472996</v>
      </c>
      <c r="AS83" s="5">
        <f t="shared" si="18"/>
        <v>2.1288209606986901</v>
      </c>
      <c r="AT83" s="5">
        <f t="shared" si="11"/>
        <v>2.2595356550580434</v>
      </c>
      <c r="AU83" s="5">
        <f t="shared" si="12"/>
        <v>1.0465116279069768</v>
      </c>
      <c r="AV83" s="5">
        <f t="shared" si="13"/>
        <v>0.40701754385964911</v>
      </c>
      <c r="AW83" s="5">
        <f t="shared" si="14"/>
        <v>2.4017467248908297</v>
      </c>
      <c r="AX83" s="5">
        <f t="shared" si="15"/>
        <v>0.74806201550387597</v>
      </c>
      <c r="AY83" s="5">
        <f t="shared" si="16"/>
        <v>1.6729611707777647</v>
      </c>
      <c r="AZ83">
        <f t="shared" si="19"/>
        <v>11420000</v>
      </c>
      <c r="BA83">
        <v>0</v>
      </c>
      <c r="BB83">
        <v>550000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7510000</v>
      </c>
      <c r="BN83">
        <v>0</v>
      </c>
      <c r="BO83">
        <v>0</v>
      </c>
      <c r="BP83">
        <v>0</v>
      </c>
      <c r="BQ83">
        <v>1120000</v>
      </c>
      <c r="BR83">
        <v>2240000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43</v>
      </c>
      <c r="CC83">
        <v>61</v>
      </c>
      <c r="CD83">
        <v>72</v>
      </c>
      <c r="CE83">
        <v>79</v>
      </c>
      <c r="CF83" s="17">
        <v>3.775241439859526</v>
      </c>
      <c r="CG83" s="17">
        <v>5.3555750658472343</v>
      </c>
      <c r="CH83" s="17">
        <v>6.3213345039508342</v>
      </c>
      <c r="CI83" s="17">
        <v>6.9359086918349426</v>
      </c>
      <c r="CJ83" s="18">
        <v>1</v>
      </c>
      <c r="CK83" s="18">
        <v>1.4186046511627908</v>
      </c>
      <c r="CL83" s="18">
        <v>1.6744186046511629</v>
      </c>
      <c r="CM83" s="18">
        <v>1.8372093023255813</v>
      </c>
      <c r="CN83" s="18">
        <v>0</v>
      </c>
      <c r="CO83" s="18">
        <v>1.5803336259877085</v>
      </c>
      <c r="CP83" s="18">
        <v>2.5460930640913082</v>
      </c>
      <c r="CQ83" s="18">
        <v>3.1606672519754171</v>
      </c>
      <c r="CR83" s="18">
        <f t="shared" si="20"/>
        <v>1.581877729257642</v>
      </c>
      <c r="CS83" s="18">
        <f t="shared" si="21"/>
        <v>0.86102205516555197</v>
      </c>
      <c r="CT83">
        <v>2.1015761821365979</v>
      </c>
      <c r="CU83">
        <v>65.936952714535892</v>
      </c>
      <c r="CV83">
        <v>31.96147110332749</v>
      </c>
      <c r="CW83">
        <v>0</v>
      </c>
      <c r="CX83">
        <v>0</v>
      </c>
      <c r="CY83">
        <v>4.8161120840630502</v>
      </c>
      <c r="CZ83">
        <v>65.936952714535892</v>
      </c>
      <c r="DA83">
        <v>29.246935201401101</v>
      </c>
      <c r="DB83">
        <v>0</v>
      </c>
      <c r="DC83">
        <v>0</v>
      </c>
      <c r="DD83">
        <v>4.8161120840630502</v>
      </c>
      <c r="DE83">
        <v>65.936952714535892</v>
      </c>
      <c r="DF83">
        <v>29.246935201401101</v>
      </c>
      <c r="DG83">
        <v>0</v>
      </c>
      <c r="DH83">
        <v>0</v>
      </c>
      <c r="DI83">
        <v>4.8161120840630502</v>
      </c>
      <c r="DJ83">
        <v>65.761821366024506</v>
      </c>
      <c r="DK83">
        <v>29.422066549912401</v>
      </c>
      <c r="DL83">
        <v>0</v>
      </c>
      <c r="DM83">
        <v>0</v>
      </c>
      <c r="DN83">
        <v>4.8161120840630502</v>
      </c>
      <c r="DO83">
        <v>65.761821366024506</v>
      </c>
      <c r="DP83">
        <v>29.422066549912401</v>
      </c>
      <c r="DQ83">
        <v>0</v>
      </c>
      <c r="DR83">
        <v>0</v>
      </c>
      <c r="DS83" t="s">
        <v>355</v>
      </c>
      <c r="DT83">
        <v>0</v>
      </c>
      <c r="DU83">
        <v>1531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 t="s">
        <v>274</v>
      </c>
      <c r="EE83" t="s">
        <v>274</v>
      </c>
      <c r="EF83" t="s">
        <v>274</v>
      </c>
      <c r="EG83" t="s">
        <v>274</v>
      </c>
    </row>
    <row r="84" spans="1:137" ht="14.55" customHeight="1" x14ac:dyDescent="0.3">
      <c r="A84" t="s">
        <v>440</v>
      </c>
      <c r="B84">
        <v>2228</v>
      </c>
      <c r="C84" t="s">
        <v>441</v>
      </c>
      <c r="D84" t="s">
        <v>269</v>
      </c>
      <c r="E84" t="s">
        <v>269</v>
      </c>
      <c r="F84" t="s">
        <v>270</v>
      </c>
      <c r="G84" t="s">
        <v>406</v>
      </c>
      <c r="H84" s="3">
        <v>5478818.1221000003</v>
      </c>
      <c r="I84">
        <v>547</v>
      </c>
      <c r="J84" s="3">
        <v>547.88181221000002</v>
      </c>
      <c r="K84">
        <v>529</v>
      </c>
      <c r="L84">
        <v>744</v>
      </c>
      <c r="M84">
        <v>666.67651279598203</v>
      </c>
      <c r="N84">
        <v>43.070024647011003</v>
      </c>
      <c r="O84">
        <v>0</v>
      </c>
      <c r="P84">
        <v>50.815498352050803</v>
      </c>
      <c r="Q84">
        <v>8.0336999893188494</v>
      </c>
      <c r="R84">
        <v>5.8820734024047896</v>
      </c>
      <c r="S84" t="s">
        <v>272</v>
      </c>
      <c r="T84" t="s">
        <v>440</v>
      </c>
      <c r="U84" t="s">
        <v>441</v>
      </c>
      <c r="V84" t="s">
        <v>441</v>
      </c>
      <c r="W84" s="3">
        <v>12228</v>
      </c>
      <c r="X84" s="3">
        <v>5480000</v>
      </c>
      <c r="Y84">
        <v>2</v>
      </c>
      <c r="Z84" s="3">
        <v>6172</v>
      </c>
      <c r="AA84" s="3">
        <v>7883</v>
      </c>
      <c r="AB84" s="3">
        <v>8885</v>
      </c>
      <c r="AC84" s="3">
        <v>10185</v>
      </c>
      <c r="AD84" s="3">
        <v>10407</v>
      </c>
      <c r="AE84" s="3">
        <v>10733</v>
      </c>
      <c r="AF84" s="3">
        <v>10892</v>
      </c>
      <c r="AG84" s="3">
        <v>11313</v>
      </c>
      <c r="AH84" s="3">
        <v>11762</v>
      </c>
      <c r="AI84" s="3">
        <v>11975</v>
      </c>
      <c r="AJ84" s="3">
        <v>12057</v>
      </c>
      <c r="AK84" s="3">
        <v>12137</v>
      </c>
      <c r="AL84" s="3">
        <v>12142</v>
      </c>
      <c r="AM84" s="3">
        <v>12128</v>
      </c>
      <c r="AN84" s="3">
        <v>12114</v>
      </c>
      <c r="AO84" s="3">
        <v>12094</v>
      </c>
      <c r="AP84" s="3">
        <v>12228</v>
      </c>
      <c r="AR84" s="4">
        <f t="shared" si="17"/>
        <v>2231.8682108967469</v>
      </c>
      <c r="AS84" s="5">
        <f t="shared" si="18"/>
        <v>3.4652462734931953</v>
      </c>
      <c r="AT84" s="5">
        <f t="shared" si="11"/>
        <v>1.4123218740750136</v>
      </c>
      <c r="AU84" s="5">
        <f t="shared" si="12"/>
        <v>2.2588632526730446</v>
      </c>
      <c r="AV84" s="5">
        <f t="shared" si="13"/>
        <v>1.226588321704003</v>
      </c>
      <c r="AW84" s="5">
        <f t="shared" si="14"/>
        <v>2.5856810643894628</v>
      </c>
      <c r="AX84" s="5">
        <f t="shared" si="15"/>
        <v>1.8812605514912775</v>
      </c>
      <c r="AY84" s="5">
        <f t="shared" si="16"/>
        <v>2.6519066052442595</v>
      </c>
      <c r="AZ84">
        <f t="shared" si="19"/>
        <v>5500000</v>
      </c>
      <c r="BA84">
        <v>0</v>
      </c>
      <c r="BB84">
        <v>2750000</v>
      </c>
      <c r="BC84">
        <v>460000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170000</v>
      </c>
      <c r="BK84">
        <v>0</v>
      </c>
      <c r="BL84">
        <v>0</v>
      </c>
      <c r="BM84">
        <v>370000</v>
      </c>
      <c r="BN84">
        <v>0</v>
      </c>
      <c r="BO84">
        <v>570000</v>
      </c>
      <c r="BP84">
        <v>0</v>
      </c>
      <c r="BQ84">
        <v>0</v>
      </c>
      <c r="BR84">
        <v>1180000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196</v>
      </c>
      <c r="CC84">
        <v>249</v>
      </c>
      <c r="CD84">
        <v>280</v>
      </c>
      <c r="CE84">
        <v>297</v>
      </c>
      <c r="CF84" s="17">
        <v>35.963302752293579</v>
      </c>
      <c r="CG84" s="17">
        <v>45.688073394495419</v>
      </c>
      <c r="CH84" s="17">
        <v>51.37614678899083</v>
      </c>
      <c r="CI84" s="17">
        <v>54.495412844036693</v>
      </c>
      <c r="CJ84" s="18">
        <v>1</v>
      </c>
      <c r="CK84" s="18">
        <v>1.2704081632653061</v>
      </c>
      <c r="CL84" s="18">
        <v>1.4285714285714286</v>
      </c>
      <c r="CM84" s="18">
        <v>1.5153061224489797</v>
      </c>
      <c r="CN84" s="18">
        <v>0</v>
      </c>
      <c r="CO84" s="18">
        <v>9.7247706422018361</v>
      </c>
      <c r="CP84" s="18">
        <v>15.412844036697248</v>
      </c>
      <c r="CQ84" s="18">
        <v>18.532110091743121</v>
      </c>
      <c r="CR84" s="18">
        <f t="shared" si="20"/>
        <v>1.9650032404406998</v>
      </c>
      <c r="CS84" s="18">
        <f t="shared" si="21"/>
        <v>1.2967698152403271</v>
      </c>
      <c r="CT84">
        <v>34.909090909090935</v>
      </c>
      <c r="CU84">
        <v>40.363636363636374</v>
      </c>
      <c r="CV84">
        <v>24.363636363636399</v>
      </c>
      <c r="CW84">
        <v>0</v>
      </c>
      <c r="CX84">
        <v>0.36363636363636398</v>
      </c>
      <c r="CY84">
        <v>53.272727272727259</v>
      </c>
      <c r="CZ84">
        <v>28.727272727272702</v>
      </c>
      <c r="DA84">
        <v>18</v>
      </c>
      <c r="DB84">
        <v>0</v>
      </c>
      <c r="DC84">
        <v>0</v>
      </c>
      <c r="DD84">
        <v>56.000000000000057</v>
      </c>
      <c r="DE84">
        <v>28.727272727272702</v>
      </c>
      <c r="DF84">
        <v>15.2727272727273</v>
      </c>
      <c r="DG84">
        <v>0</v>
      </c>
      <c r="DH84">
        <v>0</v>
      </c>
      <c r="DI84">
        <v>58.36363636363636</v>
      </c>
      <c r="DJ84">
        <v>20.181818181818223</v>
      </c>
      <c r="DK84">
        <v>21.454545454545499</v>
      </c>
      <c r="DL84">
        <v>0</v>
      </c>
      <c r="DM84">
        <v>0</v>
      </c>
      <c r="DN84">
        <v>58.36363636363636</v>
      </c>
      <c r="DO84">
        <v>20.181818181818223</v>
      </c>
      <c r="DP84">
        <v>21.454545454545499</v>
      </c>
      <c r="DQ84">
        <v>0</v>
      </c>
      <c r="DR84">
        <v>0</v>
      </c>
      <c r="DS84" t="s">
        <v>371</v>
      </c>
      <c r="DT84" t="s">
        <v>313</v>
      </c>
      <c r="DU84">
        <v>12328</v>
      </c>
      <c r="DV84">
        <v>2196</v>
      </c>
      <c r="DW84" t="s">
        <v>269</v>
      </c>
      <c r="DX84">
        <v>18</v>
      </c>
      <c r="DY84">
        <v>0</v>
      </c>
      <c r="DZ84">
        <v>18</v>
      </c>
      <c r="EA84">
        <v>89789</v>
      </c>
      <c r="EB84">
        <v>0</v>
      </c>
      <c r="EC84">
        <v>89789</v>
      </c>
      <c r="ED84" t="s">
        <v>274</v>
      </c>
      <c r="EE84" t="s">
        <v>274</v>
      </c>
      <c r="EF84" t="s">
        <v>274</v>
      </c>
      <c r="EG84" t="s">
        <v>274</v>
      </c>
    </row>
    <row r="85" spans="1:137" ht="14.55" customHeight="1" x14ac:dyDescent="0.3">
      <c r="A85" t="s">
        <v>442</v>
      </c>
      <c r="B85">
        <v>2230</v>
      </c>
      <c r="C85" t="s">
        <v>443</v>
      </c>
      <c r="D85" t="s">
        <v>269</v>
      </c>
      <c r="E85" t="s">
        <v>269</v>
      </c>
      <c r="F85" t="s">
        <v>270</v>
      </c>
      <c r="G85" t="s">
        <v>406</v>
      </c>
      <c r="H85" s="3">
        <v>1394336.5008700001</v>
      </c>
      <c r="I85">
        <v>141</v>
      </c>
      <c r="J85" s="3">
        <v>139.43365008700002</v>
      </c>
      <c r="K85">
        <v>643</v>
      </c>
      <c r="L85">
        <v>751</v>
      </c>
      <c r="M85">
        <v>706.41303328645097</v>
      </c>
      <c r="N85">
        <v>22.709287282246901</v>
      </c>
      <c r="O85">
        <v>0.33761471509933499</v>
      </c>
      <c r="P85">
        <v>41.277721405029297</v>
      </c>
      <c r="Q85">
        <v>8.9122123718261701</v>
      </c>
      <c r="R85">
        <v>6.2158203125</v>
      </c>
      <c r="S85" t="s">
        <v>272</v>
      </c>
      <c r="T85" t="s">
        <v>442</v>
      </c>
      <c r="U85" t="s">
        <v>443</v>
      </c>
      <c r="V85" t="s">
        <v>443</v>
      </c>
      <c r="W85" s="3">
        <v>72</v>
      </c>
      <c r="X85" s="3">
        <v>1390000</v>
      </c>
      <c r="Y85">
        <v>3</v>
      </c>
      <c r="Z85" s="3">
        <v>45</v>
      </c>
      <c r="AA85" s="3">
        <v>59</v>
      </c>
      <c r="AB85" s="3">
        <v>69</v>
      </c>
      <c r="AC85" s="3">
        <v>84</v>
      </c>
      <c r="AD85" s="3">
        <v>79</v>
      </c>
      <c r="AE85" s="3">
        <v>89</v>
      </c>
      <c r="AF85" s="3">
        <v>86</v>
      </c>
      <c r="AG85" s="3">
        <v>87</v>
      </c>
      <c r="AH85" s="3">
        <v>82</v>
      </c>
      <c r="AI85" s="3">
        <v>84</v>
      </c>
      <c r="AJ85" s="3">
        <v>87</v>
      </c>
      <c r="AK85" s="3">
        <v>83</v>
      </c>
      <c r="AL85" s="3">
        <v>86</v>
      </c>
      <c r="AM85" s="3">
        <v>79</v>
      </c>
      <c r="AN85" s="3">
        <v>85</v>
      </c>
      <c r="AO85" s="3">
        <v>84</v>
      </c>
      <c r="AP85" s="3">
        <v>72</v>
      </c>
      <c r="AR85" s="4">
        <f t="shared" si="17"/>
        <v>51.63746337779682</v>
      </c>
      <c r="AS85" s="5">
        <f t="shared" si="18"/>
        <v>3.8888888888888888</v>
      </c>
      <c r="AT85" s="5">
        <f t="shared" si="11"/>
        <v>1.8832391713747645</v>
      </c>
      <c r="AU85" s="5">
        <f t="shared" si="12"/>
        <v>2.4637681159420293</v>
      </c>
      <c r="AV85" s="5">
        <f t="shared" si="13"/>
        <v>-1.6279069767441861</v>
      </c>
      <c r="AW85" s="5">
        <f t="shared" si="14"/>
        <v>3.1372549019607843</v>
      </c>
      <c r="AX85" s="5">
        <f t="shared" si="15"/>
        <v>0.21739130434782608</v>
      </c>
      <c r="AY85" s="5">
        <f t="shared" si="16"/>
        <v>1.6216216216216217</v>
      </c>
      <c r="AZ85">
        <f t="shared" si="19"/>
        <v>1420000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1100000</v>
      </c>
      <c r="BN85">
        <v>0</v>
      </c>
      <c r="BO85">
        <v>0</v>
      </c>
      <c r="BP85">
        <v>0</v>
      </c>
      <c r="BQ85">
        <v>0</v>
      </c>
      <c r="BR85">
        <v>320000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4</v>
      </c>
      <c r="CC85">
        <v>5</v>
      </c>
      <c r="CD85">
        <v>6</v>
      </c>
      <c r="CE85">
        <v>7</v>
      </c>
      <c r="CF85" s="17">
        <v>2.8368794326241136</v>
      </c>
      <c r="CG85" s="17">
        <v>3.5460992907801421</v>
      </c>
      <c r="CH85" s="17">
        <v>4.2553191489361701</v>
      </c>
      <c r="CI85" s="17">
        <v>4.9645390070921991</v>
      </c>
      <c r="CJ85" s="18">
        <v>1</v>
      </c>
      <c r="CK85" s="18">
        <v>1.25</v>
      </c>
      <c r="CL85" s="18">
        <v>1.5</v>
      </c>
      <c r="CM85" s="18">
        <v>1.75</v>
      </c>
      <c r="CN85" s="18">
        <v>0</v>
      </c>
      <c r="CO85" s="18">
        <v>0.70921985815602839</v>
      </c>
      <c r="CP85" s="18">
        <v>1.4184397163120568</v>
      </c>
      <c r="CQ85" s="18">
        <v>2.1276595744680851</v>
      </c>
      <c r="CR85" s="18">
        <f t="shared" si="20"/>
        <v>1.7555555555555555</v>
      </c>
      <c r="CS85" s="18">
        <f t="shared" si="21"/>
        <v>1.0031746031746032</v>
      </c>
      <c r="CT85">
        <v>0</v>
      </c>
      <c r="CU85">
        <v>84.397163120567399</v>
      </c>
      <c r="CV85">
        <v>15.6028368794326</v>
      </c>
      <c r="CW85">
        <v>0</v>
      </c>
      <c r="CX85">
        <v>0</v>
      </c>
      <c r="CY85">
        <v>0</v>
      </c>
      <c r="CZ85">
        <v>77.304964539007102</v>
      </c>
      <c r="DA85">
        <v>22.695035460992901</v>
      </c>
      <c r="DB85">
        <v>0</v>
      </c>
      <c r="DC85">
        <v>0</v>
      </c>
      <c r="DD85">
        <v>0</v>
      </c>
      <c r="DE85">
        <v>77.304964539007102</v>
      </c>
      <c r="DF85">
        <v>22.695035460992901</v>
      </c>
      <c r="DG85">
        <v>0</v>
      </c>
      <c r="DH85">
        <v>0</v>
      </c>
      <c r="DI85">
        <v>0</v>
      </c>
      <c r="DJ85">
        <v>77.304964539007102</v>
      </c>
      <c r="DK85">
        <v>22.695035460992901</v>
      </c>
      <c r="DL85">
        <v>0</v>
      </c>
      <c r="DM85">
        <v>0</v>
      </c>
      <c r="DN85">
        <v>0</v>
      </c>
      <c r="DO85">
        <v>77.304964539007102</v>
      </c>
      <c r="DP85">
        <v>22.695035460992901</v>
      </c>
      <c r="DQ85">
        <v>0</v>
      </c>
      <c r="DR85">
        <v>0</v>
      </c>
      <c r="DS85" t="s">
        <v>312</v>
      </c>
      <c r="DT85" t="s">
        <v>313</v>
      </c>
      <c r="DU85">
        <v>68</v>
      </c>
      <c r="DV85">
        <v>2196</v>
      </c>
      <c r="DW85" t="s">
        <v>269</v>
      </c>
      <c r="DX85">
        <v>18</v>
      </c>
      <c r="DY85">
        <v>0</v>
      </c>
      <c r="DZ85">
        <v>18</v>
      </c>
      <c r="EA85">
        <v>89789</v>
      </c>
      <c r="EB85">
        <v>0</v>
      </c>
      <c r="EC85">
        <v>89789</v>
      </c>
      <c r="ED85" t="s">
        <v>274</v>
      </c>
      <c r="EE85" t="s">
        <v>274</v>
      </c>
      <c r="EF85" t="s">
        <v>274</v>
      </c>
      <c r="EG85" t="s">
        <v>274</v>
      </c>
    </row>
    <row r="86" spans="1:137" ht="14.55" customHeight="1" x14ac:dyDescent="0.3">
      <c r="A86" t="s">
        <v>444</v>
      </c>
      <c r="B86">
        <v>2233</v>
      </c>
      <c r="C86" t="s">
        <v>445</v>
      </c>
      <c r="D86" t="s">
        <v>269</v>
      </c>
      <c r="E86" t="s">
        <v>269</v>
      </c>
      <c r="F86" t="s">
        <v>270</v>
      </c>
      <c r="G86" t="s">
        <v>406</v>
      </c>
      <c r="H86" s="3">
        <v>11967629.2327</v>
      </c>
      <c r="I86">
        <v>1193</v>
      </c>
      <c r="J86" s="3">
        <v>1196.7629232699999</v>
      </c>
      <c r="K86">
        <v>546</v>
      </c>
      <c r="L86">
        <v>752</v>
      </c>
      <c r="M86">
        <v>650.64911032028499</v>
      </c>
      <c r="N86">
        <v>39.040807157253802</v>
      </c>
      <c r="O86">
        <v>0</v>
      </c>
      <c r="P86">
        <v>39.355293273925803</v>
      </c>
      <c r="Q86">
        <v>7.8710460662841797</v>
      </c>
      <c r="R86">
        <v>5.9024491310119602</v>
      </c>
      <c r="S86" t="s">
        <v>272</v>
      </c>
      <c r="T86" t="s">
        <v>444</v>
      </c>
      <c r="U86" t="s">
        <v>445</v>
      </c>
      <c r="V86" t="s">
        <v>445</v>
      </c>
      <c r="W86" s="3">
        <v>2531</v>
      </c>
      <c r="X86" s="3">
        <v>11970000</v>
      </c>
      <c r="Y86">
        <v>2</v>
      </c>
      <c r="Z86" s="3">
        <v>1279</v>
      </c>
      <c r="AA86" s="3">
        <v>1425</v>
      </c>
      <c r="AB86" s="3">
        <v>1574</v>
      </c>
      <c r="AC86" s="3">
        <v>1982</v>
      </c>
      <c r="AD86" s="3">
        <v>2018</v>
      </c>
      <c r="AE86" s="3">
        <v>2125</v>
      </c>
      <c r="AF86" s="3">
        <v>2155</v>
      </c>
      <c r="AG86" s="3">
        <v>2202</v>
      </c>
      <c r="AH86" s="3">
        <v>2226</v>
      </c>
      <c r="AI86" s="3">
        <v>2268</v>
      </c>
      <c r="AJ86" s="3">
        <v>2367</v>
      </c>
      <c r="AK86" s="3">
        <v>2407</v>
      </c>
      <c r="AL86" s="3">
        <v>2415</v>
      </c>
      <c r="AM86" s="3">
        <v>2431</v>
      </c>
      <c r="AN86" s="3">
        <v>2513</v>
      </c>
      <c r="AO86" s="3">
        <v>2498</v>
      </c>
      <c r="AP86" s="3">
        <v>2531</v>
      </c>
      <c r="AR86" s="4">
        <f t="shared" si="17"/>
        <v>211.48716682201101</v>
      </c>
      <c r="AS86" s="5">
        <f t="shared" si="18"/>
        <v>1.4268960125097734</v>
      </c>
      <c r="AT86" s="5">
        <f t="shared" si="11"/>
        <v>1.161793372319688</v>
      </c>
      <c r="AU86" s="5">
        <f t="shared" si="12"/>
        <v>3.6912325285895808</v>
      </c>
      <c r="AV86" s="5">
        <f t="shared" si="13"/>
        <v>1.7447795823665895</v>
      </c>
      <c r="AW86" s="5">
        <f t="shared" si="14"/>
        <v>1.3567584969875361</v>
      </c>
      <c r="AX86" s="5">
        <f t="shared" si="15"/>
        <v>3.0400254129606097</v>
      </c>
      <c r="AY86" s="5">
        <f t="shared" si="16"/>
        <v>2.6456479935760622</v>
      </c>
      <c r="AZ86">
        <f t="shared" si="19"/>
        <v>11950000</v>
      </c>
      <c r="BA86">
        <v>0</v>
      </c>
      <c r="BB86">
        <v>750000</v>
      </c>
      <c r="BC86">
        <v>0</v>
      </c>
      <c r="BD86">
        <v>0</v>
      </c>
      <c r="BE86">
        <v>0</v>
      </c>
      <c r="BF86">
        <v>240000</v>
      </c>
      <c r="BG86">
        <v>200000</v>
      </c>
      <c r="BH86">
        <v>0</v>
      </c>
      <c r="BI86">
        <v>0</v>
      </c>
      <c r="BJ86">
        <v>6000000</v>
      </c>
      <c r="BK86">
        <v>0</v>
      </c>
      <c r="BL86">
        <v>0</v>
      </c>
      <c r="BM86">
        <v>0</v>
      </c>
      <c r="BN86">
        <v>0</v>
      </c>
      <c r="BO86">
        <v>930000</v>
      </c>
      <c r="BP86">
        <v>0</v>
      </c>
      <c r="BQ86">
        <v>0</v>
      </c>
      <c r="BR86">
        <v>3830000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136</v>
      </c>
      <c r="CC86">
        <v>157</v>
      </c>
      <c r="CD86">
        <v>187</v>
      </c>
      <c r="CE86">
        <v>202</v>
      </c>
      <c r="CF86" s="17">
        <v>11.399832355406538</v>
      </c>
      <c r="CG86" s="17">
        <v>13.160100586756077</v>
      </c>
      <c r="CH86" s="17">
        <v>15.674769488683991</v>
      </c>
      <c r="CI86" s="17">
        <v>16.932103939647945</v>
      </c>
      <c r="CJ86" s="18">
        <v>1</v>
      </c>
      <c r="CK86" s="18">
        <v>1.1544117647058822</v>
      </c>
      <c r="CL86" s="18">
        <v>1.375</v>
      </c>
      <c r="CM86" s="18">
        <v>1.4852941176470589</v>
      </c>
      <c r="CN86" s="18">
        <v>0</v>
      </c>
      <c r="CO86" s="18">
        <v>1.760268231349539</v>
      </c>
      <c r="CP86" s="18">
        <v>4.2749371332774517</v>
      </c>
      <c r="CQ86" s="18">
        <v>5.5322715842414087</v>
      </c>
      <c r="CR86" s="18">
        <f t="shared" si="20"/>
        <v>1.9007036747458952</v>
      </c>
      <c r="CS86" s="18">
        <f t="shared" si="21"/>
        <v>1.2796816820071373</v>
      </c>
      <c r="CT86">
        <v>3.8493723849372352</v>
      </c>
      <c r="CU86">
        <v>61.506276150627698</v>
      </c>
      <c r="CV86">
        <v>34.644351464435204</v>
      </c>
      <c r="CW86">
        <v>0</v>
      </c>
      <c r="CX86">
        <v>0</v>
      </c>
      <c r="CY86">
        <v>11.63179916317992</v>
      </c>
      <c r="CZ86">
        <v>55.732217573221803</v>
      </c>
      <c r="DA86">
        <v>32.635983263598298</v>
      </c>
      <c r="DB86">
        <v>0</v>
      </c>
      <c r="DC86">
        <v>0</v>
      </c>
      <c r="DD86">
        <v>11.63179916317992</v>
      </c>
      <c r="DE86">
        <v>55.732217573221803</v>
      </c>
      <c r="DF86">
        <v>32.635983263598298</v>
      </c>
      <c r="DG86">
        <v>0</v>
      </c>
      <c r="DH86">
        <v>0</v>
      </c>
      <c r="DI86">
        <v>9.9581589958159</v>
      </c>
      <c r="DJ86">
        <v>57.99163179916318</v>
      </c>
      <c r="DK86">
        <v>32.050209205020899</v>
      </c>
      <c r="DL86">
        <v>0</v>
      </c>
      <c r="DM86">
        <v>0</v>
      </c>
      <c r="DN86">
        <v>9.9581589958159</v>
      </c>
      <c r="DO86">
        <v>57.99163179916318</v>
      </c>
      <c r="DP86">
        <v>32.050209205020899</v>
      </c>
      <c r="DQ86">
        <v>0</v>
      </c>
      <c r="DR86">
        <v>0</v>
      </c>
      <c r="DS86" t="s">
        <v>312</v>
      </c>
      <c r="DT86" t="s">
        <v>313</v>
      </c>
      <c r="DU86">
        <v>2668</v>
      </c>
      <c r="DV86">
        <v>2196</v>
      </c>
      <c r="DW86" t="s">
        <v>269</v>
      </c>
      <c r="DX86">
        <v>18</v>
      </c>
      <c r="DY86">
        <v>0</v>
      </c>
      <c r="DZ86">
        <v>18</v>
      </c>
      <c r="EA86">
        <v>89789</v>
      </c>
      <c r="EB86">
        <v>0</v>
      </c>
      <c r="EC86">
        <v>89789</v>
      </c>
      <c r="ED86" t="s">
        <v>274</v>
      </c>
      <c r="EE86" t="s">
        <v>274</v>
      </c>
      <c r="EF86" t="s">
        <v>274</v>
      </c>
      <c r="EG86" t="s">
        <v>274</v>
      </c>
    </row>
    <row r="87" spans="1:137" ht="14.55" customHeight="1" x14ac:dyDescent="0.3">
      <c r="A87" t="s">
        <v>446</v>
      </c>
      <c r="B87">
        <v>2234</v>
      </c>
      <c r="C87" t="s">
        <v>447</v>
      </c>
      <c r="D87" t="s">
        <v>269</v>
      </c>
      <c r="E87" t="s">
        <v>269</v>
      </c>
      <c r="F87" t="s">
        <v>270</v>
      </c>
      <c r="G87" t="s">
        <v>406</v>
      </c>
      <c r="H87" s="3">
        <v>10303705.0592</v>
      </c>
      <c r="I87">
        <v>1036</v>
      </c>
      <c r="J87" s="3">
        <v>1030.3705059199999</v>
      </c>
      <c r="K87">
        <v>664</v>
      </c>
      <c r="L87">
        <v>780</v>
      </c>
      <c r="M87">
        <v>721.13232862774998</v>
      </c>
      <c r="N87">
        <v>23.8861702741432</v>
      </c>
      <c r="O87">
        <v>0</v>
      </c>
      <c r="P87">
        <v>22.951971054077202</v>
      </c>
      <c r="Q87">
        <v>5.58331346511841</v>
      </c>
      <c r="R87">
        <v>3.5096874237060498</v>
      </c>
      <c r="S87" t="s">
        <v>272</v>
      </c>
      <c r="T87" t="s">
        <v>446</v>
      </c>
      <c r="U87" t="s">
        <v>447</v>
      </c>
      <c r="V87" t="s">
        <v>447</v>
      </c>
      <c r="W87" s="3">
        <v>2052</v>
      </c>
      <c r="X87" s="3">
        <v>10310000</v>
      </c>
      <c r="Y87">
        <v>3</v>
      </c>
      <c r="Z87" s="3">
        <v>875</v>
      </c>
      <c r="AA87" s="3">
        <v>1049</v>
      </c>
      <c r="AB87" s="3">
        <v>1273</v>
      </c>
      <c r="AC87" s="3">
        <v>1534</v>
      </c>
      <c r="AD87" s="3">
        <v>1636</v>
      </c>
      <c r="AE87" s="3">
        <v>1672</v>
      </c>
      <c r="AF87" s="3">
        <v>1702</v>
      </c>
      <c r="AG87" s="3">
        <v>1750</v>
      </c>
      <c r="AH87" s="3">
        <v>1752</v>
      </c>
      <c r="AI87" s="3">
        <v>1777</v>
      </c>
      <c r="AJ87" s="3">
        <v>1805</v>
      </c>
      <c r="AK87" s="3">
        <v>1863</v>
      </c>
      <c r="AL87" s="3">
        <v>1898</v>
      </c>
      <c r="AM87" s="3">
        <v>1983</v>
      </c>
      <c r="AN87" s="3">
        <v>2028</v>
      </c>
      <c r="AO87" s="3">
        <v>2046</v>
      </c>
      <c r="AP87" s="3">
        <v>2052</v>
      </c>
      <c r="AR87" s="4">
        <f t="shared" si="17"/>
        <v>199.15166323281011</v>
      </c>
      <c r="AS87" s="5">
        <f t="shared" si="18"/>
        <v>2.4857142857142858</v>
      </c>
      <c r="AT87" s="5">
        <f t="shared" si="11"/>
        <v>2.3726300180065674</v>
      </c>
      <c r="AU87" s="5">
        <f t="shared" si="12"/>
        <v>3.3699921445404555</v>
      </c>
      <c r="AV87" s="5">
        <f t="shared" si="13"/>
        <v>2.0564042303172738</v>
      </c>
      <c r="AW87" s="5">
        <f t="shared" si="14"/>
        <v>2.6756302521008402</v>
      </c>
      <c r="AX87" s="5">
        <f t="shared" si="15"/>
        <v>3.0597014925373136</v>
      </c>
      <c r="AY87" s="5">
        <f t="shared" si="16"/>
        <v>3.6355212355212356</v>
      </c>
      <c r="AZ87">
        <f t="shared" si="19"/>
        <v>10350000</v>
      </c>
      <c r="BA87">
        <v>0</v>
      </c>
      <c r="BB87">
        <v>730000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7170000</v>
      </c>
      <c r="BK87">
        <v>0</v>
      </c>
      <c r="BL87">
        <v>0</v>
      </c>
      <c r="BM87">
        <v>400000</v>
      </c>
      <c r="BN87">
        <v>0</v>
      </c>
      <c r="BO87">
        <v>0</v>
      </c>
      <c r="BP87">
        <v>0</v>
      </c>
      <c r="BQ87">
        <v>0</v>
      </c>
      <c r="BR87">
        <v>1510000</v>
      </c>
      <c r="BS87">
        <v>0</v>
      </c>
      <c r="BT87">
        <v>0</v>
      </c>
      <c r="BU87">
        <v>540000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46</v>
      </c>
      <c r="CC87">
        <v>69</v>
      </c>
      <c r="CD87">
        <v>86</v>
      </c>
      <c r="CE87">
        <v>93</v>
      </c>
      <c r="CF87" s="17">
        <v>4.4747081712062258</v>
      </c>
      <c r="CG87" s="17">
        <v>6.7120622568093387</v>
      </c>
      <c r="CH87" s="17">
        <v>8.3657587548638119</v>
      </c>
      <c r="CI87" s="17">
        <v>9.0466926070038909</v>
      </c>
      <c r="CJ87" s="18">
        <v>1</v>
      </c>
      <c r="CK87" s="18">
        <v>1.5</v>
      </c>
      <c r="CL87" s="18">
        <v>1.8695652173913044</v>
      </c>
      <c r="CM87" s="18">
        <v>2.0217391304347827</v>
      </c>
      <c r="CN87" s="18">
        <v>0</v>
      </c>
      <c r="CO87" s="18">
        <v>2.2373540856031129</v>
      </c>
      <c r="CP87" s="18">
        <v>3.8910505836575875</v>
      </c>
      <c r="CQ87" s="18">
        <v>4.5719844357976651</v>
      </c>
      <c r="CR87" s="18">
        <f t="shared" si="20"/>
        <v>2.2662857142857145</v>
      </c>
      <c r="CS87" s="18">
        <f t="shared" si="21"/>
        <v>1.1209585253456222</v>
      </c>
      <c r="CT87">
        <v>1.3526570048309201</v>
      </c>
      <c r="CU87">
        <v>78.357487922705275</v>
      </c>
      <c r="CV87">
        <v>20.289855072463801</v>
      </c>
      <c r="CW87">
        <v>0</v>
      </c>
      <c r="CX87">
        <v>0</v>
      </c>
      <c r="CY87">
        <v>6.9565217391304399</v>
      </c>
      <c r="CZ87">
        <v>73.236714975845402</v>
      </c>
      <c r="DA87">
        <v>19.8067632850242</v>
      </c>
      <c r="DB87">
        <v>0</v>
      </c>
      <c r="DC87">
        <v>0</v>
      </c>
      <c r="DD87">
        <v>6.9565217391304399</v>
      </c>
      <c r="DE87">
        <v>73.913043478260903</v>
      </c>
      <c r="DF87">
        <v>19.130434782608699</v>
      </c>
      <c r="DG87">
        <v>0</v>
      </c>
      <c r="DH87">
        <v>0</v>
      </c>
      <c r="DI87">
        <v>7.0531400966183604</v>
      </c>
      <c r="DJ87">
        <v>73.140096618357518</v>
      </c>
      <c r="DK87">
        <v>19.806763285024129</v>
      </c>
      <c r="DL87">
        <v>0</v>
      </c>
      <c r="DM87">
        <v>0</v>
      </c>
      <c r="DN87">
        <v>7.0531400966183604</v>
      </c>
      <c r="DO87">
        <v>73.140096618357518</v>
      </c>
      <c r="DP87">
        <v>19.806763285024129</v>
      </c>
      <c r="DQ87">
        <v>0</v>
      </c>
      <c r="DR87">
        <v>0</v>
      </c>
      <c r="DS87" t="s">
        <v>273</v>
      </c>
      <c r="DT87" t="s">
        <v>273</v>
      </c>
      <c r="DU87" t="s">
        <v>273</v>
      </c>
      <c r="DV87" t="s">
        <v>273</v>
      </c>
      <c r="DW87" t="s">
        <v>273</v>
      </c>
      <c r="DX87" t="s">
        <v>273</v>
      </c>
      <c r="DY87" t="s">
        <v>273</v>
      </c>
      <c r="DZ87" t="s">
        <v>273</v>
      </c>
      <c r="EA87" t="s">
        <v>273</v>
      </c>
      <c r="EB87" t="s">
        <v>273</v>
      </c>
      <c r="EC87" t="s">
        <v>273</v>
      </c>
      <c r="ED87" t="s">
        <v>274</v>
      </c>
      <c r="EE87" t="s">
        <v>274</v>
      </c>
      <c r="EF87" t="s">
        <v>274</v>
      </c>
      <c r="EG87" t="s">
        <v>274</v>
      </c>
    </row>
    <row r="88" spans="1:137" ht="14.55" customHeight="1" x14ac:dyDescent="0.3">
      <c r="A88" t="s">
        <v>448</v>
      </c>
      <c r="B88">
        <v>2235</v>
      </c>
      <c r="C88" t="s">
        <v>449</v>
      </c>
      <c r="D88" t="s">
        <v>269</v>
      </c>
      <c r="E88" t="s">
        <v>269</v>
      </c>
      <c r="F88" t="s">
        <v>270</v>
      </c>
      <c r="G88" t="s">
        <v>406</v>
      </c>
      <c r="H88" s="3">
        <v>6958392.05112</v>
      </c>
      <c r="I88">
        <v>669</v>
      </c>
      <c r="J88" s="3">
        <v>665.17672628699995</v>
      </c>
      <c r="K88">
        <v>532</v>
      </c>
      <c r="L88">
        <v>717</v>
      </c>
      <c r="M88">
        <v>614.63121125651901</v>
      </c>
      <c r="N88">
        <v>47.9846126610149</v>
      </c>
      <c r="O88">
        <v>0</v>
      </c>
      <c r="P88">
        <v>35.525798797607401</v>
      </c>
      <c r="Q88">
        <v>7.54898881912231</v>
      </c>
      <c r="R88">
        <v>4.6329374313354501</v>
      </c>
      <c r="S88" t="s">
        <v>272</v>
      </c>
      <c r="T88" t="s">
        <v>448</v>
      </c>
      <c r="U88" t="s">
        <v>449</v>
      </c>
      <c r="V88" t="s">
        <v>449</v>
      </c>
      <c r="W88" s="3">
        <v>1173</v>
      </c>
      <c r="X88" s="3">
        <v>6960000</v>
      </c>
      <c r="Y88">
        <v>3</v>
      </c>
      <c r="Z88" s="3">
        <v>468</v>
      </c>
      <c r="AA88" s="3">
        <v>534</v>
      </c>
      <c r="AB88" s="3">
        <v>812</v>
      </c>
      <c r="AC88" s="3">
        <v>934</v>
      </c>
      <c r="AD88" s="3">
        <v>959</v>
      </c>
      <c r="AE88" s="3">
        <v>971</v>
      </c>
      <c r="AF88" s="3">
        <v>986</v>
      </c>
      <c r="AG88" s="3">
        <v>1011</v>
      </c>
      <c r="AH88" s="3">
        <v>1015</v>
      </c>
      <c r="AI88" s="3">
        <v>1002</v>
      </c>
      <c r="AJ88" s="3">
        <v>1030</v>
      </c>
      <c r="AK88" s="3">
        <v>1051</v>
      </c>
      <c r="AL88" s="3">
        <v>1078</v>
      </c>
      <c r="AM88" s="3">
        <v>1092</v>
      </c>
      <c r="AN88" s="3">
        <v>1129</v>
      </c>
      <c r="AO88" s="3">
        <v>1190</v>
      </c>
      <c r="AP88" s="3">
        <v>1173</v>
      </c>
      <c r="AR88" s="4">
        <f t="shared" si="17"/>
        <v>176.3441133227341</v>
      </c>
      <c r="AS88" s="5">
        <f t="shared" si="18"/>
        <v>1.7628205128205128</v>
      </c>
      <c r="AT88" s="5">
        <f t="shared" si="11"/>
        <v>5.7844361215147737</v>
      </c>
      <c r="AU88" s="5">
        <f t="shared" si="12"/>
        <v>2.1428571428571428</v>
      </c>
      <c r="AV88" s="5">
        <f t="shared" si="13"/>
        <v>1.896551724137931</v>
      </c>
      <c r="AW88" s="5">
        <f t="shared" si="14"/>
        <v>4.3237807943690303</v>
      </c>
      <c r="AX88" s="5">
        <f t="shared" si="15"/>
        <v>2.2229064039408866</v>
      </c>
      <c r="AY88" s="5">
        <f t="shared" si="16"/>
        <v>4.071379071379071</v>
      </c>
      <c r="AZ88">
        <f t="shared" si="19"/>
        <v>6670000</v>
      </c>
      <c r="BA88">
        <v>0</v>
      </c>
      <c r="BB88">
        <v>110000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3940000</v>
      </c>
      <c r="BK88">
        <v>0</v>
      </c>
      <c r="BL88">
        <v>0</v>
      </c>
      <c r="BM88">
        <v>1170000</v>
      </c>
      <c r="BN88">
        <v>0</v>
      </c>
      <c r="BO88">
        <v>0</v>
      </c>
      <c r="BP88">
        <v>290000</v>
      </c>
      <c r="BQ88">
        <v>0</v>
      </c>
      <c r="BR88">
        <v>1150000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10000</v>
      </c>
      <c r="CB88">
        <v>38</v>
      </c>
      <c r="CC88">
        <v>41</v>
      </c>
      <c r="CD88">
        <v>52</v>
      </c>
      <c r="CE88">
        <v>61</v>
      </c>
      <c r="CF88" s="17">
        <v>5.4834054834054831</v>
      </c>
      <c r="CG88" s="17">
        <v>5.916305916305916</v>
      </c>
      <c r="CH88" s="17">
        <v>7.5036075036075038</v>
      </c>
      <c r="CI88" s="17">
        <v>8.8023088023088025</v>
      </c>
      <c r="CJ88" s="18">
        <v>1</v>
      </c>
      <c r="CK88" s="18">
        <v>1.0789473684210527</v>
      </c>
      <c r="CL88" s="18">
        <v>1.368421052631579</v>
      </c>
      <c r="CM88" s="18">
        <v>1.6052631578947369</v>
      </c>
      <c r="CN88" s="18">
        <v>0</v>
      </c>
      <c r="CO88" s="18">
        <v>0.4329004329004329</v>
      </c>
      <c r="CP88" s="18">
        <v>2.0202020202020203</v>
      </c>
      <c r="CQ88" s="18">
        <v>3.318903318903319</v>
      </c>
      <c r="CR88" s="18">
        <f t="shared" si="20"/>
        <v>2.3333333333333335</v>
      </c>
      <c r="CS88" s="18">
        <f t="shared" si="21"/>
        <v>1.4535519125683061</v>
      </c>
      <c r="CT88">
        <v>1.3493253373313301</v>
      </c>
      <c r="CU88">
        <v>78.710644677661207</v>
      </c>
      <c r="CV88">
        <v>18.590704647676201</v>
      </c>
      <c r="CW88">
        <v>0</v>
      </c>
      <c r="CX88">
        <v>1.3493253373313301</v>
      </c>
      <c r="CY88">
        <v>1.0494752623688199</v>
      </c>
      <c r="CZ88">
        <v>78.110944527736095</v>
      </c>
      <c r="DA88">
        <v>20.689655172413801</v>
      </c>
      <c r="DB88">
        <v>0</v>
      </c>
      <c r="DC88">
        <v>0.14992503748125899</v>
      </c>
      <c r="DD88">
        <v>1.0494752623688199</v>
      </c>
      <c r="DE88">
        <v>78.110944527736095</v>
      </c>
      <c r="DF88">
        <v>20.689655172413801</v>
      </c>
      <c r="DG88">
        <v>0</v>
      </c>
      <c r="DH88">
        <v>0.14992503748125899</v>
      </c>
      <c r="DI88">
        <v>1.64917541229385</v>
      </c>
      <c r="DJ88">
        <v>76.611694152923505</v>
      </c>
      <c r="DK88">
        <v>21.589205397301399</v>
      </c>
      <c r="DL88">
        <v>0</v>
      </c>
      <c r="DM88">
        <v>0.14992503748125899</v>
      </c>
      <c r="DN88">
        <v>1.64917541229385</v>
      </c>
      <c r="DO88">
        <v>76.611694152923505</v>
      </c>
      <c r="DP88">
        <v>21.589205397301399</v>
      </c>
      <c r="DQ88">
        <v>0</v>
      </c>
      <c r="DR88">
        <v>0.14992503748125899</v>
      </c>
      <c r="DS88" t="s">
        <v>312</v>
      </c>
      <c r="DT88" t="s">
        <v>313</v>
      </c>
      <c r="DU88">
        <v>1381</v>
      </c>
      <c r="DV88">
        <v>2196</v>
      </c>
      <c r="DW88" t="s">
        <v>269</v>
      </c>
      <c r="DX88">
        <v>18</v>
      </c>
      <c r="DY88">
        <v>0</v>
      </c>
      <c r="DZ88">
        <v>18</v>
      </c>
      <c r="EA88">
        <v>89789</v>
      </c>
      <c r="EB88">
        <v>0</v>
      </c>
      <c r="EC88">
        <v>89789</v>
      </c>
      <c r="ED88" t="s">
        <v>274</v>
      </c>
      <c r="EE88" t="s">
        <v>274</v>
      </c>
      <c r="EF88" t="s">
        <v>274</v>
      </c>
      <c r="EG88" t="s">
        <v>274</v>
      </c>
    </row>
    <row r="89" spans="1:137" ht="14.55" customHeight="1" x14ac:dyDescent="0.3">
      <c r="A89" t="s">
        <v>450</v>
      </c>
      <c r="B89">
        <v>2236</v>
      </c>
      <c r="C89" t="s">
        <v>451</v>
      </c>
      <c r="D89" t="s">
        <v>269</v>
      </c>
      <c r="E89" t="s">
        <v>269</v>
      </c>
      <c r="F89" t="s">
        <v>270</v>
      </c>
      <c r="G89" t="s">
        <v>406</v>
      </c>
      <c r="H89" s="3">
        <v>36269175.514200002</v>
      </c>
      <c r="I89">
        <v>3604</v>
      </c>
      <c r="J89" s="3">
        <v>3606.0807756099998</v>
      </c>
      <c r="K89">
        <v>582</v>
      </c>
      <c r="L89">
        <v>1201</v>
      </c>
      <c r="M89">
        <v>752.10931306593</v>
      </c>
      <c r="N89">
        <v>103.141226484065</v>
      </c>
      <c r="O89">
        <v>0</v>
      </c>
      <c r="P89">
        <v>49.828521728515597</v>
      </c>
      <c r="Q89">
        <v>7.9710936546325701</v>
      </c>
      <c r="R89">
        <v>6.0283446311950701</v>
      </c>
      <c r="S89" t="s">
        <v>272</v>
      </c>
      <c r="T89" t="s">
        <v>450</v>
      </c>
      <c r="U89" t="s">
        <v>451</v>
      </c>
      <c r="V89" t="s">
        <v>451</v>
      </c>
      <c r="W89" s="3">
        <v>7606</v>
      </c>
      <c r="X89" s="3">
        <v>36060000</v>
      </c>
      <c r="Y89">
        <v>3</v>
      </c>
      <c r="Z89" s="3">
        <v>3338</v>
      </c>
      <c r="AA89" s="3">
        <v>3931</v>
      </c>
      <c r="AB89" s="3">
        <v>5270</v>
      </c>
      <c r="AC89" s="3">
        <v>5907</v>
      </c>
      <c r="AD89" s="3">
        <v>6054</v>
      </c>
      <c r="AE89" s="3">
        <v>6235</v>
      </c>
      <c r="AF89" s="3">
        <v>6345</v>
      </c>
      <c r="AG89" s="3">
        <v>6434</v>
      </c>
      <c r="AH89" s="3">
        <v>6578</v>
      </c>
      <c r="AI89" s="3">
        <v>6736</v>
      </c>
      <c r="AJ89" s="3">
        <v>6899</v>
      </c>
      <c r="AK89" s="3">
        <v>7025</v>
      </c>
      <c r="AL89" s="3">
        <v>7139</v>
      </c>
      <c r="AM89" s="3">
        <v>7236</v>
      </c>
      <c r="AN89" s="3">
        <v>7306</v>
      </c>
      <c r="AO89" s="3">
        <v>7448</v>
      </c>
      <c r="AP89" s="3">
        <v>7606</v>
      </c>
      <c r="AR89" s="4">
        <f t="shared" si="17"/>
        <v>210.92150934176951</v>
      </c>
      <c r="AS89" s="5">
        <f t="shared" si="18"/>
        <v>2.2206411024565611</v>
      </c>
      <c r="AT89" s="5">
        <f t="shared" si="11"/>
        <v>3.7847310551457083</v>
      </c>
      <c r="AU89" s="5">
        <f t="shared" si="12"/>
        <v>2.0398481973434532</v>
      </c>
      <c r="AV89" s="5">
        <f t="shared" si="13"/>
        <v>1.9873916469661153</v>
      </c>
      <c r="AW89" s="5">
        <f t="shared" si="14"/>
        <v>3.404645261340006</v>
      </c>
      <c r="AX89" s="5">
        <f t="shared" si="15"/>
        <v>2.2163187855787476</v>
      </c>
      <c r="AY89" s="5">
        <f t="shared" si="16"/>
        <v>3.4557025569607958</v>
      </c>
      <c r="AZ89">
        <f t="shared" si="19"/>
        <v>36020000</v>
      </c>
      <c r="BA89">
        <v>0</v>
      </c>
      <c r="BB89">
        <v>3260000</v>
      </c>
      <c r="BC89">
        <v>0</v>
      </c>
      <c r="BD89">
        <v>0</v>
      </c>
      <c r="BE89">
        <v>0</v>
      </c>
      <c r="BF89">
        <v>0</v>
      </c>
      <c r="BG89">
        <v>360000</v>
      </c>
      <c r="BH89">
        <v>0</v>
      </c>
      <c r="BI89">
        <v>0</v>
      </c>
      <c r="BJ89">
        <v>23190000</v>
      </c>
      <c r="BK89">
        <v>0</v>
      </c>
      <c r="BL89">
        <v>0</v>
      </c>
      <c r="BM89">
        <v>930000</v>
      </c>
      <c r="BN89">
        <v>0</v>
      </c>
      <c r="BO89">
        <v>0</v>
      </c>
      <c r="BP89">
        <v>0</v>
      </c>
      <c r="BQ89">
        <v>4150000</v>
      </c>
      <c r="BR89">
        <v>3840000</v>
      </c>
      <c r="BS89">
        <v>0</v>
      </c>
      <c r="BT89">
        <v>0</v>
      </c>
      <c r="BU89">
        <v>270000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20000</v>
      </c>
      <c r="CB89">
        <v>303</v>
      </c>
      <c r="CC89">
        <v>379</v>
      </c>
      <c r="CD89">
        <v>416</v>
      </c>
      <c r="CE89">
        <v>471</v>
      </c>
      <c r="CF89" s="17">
        <v>8.3863825076114029</v>
      </c>
      <c r="CG89" s="17">
        <v>10.489897592028786</v>
      </c>
      <c r="CH89" s="17">
        <v>11.513977304179353</v>
      </c>
      <c r="CI89" s="17">
        <v>13.03625795737614</v>
      </c>
      <c r="CJ89" s="18">
        <v>1</v>
      </c>
      <c r="CK89" s="18">
        <v>1.2508250825082508</v>
      </c>
      <c r="CL89" s="18">
        <v>1.3729372937293729</v>
      </c>
      <c r="CM89" s="18">
        <v>1.5544554455445545</v>
      </c>
      <c r="CN89" s="18">
        <v>0</v>
      </c>
      <c r="CO89" s="18">
        <v>2.1035150844173818</v>
      </c>
      <c r="CP89" s="18">
        <v>3.1275947965679491</v>
      </c>
      <c r="CQ89" s="18">
        <v>4.6498754497647381</v>
      </c>
      <c r="CR89" s="18">
        <f t="shared" si="20"/>
        <v>2.1677651288196524</v>
      </c>
      <c r="CS89" s="18">
        <f t="shared" si="21"/>
        <v>1.3945495414699673</v>
      </c>
      <c r="CT89">
        <v>4.0533037201554745</v>
      </c>
      <c r="CU89">
        <v>71.432537479178194</v>
      </c>
      <c r="CV89">
        <v>24.375347029428148</v>
      </c>
      <c r="CW89">
        <v>0</v>
      </c>
      <c r="CX89">
        <v>0.13881177123820099</v>
      </c>
      <c r="CY89">
        <v>6.3298167684619617</v>
      </c>
      <c r="CZ89">
        <v>71.043864519711263</v>
      </c>
      <c r="DA89">
        <v>22.5707940033315</v>
      </c>
      <c r="DB89">
        <v>0</v>
      </c>
      <c r="DC89">
        <v>5.5524708495280399E-2</v>
      </c>
      <c r="DD89">
        <v>6.3298167684619617</v>
      </c>
      <c r="DE89">
        <v>71.043864519711263</v>
      </c>
      <c r="DF89">
        <v>22.5707940033315</v>
      </c>
      <c r="DG89">
        <v>0</v>
      </c>
      <c r="DH89">
        <v>5.5524708495280399E-2</v>
      </c>
      <c r="DI89">
        <v>9.1893392559689104</v>
      </c>
      <c r="DJ89">
        <v>67.684619655746843</v>
      </c>
      <c r="DK89">
        <v>23.070516379788987</v>
      </c>
      <c r="DL89">
        <v>0</v>
      </c>
      <c r="DM89">
        <v>5.5524708495280399E-2</v>
      </c>
      <c r="DN89">
        <v>10.049972237645756</v>
      </c>
      <c r="DO89">
        <v>66.962798445308138</v>
      </c>
      <c r="DP89">
        <v>22.931704608550785</v>
      </c>
      <c r="DQ89">
        <v>0</v>
      </c>
      <c r="DR89">
        <v>5.5524708495280399E-2</v>
      </c>
      <c r="DS89" t="s">
        <v>355</v>
      </c>
      <c r="DT89">
        <v>0</v>
      </c>
      <c r="DU89">
        <v>7934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 t="s">
        <v>274</v>
      </c>
      <c r="EE89" t="s">
        <v>274</v>
      </c>
      <c r="EF89" t="s">
        <v>274</v>
      </c>
      <c r="EG89" t="s">
        <v>274</v>
      </c>
    </row>
    <row r="90" spans="1:137" ht="14.55" customHeight="1" x14ac:dyDescent="0.3">
      <c r="A90" t="s">
        <v>452</v>
      </c>
      <c r="B90">
        <v>2237</v>
      </c>
      <c r="C90" t="s">
        <v>453</v>
      </c>
      <c r="D90" t="s">
        <v>269</v>
      </c>
      <c r="E90" t="s">
        <v>269</v>
      </c>
      <c r="F90" t="s">
        <v>270</v>
      </c>
      <c r="G90" t="s">
        <v>406</v>
      </c>
      <c r="H90" s="3">
        <v>16047127.430400001</v>
      </c>
      <c r="I90">
        <v>1604</v>
      </c>
      <c r="J90" s="3">
        <v>1604.7127430400001</v>
      </c>
      <c r="K90">
        <v>545</v>
      </c>
      <c r="L90">
        <v>754</v>
      </c>
      <c r="M90">
        <v>651.24684861094102</v>
      </c>
      <c r="N90">
        <v>36.079787181764701</v>
      </c>
      <c r="O90">
        <v>0</v>
      </c>
      <c r="P90">
        <v>43.162269592285199</v>
      </c>
      <c r="Q90">
        <v>6.5264105796814</v>
      </c>
      <c r="R90">
        <v>5.0422744750976598</v>
      </c>
      <c r="S90" t="s">
        <v>272</v>
      </c>
      <c r="T90" t="s">
        <v>452</v>
      </c>
      <c r="U90" t="s">
        <v>453</v>
      </c>
      <c r="V90" t="s">
        <v>453</v>
      </c>
      <c r="W90" s="3">
        <v>2246</v>
      </c>
      <c r="X90" s="3">
        <v>16050000</v>
      </c>
      <c r="Y90">
        <v>3</v>
      </c>
      <c r="Z90" s="3">
        <v>1137</v>
      </c>
      <c r="AA90" s="3">
        <v>1286</v>
      </c>
      <c r="AB90" s="3">
        <v>1539</v>
      </c>
      <c r="AC90" s="3">
        <v>1672</v>
      </c>
      <c r="AD90" s="3">
        <v>1665</v>
      </c>
      <c r="AE90" s="3">
        <v>1693</v>
      </c>
      <c r="AF90" s="3">
        <v>1707</v>
      </c>
      <c r="AG90" s="3">
        <v>1787</v>
      </c>
      <c r="AH90" s="3">
        <v>1840</v>
      </c>
      <c r="AI90" s="3">
        <v>1918</v>
      </c>
      <c r="AJ90" s="3">
        <v>1969</v>
      </c>
      <c r="AK90" s="3">
        <v>1981</v>
      </c>
      <c r="AL90" s="3">
        <v>2043</v>
      </c>
      <c r="AM90" s="3">
        <v>2104</v>
      </c>
      <c r="AN90" s="3">
        <v>2226</v>
      </c>
      <c r="AO90" s="3">
        <v>2236</v>
      </c>
      <c r="AP90" s="3">
        <v>2246</v>
      </c>
      <c r="AR90" s="4">
        <f t="shared" si="17"/>
        <v>139.96274471810653</v>
      </c>
      <c r="AS90" s="5">
        <f t="shared" si="18"/>
        <v>1.6380826737027263</v>
      </c>
      <c r="AT90" s="5">
        <f t="shared" si="11"/>
        <v>2.1859339899775359</v>
      </c>
      <c r="AU90" s="5">
        <f t="shared" si="12"/>
        <v>1.0916179337231968</v>
      </c>
      <c r="AV90" s="5">
        <f t="shared" si="13"/>
        <v>3.1575864089045105</v>
      </c>
      <c r="AW90" s="5">
        <f t="shared" si="14"/>
        <v>2.0797765016296754</v>
      </c>
      <c r="AX90" s="5">
        <f t="shared" si="15"/>
        <v>2.2969460688758931</v>
      </c>
      <c r="AY90" s="5">
        <f t="shared" si="16"/>
        <v>2.6361453802087045</v>
      </c>
      <c r="AZ90">
        <f t="shared" si="19"/>
        <v>16070000</v>
      </c>
      <c r="BA90">
        <v>0</v>
      </c>
      <c r="BB90">
        <v>1040000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7650000</v>
      </c>
      <c r="BK90">
        <v>0</v>
      </c>
      <c r="BL90">
        <v>0</v>
      </c>
      <c r="BM90">
        <v>3790000</v>
      </c>
      <c r="BN90">
        <v>0</v>
      </c>
      <c r="BO90">
        <v>0</v>
      </c>
      <c r="BP90">
        <v>320000</v>
      </c>
      <c r="BQ90">
        <v>0</v>
      </c>
      <c r="BR90">
        <v>2350000</v>
      </c>
      <c r="BS90">
        <v>0</v>
      </c>
      <c r="BT90">
        <v>0</v>
      </c>
      <c r="BU90">
        <v>920000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78</v>
      </c>
      <c r="CC90">
        <v>96</v>
      </c>
      <c r="CD90">
        <v>111</v>
      </c>
      <c r="CE90">
        <v>128</v>
      </c>
      <c r="CF90" s="17">
        <v>4.8628428927680796</v>
      </c>
      <c r="CG90" s="17">
        <v>5.9850374064837908</v>
      </c>
      <c r="CH90" s="17">
        <v>6.9201995012468833</v>
      </c>
      <c r="CI90" s="17">
        <v>7.9800498753117202</v>
      </c>
      <c r="CJ90" s="18">
        <v>1</v>
      </c>
      <c r="CK90" s="18">
        <v>1.2307692307692308</v>
      </c>
      <c r="CL90" s="18">
        <v>1.4230769230769231</v>
      </c>
      <c r="CM90" s="18">
        <v>1.641025641025641</v>
      </c>
      <c r="CN90" s="18">
        <v>0</v>
      </c>
      <c r="CO90" s="18">
        <v>1.1221945137157108</v>
      </c>
      <c r="CP90" s="18">
        <v>2.0573566084788029</v>
      </c>
      <c r="CQ90" s="18">
        <v>3.117206982543641</v>
      </c>
      <c r="CR90" s="18">
        <f t="shared" si="20"/>
        <v>1.8504837291116973</v>
      </c>
      <c r="CS90" s="18">
        <f t="shared" si="21"/>
        <v>1.1276385224274406</v>
      </c>
      <c r="CT90">
        <v>0.87118855009334195</v>
      </c>
      <c r="CU90">
        <v>75.171126322339845</v>
      </c>
      <c r="CV90">
        <v>23.397635345364002</v>
      </c>
      <c r="CW90">
        <v>0</v>
      </c>
      <c r="CX90">
        <v>0.56004978220286294</v>
      </c>
      <c r="CY90">
        <v>6.0360920970752998</v>
      </c>
      <c r="CZ90">
        <v>71.561916614810201</v>
      </c>
      <c r="DA90">
        <v>22.40199128811452</v>
      </c>
      <c r="DB90">
        <v>0</v>
      </c>
      <c r="DC90">
        <v>0</v>
      </c>
      <c r="DD90">
        <v>6.0360920970752998</v>
      </c>
      <c r="DE90">
        <v>72.184194150591196</v>
      </c>
      <c r="DF90">
        <v>21.779713752333517</v>
      </c>
      <c r="DG90">
        <v>0</v>
      </c>
      <c r="DH90">
        <v>0</v>
      </c>
      <c r="DI90">
        <v>6.4716863721219697</v>
      </c>
      <c r="DJ90">
        <v>71.188550093341604</v>
      </c>
      <c r="DK90">
        <v>22.33976353453642</v>
      </c>
      <c r="DL90">
        <v>0</v>
      </c>
      <c r="DM90">
        <v>0</v>
      </c>
      <c r="DN90">
        <v>6.4716863721219697</v>
      </c>
      <c r="DO90">
        <v>71.188550093341604</v>
      </c>
      <c r="DP90">
        <v>22.33976353453642</v>
      </c>
      <c r="DQ90">
        <v>0</v>
      </c>
      <c r="DR90">
        <v>0</v>
      </c>
      <c r="DS90" t="s">
        <v>273</v>
      </c>
      <c r="DT90" t="s">
        <v>273</v>
      </c>
      <c r="DU90" t="s">
        <v>273</v>
      </c>
      <c r="DV90" t="s">
        <v>273</v>
      </c>
      <c r="DW90" t="s">
        <v>273</v>
      </c>
      <c r="DX90" t="s">
        <v>273</v>
      </c>
      <c r="DY90" t="s">
        <v>273</v>
      </c>
      <c r="DZ90" t="s">
        <v>273</v>
      </c>
      <c r="EA90" t="s">
        <v>273</v>
      </c>
      <c r="EB90" t="s">
        <v>273</v>
      </c>
      <c r="EC90" t="s">
        <v>273</v>
      </c>
      <c r="ED90" t="s">
        <v>274</v>
      </c>
      <c r="EE90" t="s">
        <v>274</v>
      </c>
      <c r="EF90" t="s">
        <v>274</v>
      </c>
      <c r="EG90" t="s">
        <v>274</v>
      </c>
    </row>
    <row r="91" spans="1:137" ht="14.55" customHeight="1" x14ac:dyDescent="0.3">
      <c r="A91" t="s">
        <v>454</v>
      </c>
      <c r="B91">
        <v>2238</v>
      </c>
      <c r="C91" t="s">
        <v>455</v>
      </c>
      <c r="D91" t="s">
        <v>269</v>
      </c>
      <c r="E91" t="s">
        <v>269</v>
      </c>
      <c r="F91" t="s">
        <v>270</v>
      </c>
      <c r="G91" t="s">
        <v>406</v>
      </c>
      <c r="H91" s="3">
        <v>12283742.9936</v>
      </c>
      <c r="I91">
        <v>1230</v>
      </c>
      <c r="J91" s="3">
        <v>1228.3742993599999</v>
      </c>
      <c r="K91">
        <v>556</v>
      </c>
      <c r="L91">
        <v>883</v>
      </c>
      <c r="M91">
        <v>705.49957310565696</v>
      </c>
      <c r="N91">
        <v>59.172094487968799</v>
      </c>
      <c r="O91">
        <v>0</v>
      </c>
      <c r="P91">
        <v>45.246543884277301</v>
      </c>
      <c r="Q91">
        <v>8.5768241882324201</v>
      </c>
      <c r="R91">
        <v>6.5198178291320801</v>
      </c>
      <c r="S91" t="s">
        <v>272</v>
      </c>
      <c r="T91" t="s">
        <v>454</v>
      </c>
      <c r="U91" t="s">
        <v>455</v>
      </c>
      <c r="V91" t="s">
        <v>455</v>
      </c>
      <c r="W91" s="3">
        <v>2273</v>
      </c>
      <c r="X91" s="3">
        <v>12280000</v>
      </c>
      <c r="Y91">
        <v>3</v>
      </c>
      <c r="Z91" s="3">
        <v>1315</v>
      </c>
      <c r="AA91" s="3">
        <v>1563</v>
      </c>
      <c r="AB91" s="3">
        <v>1786</v>
      </c>
      <c r="AC91" s="3">
        <v>1861</v>
      </c>
      <c r="AD91" s="3">
        <v>1884</v>
      </c>
      <c r="AE91" s="3">
        <v>1925</v>
      </c>
      <c r="AF91" s="3">
        <v>1931</v>
      </c>
      <c r="AG91" s="3">
        <v>1913</v>
      </c>
      <c r="AH91" s="3">
        <v>1969</v>
      </c>
      <c r="AI91" s="3">
        <v>1996</v>
      </c>
      <c r="AJ91" s="3">
        <v>2035</v>
      </c>
      <c r="AK91" s="3">
        <v>2059</v>
      </c>
      <c r="AL91" s="3">
        <v>2132</v>
      </c>
      <c r="AM91" s="3">
        <v>2187</v>
      </c>
      <c r="AN91" s="3">
        <v>2185</v>
      </c>
      <c r="AO91" s="3">
        <v>2198</v>
      </c>
      <c r="AP91" s="3">
        <v>2273</v>
      </c>
      <c r="AR91" s="4">
        <f t="shared" si="17"/>
        <v>185.04131852842124</v>
      </c>
      <c r="AS91" s="5">
        <f t="shared" si="18"/>
        <v>2.3574144486692017</v>
      </c>
      <c r="AT91" s="5">
        <f t="shared" si="11"/>
        <v>1.5852704912205873</v>
      </c>
      <c r="AU91" s="5">
        <f t="shared" si="12"/>
        <v>0.81187010078387456</v>
      </c>
      <c r="AV91" s="5">
        <f t="shared" si="13"/>
        <v>1.771103055411704</v>
      </c>
      <c r="AW91" s="5">
        <f t="shared" si="14"/>
        <v>2.1069112055468575</v>
      </c>
      <c r="AX91" s="5">
        <f t="shared" si="15"/>
        <v>1.3633818589025757</v>
      </c>
      <c r="AY91" s="5">
        <f t="shared" si="16"/>
        <v>1.9689651628815128</v>
      </c>
      <c r="AZ91">
        <f t="shared" si="19"/>
        <v>12270000</v>
      </c>
      <c r="BA91">
        <v>0</v>
      </c>
      <c r="BB91">
        <v>780000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3370000</v>
      </c>
      <c r="BK91">
        <v>0</v>
      </c>
      <c r="BL91">
        <v>0</v>
      </c>
      <c r="BM91">
        <v>4950000</v>
      </c>
      <c r="BN91">
        <v>0</v>
      </c>
      <c r="BO91">
        <v>0</v>
      </c>
      <c r="BP91">
        <v>360000</v>
      </c>
      <c r="BQ91">
        <v>490000</v>
      </c>
      <c r="BR91">
        <v>2080000</v>
      </c>
      <c r="BS91">
        <v>0</v>
      </c>
      <c r="BT91">
        <v>0</v>
      </c>
      <c r="BU91">
        <v>240000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95</v>
      </c>
      <c r="CC91">
        <v>112</v>
      </c>
      <c r="CD91">
        <v>117</v>
      </c>
      <c r="CE91">
        <v>117</v>
      </c>
      <c r="CF91" s="17">
        <v>7.7677841373671299</v>
      </c>
      <c r="CG91" s="17">
        <v>9.1578086672117731</v>
      </c>
      <c r="CH91" s="17">
        <v>9.5666394112837274</v>
      </c>
      <c r="CI91" s="17">
        <v>9.5666394112837274</v>
      </c>
      <c r="CJ91" s="18">
        <v>1</v>
      </c>
      <c r="CK91" s="18">
        <v>1.1789473684210525</v>
      </c>
      <c r="CL91" s="18">
        <v>1.2315789473684211</v>
      </c>
      <c r="CM91" s="18">
        <v>1.2315789473684211</v>
      </c>
      <c r="CN91" s="18">
        <v>0</v>
      </c>
      <c r="CO91" s="18">
        <v>1.3900245298446443</v>
      </c>
      <c r="CP91" s="18">
        <v>1.7988552739165986</v>
      </c>
      <c r="CQ91" s="18">
        <v>1.7988552739165986</v>
      </c>
      <c r="CR91" s="18">
        <f t="shared" si="20"/>
        <v>1.6631178707224334</v>
      </c>
      <c r="CS91" s="18">
        <f t="shared" si="21"/>
        <v>1.350394852295993</v>
      </c>
      <c r="CT91">
        <v>3.0944625407166142</v>
      </c>
      <c r="CU91">
        <v>69.788273615635205</v>
      </c>
      <c r="CV91">
        <v>27.1172638436482</v>
      </c>
      <c r="CW91">
        <v>0</v>
      </c>
      <c r="CX91">
        <v>0</v>
      </c>
      <c r="CY91">
        <v>6.35179153094463</v>
      </c>
      <c r="CZ91">
        <v>67.752442996742715</v>
      </c>
      <c r="DA91">
        <v>25.895765472312704</v>
      </c>
      <c r="DB91">
        <v>0</v>
      </c>
      <c r="DC91">
        <v>0</v>
      </c>
      <c r="DD91">
        <v>6.35179153094463</v>
      </c>
      <c r="DE91">
        <v>67.752442996742715</v>
      </c>
      <c r="DF91">
        <v>25.8957654723127</v>
      </c>
      <c r="DG91">
        <v>0</v>
      </c>
      <c r="DH91">
        <v>0</v>
      </c>
      <c r="DI91">
        <v>6.35179153094463</v>
      </c>
      <c r="DJ91">
        <v>67.8338762214984</v>
      </c>
      <c r="DK91">
        <v>25.814332247557008</v>
      </c>
      <c r="DL91">
        <v>0</v>
      </c>
      <c r="DM91">
        <v>0</v>
      </c>
      <c r="DN91">
        <v>6.35179153094463</v>
      </c>
      <c r="DO91">
        <v>67.8338762214984</v>
      </c>
      <c r="DP91">
        <v>25.814332247557008</v>
      </c>
      <c r="DQ91">
        <v>0</v>
      </c>
      <c r="DR91">
        <v>0</v>
      </c>
      <c r="DS91" t="s">
        <v>273</v>
      </c>
      <c r="DT91" t="s">
        <v>273</v>
      </c>
      <c r="DU91" t="s">
        <v>273</v>
      </c>
      <c r="DV91" t="s">
        <v>273</v>
      </c>
      <c r="DW91" t="s">
        <v>273</v>
      </c>
      <c r="DX91" t="s">
        <v>273</v>
      </c>
      <c r="DY91" t="s">
        <v>273</v>
      </c>
      <c r="DZ91" t="s">
        <v>273</v>
      </c>
      <c r="EA91" t="s">
        <v>273</v>
      </c>
      <c r="EB91" t="s">
        <v>273</v>
      </c>
      <c r="EC91" t="s">
        <v>273</v>
      </c>
      <c r="ED91" t="s">
        <v>274</v>
      </c>
      <c r="EE91" t="s">
        <v>274</v>
      </c>
      <c r="EF91" t="s">
        <v>274</v>
      </c>
      <c r="EG91" t="s">
        <v>274</v>
      </c>
    </row>
    <row r="92" spans="1:137" ht="14.55" customHeight="1" x14ac:dyDescent="0.3">
      <c r="A92" t="s">
        <v>456</v>
      </c>
      <c r="B92">
        <v>2250</v>
      </c>
      <c r="C92" t="s">
        <v>457</v>
      </c>
      <c r="D92" t="s">
        <v>269</v>
      </c>
      <c r="E92" t="s">
        <v>269</v>
      </c>
      <c r="F92" t="s">
        <v>270</v>
      </c>
      <c r="G92" t="s">
        <v>458</v>
      </c>
      <c r="H92" s="3">
        <v>3383744.39219</v>
      </c>
      <c r="I92">
        <v>336</v>
      </c>
      <c r="J92" s="3">
        <v>338.37443921900001</v>
      </c>
      <c r="K92">
        <v>434</v>
      </c>
      <c r="L92">
        <v>579</v>
      </c>
      <c r="M92">
        <v>481.649305555556</v>
      </c>
      <c r="N92">
        <v>31.5431082328119</v>
      </c>
      <c r="O92">
        <v>0</v>
      </c>
      <c r="P92">
        <v>32.526939392089801</v>
      </c>
      <c r="Q92">
        <v>7.4562025070190403</v>
      </c>
      <c r="R92">
        <v>5.3973641395568901</v>
      </c>
      <c r="S92" t="s">
        <v>272</v>
      </c>
      <c r="T92" t="s">
        <v>456</v>
      </c>
      <c r="U92" t="s">
        <v>457</v>
      </c>
      <c r="V92" t="s">
        <v>457</v>
      </c>
      <c r="W92" s="3">
        <v>1428</v>
      </c>
      <c r="X92" s="3">
        <v>3380000</v>
      </c>
      <c r="Y92">
        <v>2</v>
      </c>
      <c r="Z92" s="3">
        <v>692</v>
      </c>
      <c r="AA92" s="3">
        <v>763</v>
      </c>
      <c r="AB92" s="3">
        <v>893</v>
      </c>
      <c r="AC92" s="3">
        <v>1129</v>
      </c>
      <c r="AD92" s="3">
        <v>1151</v>
      </c>
      <c r="AE92" s="3">
        <v>1238</v>
      </c>
      <c r="AF92" s="3">
        <v>1235</v>
      </c>
      <c r="AG92" s="3">
        <v>1276</v>
      </c>
      <c r="AH92" s="3">
        <v>1343</v>
      </c>
      <c r="AI92" s="3">
        <v>1367</v>
      </c>
      <c r="AJ92" s="3">
        <v>1357</v>
      </c>
      <c r="AK92" s="3">
        <v>1421</v>
      </c>
      <c r="AL92" s="3">
        <v>1428</v>
      </c>
      <c r="AM92" s="3">
        <v>1408</v>
      </c>
      <c r="AN92" s="3">
        <v>1424</v>
      </c>
      <c r="AO92" s="3">
        <v>1420</v>
      </c>
      <c r="AP92" s="3">
        <v>1428</v>
      </c>
      <c r="AR92" s="4">
        <f t="shared" si="17"/>
        <v>422.01769238124433</v>
      </c>
      <c r="AS92" s="5">
        <f t="shared" si="18"/>
        <v>1.2825144508670521</v>
      </c>
      <c r="AT92" s="5">
        <f t="shared" si="11"/>
        <v>1.8931119848551041</v>
      </c>
      <c r="AU92" s="5">
        <f t="shared" si="12"/>
        <v>3.8297872340425529</v>
      </c>
      <c r="AV92" s="5">
        <f t="shared" si="13"/>
        <v>1.5627530364372471</v>
      </c>
      <c r="AW92" s="5">
        <f t="shared" si="14"/>
        <v>1.7086025161509688</v>
      </c>
      <c r="AX92" s="5">
        <f t="shared" si="15"/>
        <v>2.9955207166853302</v>
      </c>
      <c r="AY92" s="5">
        <f t="shared" si="16"/>
        <v>2.874550851429464</v>
      </c>
      <c r="AZ92">
        <f t="shared" si="19"/>
        <v>3350000</v>
      </c>
      <c r="BA92">
        <v>0</v>
      </c>
      <c r="BB92">
        <v>320000</v>
      </c>
      <c r="BC92">
        <v>130000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1400000</v>
      </c>
      <c r="BK92">
        <v>0</v>
      </c>
      <c r="BL92">
        <v>0</v>
      </c>
      <c r="BM92">
        <v>0</v>
      </c>
      <c r="BN92">
        <v>0</v>
      </c>
      <c r="BO92">
        <v>780000</v>
      </c>
      <c r="BP92">
        <v>0</v>
      </c>
      <c r="BQ92">
        <v>0</v>
      </c>
      <c r="BR92">
        <v>720000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31</v>
      </c>
      <c r="CC92">
        <v>50</v>
      </c>
      <c r="CD92">
        <v>50</v>
      </c>
      <c r="CE92">
        <v>59</v>
      </c>
      <c r="CF92" s="17">
        <v>9.1445427728613566</v>
      </c>
      <c r="CG92" s="17">
        <v>14.749262536873156</v>
      </c>
      <c r="CH92" s="17">
        <v>14.749262536873156</v>
      </c>
      <c r="CI92" s="17">
        <v>17.404129793510325</v>
      </c>
      <c r="CJ92" s="18">
        <v>1</v>
      </c>
      <c r="CK92" s="18">
        <v>1.6129032258064515</v>
      </c>
      <c r="CL92" s="18">
        <v>1.6129032258064515</v>
      </c>
      <c r="CM92" s="18">
        <v>1.903225806451613</v>
      </c>
      <c r="CN92" s="18">
        <v>0</v>
      </c>
      <c r="CO92" s="18">
        <v>5.6047197640117989</v>
      </c>
      <c r="CP92" s="18">
        <v>5.6047197640117989</v>
      </c>
      <c r="CQ92" s="18">
        <v>8.2595870206489668</v>
      </c>
      <c r="CR92" s="18">
        <f t="shared" si="20"/>
        <v>2.0346820809248554</v>
      </c>
      <c r="CS92" s="18">
        <f t="shared" si="21"/>
        <v>1.0690702459096697</v>
      </c>
      <c r="CT92">
        <v>4.4776119402985097</v>
      </c>
      <c r="CU92">
        <v>81.791044776119406</v>
      </c>
      <c r="CV92">
        <v>13.731343283582101</v>
      </c>
      <c r="CW92">
        <v>0</v>
      </c>
      <c r="CX92">
        <v>0</v>
      </c>
      <c r="CY92">
        <v>14.32835820895524</v>
      </c>
      <c r="CZ92">
        <v>64.179104477611901</v>
      </c>
      <c r="DA92">
        <v>21.492537313432798</v>
      </c>
      <c r="DB92">
        <v>0</v>
      </c>
      <c r="DC92">
        <v>0</v>
      </c>
      <c r="DD92">
        <v>14.32835820895524</v>
      </c>
      <c r="DE92">
        <v>64.179104477611901</v>
      </c>
      <c r="DF92">
        <v>21.492537313432798</v>
      </c>
      <c r="DG92">
        <v>0</v>
      </c>
      <c r="DH92">
        <v>0</v>
      </c>
      <c r="DI92">
        <v>13.432835820895519</v>
      </c>
      <c r="DJ92">
        <v>65.074626865671604</v>
      </c>
      <c r="DK92">
        <v>21.492537313432798</v>
      </c>
      <c r="DL92">
        <v>0</v>
      </c>
      <c r="DM92">
        <v>0</v>
      </c>
      <c r="DN92">
        <v>13.432835820895519</v>
      </c>
      <c r="DO92">
        <v>65.074626865671604</v>
      </c>
      <c r="DP92">
        <v>21.492537313432798</v>
      </c>
      <c r="DQ92">
        <v>0</v>
      </c>
      <c r="DR92">
        <v>0</v>
      </c>
      <c r="DS92" t="s">
        <v>459</v>
      </c>
      <c r="DT92">
        <v>0</v>
      </c>
      <c r="DU92">
        <v>1394</v>
      </c>
      <c r="DV92">
        <v>92275</v>
      </c>
      <c r="DW92">
        <v>92275</v>
      </c>
      <c r="DX92">
        <v>92275</v>
      </c>
      <c r="DY92">
        <v>92275</v>
      </c>
      <c r="DZ92">
        <v>92275</v>
      </c>
      <c r="EA92">
        <v>92275</v>
      </c>
      <c r="EB92">
        <v>92275</v>
      </c>
      <c r="EC92">
        <v>92275</v>
      </c>
      <c r="ED92" t="s">
        <v>274</v>
      </c>
      <c r="EE92" t="s">
        <v>274</v>
      </c>
      <c r="EF92" t="s">
        <v>274</v>
      </c>
      <c r="EG92" t="s">
        <v>274</v>
      </c>
    </row>
    <row r="93" spans="1:137" ht="14.55" customHeight="1" x14ac:dyDescent="0.3">
      <c r="A93" t="s">
        <v>460</v>
      </c>
      <c r="B93">
        <v>2254</v>
      </c>
      <c r="C93" t="s">
        <v>461</v>
      </c>
      <c r="D93" t="s">
        <v>269</v>
      </c>
      <c r="E93" t="s">
        <v>269</v>
      </c>
      <c r="F93" t="s">
        <v>270</v>
      </c>
      <c r="G93" t="s">
        <v>458</v>
      </c>
      <c r="H93" s="3">
        <v>21921737.4802</v>
      </c>
      <c r="I93">
        <v>2062</v>
      </c>
      <c r="J93" s="3">
        <v>2059.4042490299998</v>
      </c>
      <c r="K93">
        <v>439</v>
      </c>
      <c r="L93">
        <v>688</v>
      </c>
      <c r="M93">
        <v>570.45591131440199</v>
      </c>
      <c r="N93">
        <v>53.605151530982198</v>
      </c>
      <c r="O93">
        <v>0</v>
      </c>
      <c r="P93">
        <v>44.874114990234403</v>
      </c>
      <c r="Q93">
        <v>7.8714222908020002</v>
      </c>
      <c r="R93">
        <v>5.4292912483215297</v>
      </c>
      <c r="S93" t="s">
        <v>272</v>
      </c>
      <c r="T93" t="s">
        <v>460</v>
      </c>
      <c r="U93" t="s">
        <v>461</v>
      </c>
      <c r="V93" t="s">
        <v>461</v>
      </c>
      <c r="W93" s="3">
        <v>5468</v>
      </c>
      <c r="X93" s="3">
        <v>21870000</v>
      </c>
      <c r="Y93">
        <v>3</v>
      </c>
      <c r="Z93" s="3">
        <v>3058</v>
      </c>
      <c r="AA93" s="3">
        <v>3449</v>
      </c>
      <c r="AB93" s="3">
        <v>3924</v>
      </c>
      <c r="AC93" s="3">
        <v>4328</v>
      </c>
      <c r="AD93" s="3">
        <v>4462</v>
      </c>
      <c r="AE93" s="3">
        <v>4475</v>
      </c>
      <c r="AF93" s="3">
        <v>4639</v>
      </c>
      <c r="AG93" s="3">
        <v>4727</v>
      </c>
      <c r="AH93" s="3">
        <v>4925</v>
      </c>
      <c r="AI93" s="3">
        <v>5044</v>
      </c>
      <c r="AJ93" s="3">
        <v>5203</v>
      </c>
      <c r="AK93" s="3">
        <v>5205</v>
      </c>
      <c r="AL93" s="3">
        <v>5266</v>
      </c>
      <c r="AM93" s="3">
        <v>5398</v>
      </c>
      <c r="AN93" s="3">
        <v>5416</v>
      </c>
      <c r="AO93" s="3">
        <v>5454</v>
      </c>
      <c r="AP93" s="3">
        <v>5468</v>
      </c>
      <c r="AR93" s="4">
        <f t="shared" si="17"/>
        <v>265.51367962727488</v>
      </c>
      <c r="AS93" s="5">
        <f t="shared" si="18"/>
        <v>1.5982668410725966</v>
      </c>
      <c r="AT93" s="5">
        <f t="shared" si="11"/>
        <v>1.5302342063722174</v>
      </c>
      <c r="AU93" s="5">
        <f t="shared" si="12"/>
        <v>1.8221202854230381</v>
      </c>
      <c r="AV93" s="5">
        <f t="shared" si="13"/>
        <v>1.7870230653158008</v>
      </c>
      <c r="AW93" s="5">
        <f t="shared" si="14"/>
        <v>1.6658331089139382</v>
      </c>
      <c r="AX93" s="5">
        <f t="shared" si="15"/>
        <v>1.9673802242609582</v>
      </c>
      <c r="AY93" s="5">
        <f t="shared" si="16"/>
        <v>2.129991338624432</v>
      </c>
      <c r="AZ93">
        <f t="shared" si="19"/>
        <v>20640000</v>
      </c>
      <c r="BA93">
        <v>0</v>
      </c>
      <c r="BB93">
        <v>2030000</v>
      </c>
      <c r="BC93">
        <v>330000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530000</v>
      </c>
      <c r="BJ93">
        <v>5500000</v>
      </c>
      <c r="BK93">
        <v>0</v>
      </c>
      <c r="BL93">
        <v>0</v>
      </c>
      <c r="BM93">
        <v>6160000</v>
      </c>
      <c r="BN93">
        <v>0</v>
      </c>
      <c r="BO93">
        <v>1280000</v>
      </c>
      <c r="BP93">
        <v>0</v>
      </c>
      <c r="BQ93">
        <v>0</v>
      </c>
      <c r="BR93">
        <v>4800000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10000</v>
      </c>
      <c r="CB93">
        <v>163</v>
      </c>
      <c r="CC93">
        <v>222</v>
      </c>
      <c r="CD93">
        <v>277</v>
      </c>
      <c r="CE93">
        <v>304</v>
      </c>
      <c r="CF93" s="17">
        <v>7.4839302112029387</v>
      </c>
      <c r="CG93" s="17">
        <v>10.192837465564738</v>
      </c>
      <c r="CH93" s="17">
        <v>12.718089990817264</v>
      </c>
      <c r="CI93" s="17">
        <v>13.957759412304869</v>
      </c>
      <c r="CJ93" s="18">
        <v>1</v>
      </c>
      <c r="CK93" s="18">
        <v>1.361963190184049</v>
      </c>
      <c r="CL93" s="18">
        <v>1.6993865030674846</v>
      </c>
      <c r="CM93" s="18">
        <v>1.8650306748466257</v>
      </c>
      <c r="CN93" s="18">
        <v>0</v>
      </c>
      <c r="CO93" s="18">
        <v>2.7089072543617996</v>
      </c>
      <c r="CP93" s="18">
        <v>5.2341597796143251</v>
      </c>
      <c r="CQ93" s="18">
        <v>6.4738292011019283</v>
      </c>
      <c r="CR93" s="18">
        <f t="shared" si="20"/>
        <v>1.7652060170045782</v>
      </c>
      <c r="CS93" s="18">
        <f t="shared" si="21"/>
        <v>0.94647559464390218</v>
      </c>
      <c r="CT93">
        <v>2.179176755447938</v>
      </c>
      <c r="CU93">
        <v>74.334140435835366</v>
      </c>
      <c r="CV93">
        <v>22.518159806295401</v>
      </c>
      <c r="CW93">
        <v>0</v>
      </c>
      <c r="CX93">
        <v>0.96852300242130696</v>
      </c>
      <c r="CY93">
        <v>12.63922518159807</v>
      </c>
      <c r="CZ93">
        <v>64.213075060532702</v>
      </c>
      <c r="DA93">
        <v>23.099273607748199</v>
      </c>
      <c r="DB93">
        <v>0</v>
      </c>
      <c r="DC93">
        <v>4.8426150121065402E-2</v>
      </c>
      <c r="DD93">
        <v>12.63922518159807</v>
      </c>
      <c r="DE93">
        <v>64.213075060532702</v>
      </c>
      <c r="DF93">
        <v>23.099273607748199</v>
      </c>
      <c r="DG93">
        <v>0</v>
      </c>
      <c r="DH93">
        <v>4.8426150121065402E-2</v>
      </c>
      <c r="DI93">
        <v>13.9951573849879</v>
      </c>
      <c r="DJ93">
        <v>62.711864406779668</v>
      </c>
      <c r="DK93">
        <v>23.244552058111399</v>
      </c>
      <c r="DL93">
        <v>0</v>
      </c>
      <c r="DM93">
        <v>4.8426150121065402E-2</v>
      </c>
      <c r="DN93">
        <v>13.9951573849879</v>
      </c>
      <c r="DO93">
        <v>62.711864406779668</v>
      </c>
      <c r="DP93">
        <v>23.244552058111399</v>
      </c>
      <c r="DQ93">
        <v>0</v>
      </c>
      <c r="DR93">
        <v>4.8426150121065402E-2</v>
      </c>
      <c r="DS93" t="s">
        <v>355</v>
      </c>
      <c r="DT93">
        <v>0</v>
      </c>
      <c r="DU93">
        <v>5702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 t="s">
        <v>274</v>
      </c>
      <c r="EE93" t="s">
        <v>274</v>
      </c>
      <c r="EF93" t="s">
        <v>274</v>
      </c>
      <c r="EG93" t="s">
        <v>274</v>
      </c>
    </row>
    <row r="94" spans="1:137" ht="14.55" customHeight="1" x14ac:dyDescent="0.3">
      <c r="A94" t="s">
        <v>462</v>
      </c>
      <c r="B94">
        <v>2257</v>
      </c>
      <c r="C94" t="s">
        <v>463</v>
      </c>
      <c r="D94" t="s">
        <v>269</v>
      </c>
      <c r="E94" t="s">
        <v>269</v>
      </c>
      <c r="F94" t="s">
        <v>270</v>
      </c>
      <c r="G94" t="s">
        <v>458</v>
      </c>
      <c r="H94" s="3">
        <v>4168915.71606</v>
      </c>
      <c r="I94">
        <v>421</v>
      </c>
      <c r="J94" s="3">
        <v>416.89157160600001</v>
      </c>
      <c r="K94">
        <v>511</v>
      </c>
      <c r="L94">
        <v>647</v>
      </c>
      <c r="M94">
        <v>564.89329985877896</v>
      </c>
      <c r="N94">
        <v>29.6855517979543</v>
      </c>
      <c r="O94">
        <v>0</v>
      </c>
      <c r="P94">
        <v>28.084098815918001</v>
      </c>
      <c r="Q94">
        <v>6.0199990272521999</v>
      </c>
      <c r="R94">
        <v>4.1916303634643599</v>
      </c>
      <c r="S94" t="s">
        <v>272</v>
      </c>
      <c r="T94" t="s">
        <v>462</v>
      </c>
      <c r="U94" t="s">
        <v>463</v>
      </c>
      <c r="V94" t="s">
        <v>463</v>
      </c>
      <c r="W94" s="3">
        <v>1003</v>
      </c>
      <c r="X94" s="3">
        <v>4170000</v>
      </c>
      <c r="Y94">
        <v>3</v>
      </c>
      <c r="Z94" s="3">
        <v>433</v>
      </c>
      <c r="AA94" s="3">
        <v>502</v>
      </c>
      <c r="AB94" s="3">
        <v>729</v>
      </c>
      <c r="AC94" s="3">
        <v>796</v>
      </c>
      <c r="AD94" s="3">
        <v>800</v>
      </c>
      <c r="AE94" s="3">
        <v>832</v>
      </c>
      <c r="AF94" s="3">
        <v>833</v>
      </c>
      <c r="AG94" s="3">
        <v>836</v>
      </c>
      <c r="AH94" s="3">
        <v>826</v>
      </c>
      <c r="AI94" s="3">
        <v>836</v>
      </c>
      <c r="AJ94" s="3">
        <v>848</v>
      </c>
      <c r="AK94" s="3">
        <v>896</v>
      </c>
      <c r="AL94" s="3">
        <v>932</v>
      </c>
      <c r="AM94" s="3">
        <v>942</v>
      </c>
      <c r="AN94" s="3">
        <v>957</v>
      </c>
      <c r="AO94" s="3">
        <v>1002</v>
      </c>
      <c r="AP94" s="3">
        <v>1003</v>
      </c>
      <c r="AR94" s="4">
        <f t="shared" si="17"/>
        <v>240.59013621602435</v>
      </c>
      <c r="AS94" s="5">
        <f t="shared" si="18"/>
        <v>1.9919168591224019</v>
      </c>
      <c r="AT94" s="5">
        <f t="shared" si="11"/>
        <v>5.0243470562195665</v>
      </c>
      <c r="AU94" s="5">
        <f t="shared" si="12"/>
        <v>1.4266117969821672</v>
      </c>
      <c r="AV94" s="5">
        <f t="shared" si="13"/>
        <v>2.0408163265306123</v>
      </c>
      <c r="AW94" s="5">
        <f t="shared" si="14"/>
        <v>4.0211927727210979</v>
      </c>
      <c r="AX94" s="5">
        <f t="shared" si="15"/>
        <v>1.8792866941015087</v>
      </c>
      <c r="AY94" s="5">
        <f t="shared" si="16"/>
        <v>3.557830347668685</v>
      </c>
      <c r="AZ94">
        <f t="shared" si="19"/>
        <v>4220000</v>
      </c>
      <c r="BA94">
        <v>0</v>
      </c>
      <c r="BB94">
        <v>520000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2900000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800000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32</v>
      </c>
      <c r="CC94">
        <v>39</v>
      </c>
      <c r="CD94">
        <v>44</v>
      </c>
      <c r="CE94">
        <v>53</v>
      </c>
      <c r="CF94" s="17">
        <v>7.6555023923444976</v>
      </c>
      <c r="CG94" s="17">
        <v>9.330143540669857</v>
      </c>
      <c r="CH94" s="17">
        <v>10.526315789473683</v>
      </c>
      <c r="CI94" s="17">
        <v>12.679425837320574</v>
      </c>
      <c r="CJ94" s="18">
        <v>1</v>
      </c>
      <c r="CK94" s="18">
        <v>1.21875</v>
      </c>
      <c r="CL94" s="18">
        <v>1.375</v>
      </c>
      <c r="CM94" s="18">
        <v>1.65625</v>
      </c>
      <c r="CN94" s="18">
        <v>0</v>
      </c>
      <c r="CO94" s="18">
        <v>1.6746411483253589</v>
      </c>
      <c r="CP94" s="18">
        <v>2.8708133971291865</v>
      </c>
      <c r="CQ94" s="18">
        <v>5.0239234449760763</v>
      </c>
      <c r="CR94" s="18">
        <f t="shared" si="20"/>
        <v>2.1755196304849886</v>
      </c>
      <c r="CS94" s="18">
        <f t="shared" si="21"/>
        <v>1.3135212863305592</v>
      </c>
      <c r="CT94">
        <v>1.4218009478672999</v>
      </c>
      <c r="CU94">
        <v>79.383886255924153</v>
      </c>
      <c r="CV94">
        <v>19.1943127962085</v>
      </c>
      <c r="CW94">
        <v>0</v>
      </c>
      <c r="CX94">
        <v>0</v>
      </c>
      <c r="CY94">
        <v>12.559241706161099</v>
      </c>
      <c r="CZ94">
        <v>68.483412322274901</v>
      </c>
      <c r="DA94">
        <v>18.957345971563999</v>
      </c>
      <c r="DB94">
        <v>0</v>
      </c>
      <c r="DC94">
        <v>0</v>
      </c>
      <c r="DD94">
        <v>12.559241706161099</v>
      </c>
      <c r="DE94">
        <v>68.483412322274901</v>
      </c>
      <c r="DF94">
        <v>18.957345971563999</v>
      </c>
      <c r="DG94">
        <v>0</v>
      </c>
      <c r="DH94">
        <v>0</v>
      </c>
      <c r="DI94">
        <v>12.3222748815166</v>
      </c>
      <c r="DJ94">
        <v>68.720379146919399</v>
      </c>
      <c r="DK94">
        <v>18.957345971563999</v>
      </c>
      <c r="DL94">
        <v>0</v>
      </c>
      <c r="DM94">
        <v>0</v>
      </c>
      <c r="DN94">
        <v>12.3222748815166</v>
      </c>
      <c r="DO94">
        <v>68.720379146919399</v>
      </c>
      <c r="DP94">
        <v>18.957345971563999</v>
      </c>
      <c r="DQ94">
        <v>0</v>
      </c>
      <c r="DR94">
        <v>0</v>
      </c>
      <c r="DS94" t="s">
        <v>273</v>
      </c>
      <c r="DT94" t="s">
        <v>273</v>
      </c>
      <c r="DU94" t="s">
        <v>273</v>
      </c>
      <c r="DV94" t="s">
        <v>273</v>
      </c>
      <c r="DW94" t="s">
        <v>273</v>
      </c>
      <c r="DX94" t="s">
        <v>273</v>
      </c>
      <c r="DY94" t="s">
        <v>273</v>
      </c>
      <c r="DZ94" t="s">
        <v>273</v>
      </c>
      <c r="EA94" t="s">
        <v>273</v>
      </c>
      <c r="EB94" t="s">
        <v>273</v>
      </c>
      <c r="EC94" t="s">
        <v>273</v>
      </c>
      <c r="ED94" t="s">
        <v>274</v>
      </c>
      <c r="EE94" t="s">
        <v>274</v>
      </c>
      <c r="EF94" t="s">
        <v>274</v>
      </c>
      <c r="EG94" t="s">
        <v>274</v>
      </c>
    </row>
    <row r="95" spans="1:137" ht="14.55" customHeight="1" x14ac:dyDescent="0.3">
      <c r="A95" t="s">
        <v>464</v>
      </c>
      <c r="B95">
        <v>2258</v>
      </c>
      <c r="C95" t="s">
        <v>465</v>
      </c>
      <c r="D95" t="s">
        <v>269</v>
      </c>
      <c r="E95" t="s">
        <v>269</v>
      </c>
      <c r="F95" t="s">
        <v>270</v>
      </c>
      <c r="G95" t="s">
        <v>458</v>
      </c>
      <c r="H95" s="3">
        <v>3106920.7221900001</v>
      </c>
      <c r="I95">
        <v>309</v>
      </c>
      <c r="J95" s="3">
        <v>310.69207221900001</v>
      </c>
      <c r="K95">
        <v>421</v>
      </c>
      <c r="L95">
        <v>544</v>
      </c>
      <c r="M95">
        <v>461.671924290221</v>
      </c>
      <c r="N95">
        <v>33.135138019725801</v>
      </c>
      <c r="O95">
        <v>0</v>
      </c>
      <c r="P95">
        <v>22.8500652313232</v>
      </c>
      <c r="Q95">
        <v>5.4540920257568404</v>
      </c>
      <c r="R95">
        <v>3.9101428985595699</v>
      </c>
      <c r="S95" t="s">
        <v>272</v>
      </c>
      <c r="T95" t="s">
        <v>464</v>
      </c>
      <c r="U95" t="s">
        <v>465</v>
      </c>
      <c r="V95" t="s">
        <v>465</v>
      </c>
      <c r="W95" s="3">
        <v>454</v>
      </c>
      <c r="X95" s="3">
        <v>3110000</v>
      </c>
      <c r="Y95">
        <v>3</v>
      </c>
      <c r="Z95" s="3">
        <v>271</v>
      </c>
      <c r="AA95" s="3">
        <v>342</v>
      </c>
      <c r="AB95" s="3">
        <v>493</v>
      </c>
      <c r="AC95" s="3">
        <v>492</v>
      </c>
      <c r="AD95" s="3">
        <v>486</v>
      </c>
      <c r="AE95" s="3">
        <v>486</v>
      </c>
      <c r="AF95" s="3">
        <v>498</v>
      </c>
      <c r="AG95" s="3">
        <v>482</v>
      </c>
      <c r="AH95" s="3">
        <v>493</v>
      </c>
      <c r="AI95" s="3">
        <v>456</v>
      </c>
      <c r="AJ95" s="3">
        <v>466</v>
      </c>
      <c r="AK95" s="3">
        <v>455</v>
      </c>
      <c r="AL95" s="3">
        <v>460</v>
      </c>
      <c r="AM95" s="3">
        <v>461</v>
      </c>
      <c r="AN95" s="3">
        <v>467</v>
      </c>
      <c r="AO95" s="3">
        <v>464</v>
      </c>
      <c r="AP95" s="3">
        <v>454</v>
      </c>
      <c r="AR95" s="4">
        <f t="shared" si="17"/>
        <v>146.12538928253869</v>
      </c>
      <c r="AS95" s="5">
        <f t="shared" si="18"/>
        <v>3.2749077490774909</v>
      </c>
      <c r="AT95" s="5">
        <f t="shared" si="11"/>
        <v>4.9057829759584139</v>
      </c>
      <c r="AU95" s="5">
        <f t="shared" si="12"/>
        <v>0.10141987829614604</v>
      </c>
      <c r="AV95" s="5">
        <f t="shared" si="13"/>
        <v>-0.88353413654618485</v>
      </c>
      <c r="AW95" s="5">
        <f t="shared" si="14"/>
        <v>4.8187540698936404</v>
      </c>
      <c r="AX95" s="5">
        <f t="shared" si="15"/>
        <v>-0.39553752535496955</v>
      </c>
      <c r="AY95" s="5">
        <f t="shared" si="16"/>
        <v>1.8250723047771016</v>
      </c>
      <c r="AZ95">
        <f t="shared" si="19"/>
        <v>3090000</v>
      </c>
      <c r="BA95">
        <v>0</v>
      </c>
      <c r="BB95">
        <v>330000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2230000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530000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25</v>
      </c>
      <c r="CC95">
        <v>30</v>
      </c>
      <c r="CD95">
        <v>32</v>
      </c>
      <c r="CE95">
        <v>35</v>
      </c>
      <c r="CF95" s="17">
        <v>7.9365079365079358</v>
      </c>
      <c r="CG95" s="17">
        <v>9.5238095238095237</v>
      </c>
      <c r="CH95" s="17">
        <v>10.158730158730158</v>
      </c>
      <c r="CI95" s="17">
        <v>11.111111111111111</v>
      </c>
      <c r="CJ95" s="18">
        <v>1</v>
      </c>
      <c r="CK95" s="18">
        <v>1.2</v>
      </c>
      <c r="CL95" s="18">
        <v>1.28</v>
      </c>
      <c r="CM95" s="18">
        <v>1.4</v>
      </c>
      <c r="CN95" s="18">
        <v>0</v>
      </c>
      <c r="CO95" s="18">
        <v>1.5873015873015872</v>
      </c>
      <c r="CP95" s="18">
        <v>2.2222222222222223</v>
      </c>
      <c r="CQ95" s="18">
        <v>3.1746031746031744</v>
      </c>
      <c r="CR95" s="18">
        <f t="shared" si="20"/>
        <v>1.7011070110701108</v>
      </c>
      <c r="CS95" s="18">
        <f t="shared" si="21"/>
        <v>1.2150764364786506</v>
      </c>
      <c r="CT95">
        <v>8.0906148867313892</v>
      </c>
      <c r="CU95">
        <v>72.815533980582501</v>
      </c>
      <c r="CV95">
        <v>17.1521035598706</v>
      </c>
      <c r="CW95">
        <v>1.94174757281553</v>
      </c>
      <c r="CX95">
        <v>0</v>
      </c>
      <c r="CY95">
        <v>10.3559870550162</v>
      </c>
      <c r="CZ95">
        <v>72.491909385113303</v>
      </c>
      <c r="DA95">
        <v>17.1521035598706</v>
      </c>
      <c r="DB95">
        <v>0</v>
      </c>
      <c r="DC95">
        <v>0</v>
      </c>
      <c r="DD95">
        <v>10.3559870550162</v>
      </c>
      <c r="DE95">
        <v>72.491909385113303</v>
      </c>
      <c r="DF95">
        <v>17.1521035598706</v>
      </c>
      <c r="DG95">
        <v>0</v>
      </c>
      <c r="DH95">
        <v>0</v>
      </c>
      <c r="DI95">
        <v>10.6796116504854</v>
      </c>
      <c r="DJ95">
        <v>72.168284789644005</v>
      </c>
      <c r="DK95">
        <v>17.1521035598706</v>
      </c>
      <c r="DL95">
        <v>0</v>
      </c>
      <c r="DM95">
        <v>0</v>
      </c>
      <c r="DN95">
        <v>10.6796116504854</v>
      </c>
      <c r="DO95">
        <v>72.168284789644005</v>
      </c>
      <c r="DP95">
        <v>17.1521035598706</v>
      </c>
      <c r="DQ95">
        <v>0</v>
      </c>
      <c r="DR95">
        <v>0</v>
      </c>
      <c r="DS95" t="s">
        <v>355</v>
      </c>
      <c r="DT95">
        <v>0</v>
      </c>
      <c r="DU95">
        <v>442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 t="s">
        <v>274</v>
      </c>
      <c r="EE95" t="s">
        <v>274</v>
      </c>
      <c r="EF95" t="s">
        <v>274</v>
      </c>
      <c r="EG95" t="s">
        <v>274</v>
      </c>
    </row>
    <row r="96" spans="1:137" ht="14.55" customHeight="1" x14ac:dyDescent="0.3">
      <c r="A96" t="s">
        <v>466</v>
      </c>
      <c r="B96">
        <v>2261</v>
      </c>
      <c r="C96" t="s">
        <v>467</v>
      </c>
      <c r="D96" t="s">
        <v>269</v>
      </c>
      <c r="E96" t="s">
        <v>269</v>
      </c>
      <c r="F96" t="s">
        <v>270</v>
      </c>
      <c r="G96" t="s">
        <v>458</v>
      </c>
      <c r="H96" s="3">
        <v>2470539.4153</v>
      </c>
      <c r="I96">
        <v>95</v>
      </c>
      <c r="J96" s="3">
        <v>96.290572195599992</v>
      </c>
      <c r="K96">
        <v>421</v>
      </c>
      <c r="L96">
        <v>459</v>
      </c>
      <c r="M96">
        <v>436.50101971447998</v>
      </c>
      <c r="N96">
        <v>7.4306102743016798</v>
      </c>
      <c r="O96">
        <v>0</v>
      </c>
      <c r="P96">
        <v>16.723558425903299</v>
      </c>
      <c r="Q96">
        <v>3.8703973293304399</v>
      </c>
      <c r="R96">
        <v>2.3237817287445099</v>
      </c>
      <c r="S96" t="s">
        <v>272</v>
      </c>
      <c r="T96" t="s">
        <v>466</v>
      </c>
      <c r="U96" t="s">
        <v>467</v>
      </c>
      <c r="V96" t="s">
        <v>467</v>
      </c>
      <c r="W96" s="3">
        <v>173</v>
      </c>
      <c r="X96" s="3">
        <v>960000</v>
      </c>
      <c r="Y96">
        <v>3</v>
      </c>
      <c r="Z96" s="3">
        <v>54</v>
      </c>
      <c r="AA96" s="3">
        <v>112</v>
      </c>
      <c r="AB96" s="3">
        <v>155</v>
      </c>
      <c r="AC96" s="3">
        <v>167</v>
      </c>
      <c r="AD96" s="3">
        <v>160</v>
      </c>
      <c r="AE96" s="3">
        <v>168</v>
      </c>
      <c r="AF96" s="3">
        <v>158</v>
      </c>
      <c r="AG96" s="3">
        <v>168</v>
      </c>
      <c r="AH96" s="3">
        <v>166</v>
      </c>
      <c r="AI96" s="3">
        <v>157</v>
      </c>
      <c r="AJ96" s="3">
        <v>176</v>
      </c>
      <c r="AK96" s="3">
        <v>174</v>
      </c>
      <c r="AL96" s="3">
        <v>177</v>
      </c>
      <c r="AM96" s="3">
        <v>175</v>
      </c>
      <c r="AN96" s="3">
        <v>175</v>
      </c>
      <c r="AO96" s="3">
        <v>174</v>
      </c>
      <c r="AP96" s="3">
        <v>173</v>
      </c>
      <c r="AR96" s="4">
        <f t="shared" si="17"/>
        <v>179.66452587754512</v>
      </c>
      <c r="AS96" s="5">
        <f t="shared" si="18"/>
        <v>13.425925925925927</v>
      </c>
      <c r="AT96" s="5">
        <f t="shared" si="11"/>
        <v>4.2658730158730158</v>
      </c>
      <c r="AU96" s="5">
        <f t="shared" si="12"/>
        <v>0.19354838709677419</v>
      </c>
      <c r="AV96" s="5">
        <f t="shared" si="13"/>
        <v>0.949367088607595</v>
      </c>
      <c r="AW96" s="5">
        <f t="shared" si="14"/>
        <v>11.002178649237473</v>
      </c>
      <c r="AX96" s="5">
        <f t="shared" si="15"/>
        <v>0.58064516129032262</v>
      </c>
      <c r="AY96" s="5">
        <f t="shared" si="16"/>
        <v>5.9559559559559565</v>
      </c>
      <c r="AZ96">
        <f t="shared" si="19"/>
        <v>960000</v>
      </c>
      <c r="BA96">
        <v>0</v>
      </c>
      <c r="BB96">
        <v>110000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810000</v>
      </c>
      <c r="BK96">
        <v>0</v>
      </c>
      <c r="BL96">
        <v>0</v>
      </c>
      <c r="BM96">
        <v>0</v>
      </c>
      <c r="BN96">
        <v>0</v>
      </c>
      <c r="BO96">
        <v>40000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10</v>
      </c>
      <c r="CC96">
        <v>13</v>
      </c>
      <c r="CD96">
        <v>15</v>
      </c>
      <c r="CE96">
        <v>17</v>
      </c>
      <c r="CF96" s="17">
        <v>10.309278350515463</v>
      </c>
      <c r="CG96" s="17">
        <v>13.402061855670103</v>
      </c>
      <c r="CH96" s="17">
        <v>15.463917525773196</v>
      </c>
      <c r="CI96" s="17">
        <v>17.525773195876287</v>
      </c>
      <c r="CJ96" s="18">
        <v>1</v>
      </c>
      <c r="CK96" s="18">
        <v>1.3</v>
      </c>
      <c r="CL96" s="18">
        <v>1.5</v>
      </c>
      <c r="CM96" s="18">
        <v>1.7</v>
      </c>
      <c r="CN96" s="18">
        <v>0</v>
      </c>
      <c r="CO96" s="18">
        <v>3.0927835051546393</v>
      </c>
      <c r="CP96" s="18">
        <v>5.1546391752577314</v>
      </c>
      <c r="CQ96" s="18">
        <v>7.216494845360824</v>
      </c>
      <c r="CR96" s="18">
        <f t="shared" si="20"/>
        <v>3.2407407407407409</v>
      </c>
      <c r="CS96" s="18">
        <f t="shared" si="21"/>
        <v>1.9063180827886712</v>
      </c>
      <c r="CT96">
        <v>0</v>
      </c>
      <c r="CU96">
        <v>63.5416666666667</v>
      </c>
      <c r="CV96">
        <v>9.375</v>
      </c>
      <c r="CW96">
        <v>0</v>
      </c>
      <c r="CX96">
        <v>27.0833333333333</v>
      </c>
      <c r="CY96">
        <v>11.4583333333333</v>
      </c>
      <c r="CZ96">
        <v>88.5416666666667</v>
      </c>
      <c r="DA96">
        <v>0</v>
      </c>
      <c r="DB96">
        <v>0</v>
      </c>
      <c r="DC96">
        <v>0</v>
      </c>
      <c r="DD96">
        <v>11.4583333333333</v>
      </c>
      <c r="DE96">
        <v>88.5416666666667</v>
      </c>
      <c r="DF96">
        <v>0</v>
      </c>
      <c r="DG96">
        <v>0</v>
      </c>
      <c r="DH96">
        <v>0</v>
      </c>
      <c r="DI96">
        <v>11.4583333333333</v>
      </c>
      <c r="DJ96">
        <v>88.541666666666671</v>
      </c>
      <c r="DK96">
        <v>0</v>
      </c>
      <c r="DL96">
        <v>0</v>
      </c>
      <c r="DM96">
        <v>0</v>
      </c>
      <c r="DN96">
        <v>11.4583333333333</v>
      </c>
      <c r="DO96">
        <v>88.541666666666671</v>
      </c>
      <c r="DP96">
        <v>0</v>
      </c>
      <c r="DQ96">
        <v>0</v>
      </c>
      <c r="DR96">
        <v>0</v>
      </c>
      <c r="DS96" t="s">
        <v>273</v>
      </c>
      <c r="DT96" t="s">
        <v>273</v>
      </c>
      <c r="DU96" t="s">
        <v>273</v>
      </c>
      <c r="DV96" t="s">
        <v>273</v>
      </c>
      <c r="DW96" t="s">
        <v>273</v>
      </c>
      <c r="DX96" t="s">
        <v>273</v>
      </c>
      <c r="DY96" t="s">
        <v>273</v>
      </c>
      <c r="DZ96" t="s">
        <v>273</v>
      </c>
      <c r="EA96" t="s">
        <v>273</v>
      </c>
      <c r="EB96" t="s">
        <v>273</v>
      </c>
      <c r="EC96" t="s">
        <v>273</v>
      </c>
      <c r="ED96" t="s">
        <v>274</v>
      </c>
      <c r="EE96" t="s">
        <v>274</v>
      </c>
      <c r="EF96" t="s">
        <v>274</v>
      </c>
      <c r="EG96" t="s">
        <v>274</v>
      </c>
    </row>
    <row r="97" spans="1:137" ht="14.55" customHeight="1" x14ac:dyDescent="0.3">
      <c r="A97" t="s">
        <v>468</v>
      </c>
      <c r="B97">
        <v>2262</v>
      </c>
      <c r="C97" t="s">
        <v>469</v>
      </c>
      <c r="D97" t="s">
        <v>269</v>
      </c>
      <c r="E97" t="s">
        <v>269</v>
      </c>
      <c r="F97" t="s">
        <v>270</v>
      </c>
      <c r="G97" t="s">
        <v>458</v>
      </c>
      <c r="H97" s="3">
        <v>17321703.802900001</v>
      </c>
      <c r="I97">
        <v>1722</v>
      </c>
      <c r="J97" s="3">
        <v>1723.71765903</v>
      </c>
      <c r="K97">
        <v>444</v>
      </c>
      <c r="L97">
        <v>689</v>
      </c>
      <c r="M97">
        <v>564.98748767725795</v>
      </c>
      <c r="N97">
        <v>42.183919289184097</v>
      </c>
      <c r="O97">
        <v>0</v>
      </c>
      <c r="P97">
        <v>38.940086364746101</v>
      </c>
      <c r="Q97">
        <v>6.0043931007385298</v>
      </c>
      <c r="R97">
        <v>3.8486094474792498</v>
      </c>
      <c r="S97" t="s">
        <v>272</v>
      </c>
      <c r="T97" t="s">
        <v>468</v>
      </c>
      <c r="U97" t="s">
        <v>469</v>
      </c>
      <c r="V97" t="s">
        <v>469</v>
      </c>
      <c r="W97" s="3">
        <v>4404</v>
      </c>
      <c r="X97" s="3">
        <v>17340000</v>
      </c>
      <c r="Y97">
        <v>3</v>
      </c>
      <c r="Z97" s="3">
        <v>2107</v>
      </c>
      <c r="AA97" s="3">
        <v>2560</v>
      </c>
      <c r="AB97" s="3">
        <v>3294</v>
      </c>
      <c r="AC97" s="3">
        <v>3685</v>
      </c>
      <c r="AD97" s="3">
        <v>3762</v>
      </c>
      <c r="AE97" s="3">
        <v>3777</v>
      </c>
      <c r="AF97" s="3">
        <v>3814</v>
      </c>
      <c r="AG97" s="3">
        <v>3861</v>
      </c>
      <c r="AH97" s="3">
        <v>3844</v>
      </c>
      <c r="AI97" s="3">
        <v>3927</v>
      </c>
      <c r="AJ97" s="3">
        <v>4030</v>
      </c>
      <c r="AK97" s="3">
        <v>4070</v>
      </c>
      <c r="AL97" s="3">
        <v>4142</v>
      </c>
      <c r="AM97" s="3">
        <v>4181</v>
      </c>
      <c r="AN97" s="3">
        <v>4287</v>
      </c>
      <c r="AO97" s="3">
        <v>4352</v>
      </c>
      <c r="AP97" s="3">
        <v>4404</v>
      </c>
      <c r="AR97" s="4">
        <f t="shared" si="17"/>
        <v>255.49427871373638</v>
      </c>
      <c r="AS97" s="5">
        <f t="shared" si="18"/>
        <v>2.6874703369719981</v>
      </c>
      <c r="AT97" s="5">
        <f t="shared" si="11"/>
        <v>3.1857638888888893</v>
      </c>
      <c r="AU97" s="5">
        <f t="shared" si="12"/>
        <v>1.5786278081360048</v>
      </c>
      <c r="AV97" s="5">
        <f t="shared" si="13"/>
        <v>1.5469323544834819</v>
      </c>
      <c r="AW97" s="5">
        <f t="shared" si="14"/>
        <v>3.3138836930120887</v>
      </c>
      <c r="AX97" s="5">
        <f t="shared" si="15"/>
        <v>1.6848816029143898</v>
      </c>
      <c r="AY97" s="5">
        <f t="shared" si="16"/>
        <v>2.9464205543939763</v>
      </c>
      <c r="AZ97">
        <f t="shared" si="19"/>
        <v>17210000</v>
      </c>
      <c r="BA97">
        <v>0</v>
      </c>
      <c r="BB97">
        <v>1830000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9590000</v>
      </c>
      <c r="BK97">
        <v>0</v>
      </c>
      <c r="BL97">
        <v>0</v>
      </c>
      <c r="BM97">
        <v>2480000</v>
      </c>
      <c r="BN97">
        <v>0</v>
      </c>
      <c r="BO97">
        <v>0</v>
      </c>
      <c r="BP97">
        <v>260000</v>
      </c>
      <c r="BQ97">
        <v>0</v>
      </c>
      <c r="BR97">
        <v>2630000</v>
      </c>
      <c r="BS97">
        <v>0</v>
      </c>
      <c r="BT97">
        <v>0</v>
      </c>
      <c r="BU97">
        <v>420000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113</v>
      </c>
      <c r="CC97">
        <v>140</v>
      </c>
      <c r="CD97">
        <v>177</v>
      </c>
      <c r="CE97">
        <v>205</v>
      </c>
      <c r="CF97" s="17">
        <v>6.5469293163383542</v>
      </c>
      <c r="CG97" s="17">
        <v>8.1112398609501746</v>
      </c>
      <c r="CH97" s="17">
        <v>10.254924681344148</v>
      </c>
      <c r="CI97" s="17">
        <v>11.877172653534183</v>
      </c>
      <c r="CJ97" s="18">
        <v>1</v>
      </c>
      <c r="CK97" s="18">
        <v>1.2389380530973451</v>
      </c>
      <c r="CL97" s="18">
        <v>1.5663716814159292</v>
      </c>
      <c r="CM97" s="18">
        <v>1.8141592920353982</v>
      </c>
      <c r="CN97" s="18">
        <v>0</v>
      </c>
      <c r="CO97" s="18">
        <v>1.5643105446118193</v>
      </c>
      <c r="CP97" s="18">
        <v>3.7079953650057935</v>
      </c>
      <c r="CQ97" s="18">
        <v>5.3302433371958289</v>
      </c>
      <c r="CR97" s="18">
        <f t="shared" si="20"/>
        <v>1.9843379212149976</v>
      </c>
      <c r="CS97" s="18">
        <f t="shared" si="21"/>
        <v>1.0938057809624133</v>
      </c>
      <c r="CT97">
        <v>2.0337013364323102</v>
      </c>
      <c r="CU97">
        <v>78.036025566531052</v>
      </c>
      <c r="CV97">
        <v>19.639744334689102</v>
      </c>
      <c r="CW97">
        <v>0</v>
      </c>
      <c r="CX97">
        <v>0.29052876234747199</v>
      </c>
      <c r="CY97">
        <v>9.5293434049970909</v>
      </c>
      <c r="CZ97">
        <v>71.411969785008694</v>
      </c>
      <c r="DA97">
        <v>19.05868680999416</v>
      </c>
      <c r="DB97">
        <v>0</v>
      </c>
      <c r="DC97">
        <v>0</v>
      </c>
      <c r="DD97">
        <v>9.8779779198140591</v>
      </c>
      <c r="DE97">
        <v>71.0633352701918</v>
      </c>
      <c r="DF97">
        <v>19.05868680999416</v>
      </c>
      <c r="DG97">
        <v>0</v>
      </c>
      <c r="DH97">
        <v>0</v>
      </c>
      <c r="DI97">
        <v>10.6333527019175</v>
      </c>
      <c r="DJ97">
        <v>70.133643230679809</v>
      </c>
      <c r="DK97">
        <v>19.233004067402671</v>
      </c>
      <c r="DL97">
        <v>0</v>
      </c>
      <c r="DM97">
        <v>0</v>
      </c>
      <c r="DN97">
        <v>10.6333527019175</v>
      </c>
      <c r="DO97">
        <v>70.133643230679809</v>
      </c>
      <c r="DP97">
        <v>19.233004067402671</v>
      </c>
      <c r="DQ97">
        <v>0</v>
      </c>
      <c r="DR97">
        <v>0</v>
      </c>
      <c r="DS97" t="s">
        <v>273</v>
      </c>
      <c r="DT97" t="s">
        <v>273</v>
      </c>
      <c r="DU97" t="s">
        <v>273</v>
      </c>
      <c r="DV97" t="s">
        <v>273</v>
      </c>
      <c r="DW97" t="s">
        <v>273</v>
      </c>
      <c r="DX97" t="s">
        <v>273</v>
      </c>
      <c r="DY97" t="s">
        <v>273</v>
      </c>
      <c r="DZ97" t="s">
        <v>273</v>
      </c>
      <c r="EA97" t="s">
        <v>273</v>
      </c>
      <c r="EB97" t="s">
        <v>273</v>
      </c>
      <c r="EC97" t="s">
        <v>273</v>
      </c>
      <c r="ED97" t="s">
        <v>274</v>
      </c>
      <c r="EE97" t="s">
        <v>274</v>
      </c>
      <c r="EF97" t="s">
        <v>274</v>
      </c>
      <c r="EG97" t="s">
        <v>274</v>
      </c>
    </row>
    <row r="98" spans="1:137" ht="14.55" customHeight="1" x14ac:dyDescent="0.3">
      <c r="A98" t="s">
        <v>470</v>
      </c>
      <c r="B98">
        <v>2265</v>
      </c>
      <c r="C98" t="s">
        <v>471</v>
      </c>
      <c r="D98" t="s">
        <v>269</v>
      </c>
      <c r="E98" t="s">
        <v>269</v>
      </c>
      <c r="F98" t="s">
        <v>270</v>
      </c>
      <c r="G98" t="s">
        <v>458</v>
      </c>
      <c r="H98" s="3">
        <v>12280081.2059</v>
      </c>
      <c r="I98">
        <v>1222</v>
      </c>
      <c r="J98" s="3">
        <v>1228.0081205900001</v>
      </c>
      <c r="K98">
        <v>401</v>
      </c>
      <c r="L98">
        <v>553</v>
      </c>
      <c r="M98">
        <v>457.73022538804997</v>
      </c>
      <c r="N98">
        <v>30.346357940330002</v>
      </c>
      <c r="O98">
        <v>0</v>
      </c>
      <c r="P98">
        <v>26.062433242797901</v>
      </c>
      <c r="Q98">
        <v>4.9623398780822798</v>
      </c>
      <c r="R98">
        <v>3.69277739524841</v>
      </c>
      <c r="S98" t="s">
        <v>272</v>
      </c>
      <c r="T98" t="s">
        <v>470</v>
      </c>
      <c r="U98" t="s">
        <v>471</v>
      </c>
      <c r="V98" t="s">
        <v>471</v>
      </c>
      <c r="W98" s="3">
        <v>5029</v>
      </c>
      <c r="X98" s="3">
        <v>12280000</v>
      </c>
      <c r="Y98">
        <v>3</v>
      </c>
      <c r="Z98" s="3">
        <v>2744</v>
      </c>
      <c r="AA98" s="3">
        <v>3163</v>
      </c>
      <c r="AB98" s="3">
        <v>3765</v>
      </c>
      <c r="AC98" s="3">
        <v>4393</v>
      </c>
      <c r="AD98" s="3">
        <v>4416</v>
      </c>
      <c r="AE98" s="3">
        <v>4490</v>
      </c>
      <c r="AF98" s="3">
        <v>4530</v>
      </c>
      <c r="AG98" s="3">
        <v>4586</v>
      </c>
      <c r="AH98" s="3">
        <v>4654</v>
      </c>
      <c r="AI98" s="3">
        <v>4764</v>
      </c>
      <c r="AJ98" s="3">
        <v>4774</v>
      </c>
      <c r="AK98" s="3">
        <v>4828</v>
      </c>
      <c r="AL98" s="3">
        <v>4848</v>
      </c>
      <c r="AM98" s="3">
        <v>4911</v>
      </c>
      <c r="AN98" s="3">
        <v>5020</v>
      </c>
      <c r="AO98" s="3">
        <v>4970</v>
      </c>
      <c r="AP98" s="3">
        <v>5029</v>
      </c>
      <c r="AR98" s="4">
        <f t="shared" si="17"/>
        <v>409.52497916575686</v>
      </c>
      <c r="AS98" s="5">
        <f t="shared" si="18"/>
        <v>1.9087099125364431</v>
      </c>
      <c r="AT98" s="5">
        <f t="shared" si="11"/>
        <v>2.114729335722064</v>
      </c>
      <c r="AU98" s="5">
        <f t="shared" si="12"/>
        <v>2.0318725099601593</v>
      </c>
      <c r="AV98" s="5">
        <f t="shared" si="13"/>
        <v>1.1015452538631347</v>
      </c>
      <c r="AW98" s="5">
        <f t="shared" si="14"/>
        <v>2.1887326359115078</v>
      </c>
      <c r="AX98" s="5">
        <f t="shared" si="15"/>
        <v>1.6786188579017265</v>
      </c>
      <c r="AY98" s="5">
        <f t="shared" si="16"/>
        <v>2.2506106689780156</v>
      </c>
      <c r="AZ98">
        <f t="shared" si="19"/>
        <v>12250000</v>
      </c>
      <c r="BA98">
        <v>0</v>
      </c>
      <c r="BB98">
        <v>1450000</v>
      </c>
      <c r="BC98">
        <v>300000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8920000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1580000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149</v>
      </c>
      <c r="CC98">
        <v>170</v>
      </c>
      <c r="CD98">
        <v>194</v>
      </c>
      <c r="CE98">
        <v>208</v>
      </c>
      <c r="CF98" s="17">
        <v>12.153344208809136</v>
      </c>
      <c r="CG98" s="17">
        <v>13.866231647634583</v>
      </c>
      <c r="CH98" s="17">
        <v>15.823817292006526</v>
      </c>
      <c r="CI98" s="17">
        <v>16.965742251223492</v>
      </c>
      <c r="CJ98" s="18">
        <v>1</v>
      </c>
      <c r="CK98" s="18">
        <v>1.1409395973154361</v>
      </c>
      <c r="CL98" s="18">
        <v>1.3020134228187918</v>
      </c>
      <c r="CM98" s="18">
        <v>1.3959731543624161</v>
      </c>
      <c r="CN98" s="18">
        <v>0</v>
      </c>
      <c r="CO98" s="18">
        <v>1.7128874388254487</v>
      </c>
      <c r="CP98" s="18">
        <v>3.6704730831973897</v>
      </c>
      <c r="CQ98" s="18">
        <v>4.8123980424143555</v>
      </c>
      <c r="CR98" s="18">
        <f t="shared" si="20"/>
        <v>1.7897230320699709</v>
      </c>
      <c r="CS98" s="18">
        <f t="shared" si="21"/>
        <v>1.2820612104732003</v>
      </c>
      <c r="CT98">
        <v>6.7755102040816295</v>
      </c>
      <c r="CU98">
        <v>80.734693877551109</v>
      </c>
      <c r="CV98">
        <v>12.4897959183673</v>
      </c>
      <c r="CW98">
        <v>0</v>
      </c>
      <c r="CX98">
        <v>0</v>
      </c>
      <c r="CY98">
        <v>14.69387755102043</v>
      </c>
      <c r="CZ98">
        <v>72.326530612244895</v>
      </c>
      <c r="DA98">
        <v>12.9795918367347</v>
      </c>
      <c r="DB98">
        <v>0</v>
      </c>
      <c r="DC98">
        <v>0</v>
      </c>
      <c r="DD98">
        <v>14.69387755102043</v>
      </c>
      <c r="DE98">
        <v>72.326530612244895</v>
      </c>
      <c r="DF98">
        <v>12.9795918367347</v>
      </c>
      <c r="DG98">
        <v>0</v>
      </c>
      <c r="DH98">
        <v>0</v>
      </c>
      <c r="DI98">
        <v>14.285714285714331</v>
      </c>
      <c r="DJ98">
        <v>72.816326530612301</v>
      </c>
      <c r="DK98">
        <v>12.8979591836735</v>
      </c>
      <c r="DL98">
        <v>0</v>
      </c>
      <c r="DM98">
        <v>0</v>
      </c>
      <c r="DN98">
        <v>14.285714285714331</v>
      </c>
      <c r="DO98">
        <v>72.816326530612301</v>
      </c>
      <c r="DP98">
        <v>12.8979591836735</v>
      </c>
      <c r="DQ98">
        <v>0</v>
      </c>
      <c r="DR98">
        <v>0</v>
      </c>
      <c r="DS98" t="s">
        <v>355</v>
      </c>
      <c r="DT98">
        <v>0</v>
      </c>
      <c r="DU98">
        <v>5280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 t="s">
        <v>274</v>
      </c>
      <c r="EE98" t="s">
        <v>274</v>
      </c>
      <c r="EF98" t="s">
        <v>274</v>
      </c>
      <c r="EG98" t="s">
        <v>274</v>
      </c>
    </row>
    <row r="99" spans="1:137" ht="14.55" customHeight="1" x14ac:dyDescent="0.3">
      <c r="A99" t="s">
        <v>472</v>
      </c>
      <c r="B99">
        <v>2266</v>
      </c>
      <c r="C99" t="s">
        <v>473</v>
      </c>
      <c r="D99" t="s">
        <v>269</v>
      </c>
      <c r="E99" t="s">
        <v>269</v>
      </c>
      <c r="F99" t="s">
        <v>270</v>
      </c>
      <c r="G99" t="s">
        <v>458</v>
      </c>
      <c r="H99" s="3">
        <v>3015563.9183299998</v>
      </c>
      <c r="I99">
        <v>296</v>
      </c>
      <c r="J99" s="3">
        <v>300.19489288199998</v>
      </c>
      <c r="K99">
        <v>472</v>
      </c>
      <c r="L99">
        <v>615</v>
      </c>
      <c r="M99">
        <v>527.89164490861594</v>
      </c>
      <c r="N99">
        <v>30.277725353132499</v>
      </c>
      <c r="O99">
        <v>0</v>
      </c>
      <c r="P99">
        <v>35.803924560546903</v>
      </c>
      <c r="Q99">
        <v>7.71214103698731</v>
      </c>
      <c r="R99">
        <v>5.3668732643127397</v>
      </c>
      <c r="S99" t="s">
        <v>272</v>
      </c>
      <c r="T99" t="s">
        <v>472</v>
      </c>
      <c r="U99" t="s">
        <v>473</v>
      </c>
      <c r="V99" t="s">
        <v>473</v>
      </c>
      <c r="W99" s="3">
        <v>702</v>
      </c>
      <c r="X99" s="3">
        <v>3020000</v>
      </c>
      <c r="Y99">
        <v>3</v>
      </c>
      <c r="Z99" s="3">
        <v>252</v>
      </c>
      <c r="AA99" s="3">
        <v>335</v>
      </c>
      <c r="AB99" s="3">
        <v>501</v>
      </c>
      <c r="AC99" s="3">
        <v>575</v>
      </c>
      <c r="AD99" s="3">
        <v>570</v>
      </c>
      <c r="AE99" s="3">
        <v>580</v>
      </c>
      <c r="AF99" s="3">
        <v>576</v>
      </c>
      <c r="AG99" s="3">
        <v>586</v>
      </c>
      <c r="AH99" s="3">
        <v>597</v>
      </c>
      <c r="AI99" s="3">
        <v>595</v>
      </c>
      <c r="AJ99" s="3">
        <v>595</v>
      </c>
      <c r="AK99" s="3">
        <v>590</v>
      </c>
      <c r="AL99" s="3">
        <v>602</v>
      </c>
      <c r="AM99" s="3">
        <v>641</v>
      </c>
      <c r="AN99" s="3">
        <v>654</v>
      </c>
      <c r="AO99" s="3">
        <v>693</v>
      </c>
      <c r="AP99" s="3">
        <v>702</v>
      </c>
      <c r="AR99" s="4">
        <f t="shared" si="17"/>
        <v>233.84808224433746</v>
      </c>
      <c r="AS99" s="5">
        <f t="shared" si="18"/>
        <v>4.1170634920634921</v>
      </c>
      <c r="AT99" s="5">
        <f t="shared" si="11"/>
        <v>5.5058043117744617</v>
      </c>
      <c r="AU99" s="5">
        <f t="shared" si="12"/>
        <v>1.4970059880239519</v>
      </c>
      <c r="AV99" s="5">
        <f t="shared" si="13"/>
        <v>2.1875</v>
      </c>
      <c r="AW99" s="5">
        <f t="shared" si="14"/>
        <v>5.8123249299719886</v>
      </c>
      <c r="AX99" s="5">
        <f t="shared" si="15"/>
        <v>2.0059880239520957</v>
      </c>
      <c r="AY99" s="5">
        <f t="shared" si="16"/>
        <v>4.8262548262548259</v>
      </c>
      <c r="AZ99">
        <f t="shared" si="19"/>
        <v>2960000</v>
      </c>
      <c r="BA99">
        <v>0</v>
      </c>
      <c r="BB99">
        <v>110000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1510000</v>
      </c>
      <c r="BK99">
        <v>0</v>
      </c>
      <c r="BL99">
        <v>0</v>
      </c>
      <c r="BM99">
        <v>0</v>
      </c>
      <c r="BN99">
        <v>0</v>
      </c>
      <c r="BO99">
        <v>730000</v>
      </c>
      <c r="BP99">
        <v>0</v>
      </c>
      <c r="BQ99">
        <v>100000</v>
      </c>
      <c r="BR99">
        <v>300000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210000</v>
      </c>
      <c r="BZ99">
        <v>0</v>
      </c>
      <c r="CA99">
        <v>0</v>
      </c>
      <c r="CB99">
        <v>30</v>
      </c>
      <c r="CC99">
        <v>27</v>
      </c>
      <c r="CD99">
        <v>26</v>
      </c>
      <c r="CE99">
        <v>30</v>
      </c>
      <c r="CF99" s="17">
        <v>9.9009900990099009</v>
      </c>
      <c r="CG99" s="17">
        <v>8.9108910891089099</v>
      </c>
      <c r="CH99" s="17">
        <v>8.5808580858085808</v>
      </c>
      <c r="CI99" s="17">
        <v>9.9009900990099009</v>
      </c>
      <c r="CJ99" s="18">
        <v>1</v>
      </c>
      <c r="CK99" s="18">
        <v>0.9</v>
      </c>
      <c r="CL99" s="18">
        <v>0.8666666666666667</v>
      </c>
      <c r="CM99" s="18">
        <v>1</v>
      </c>
      <c r="CN99" s="18">
        <v>0</v>
      </c>
      <c r="CO99" s="18">
        <v>-0.99009900990099009</v>
      </c>
      <c r="CP99" s="18">
        <v>-1.3201320132013201</v>
      </c>
      <c r="CQ99" s="18">
        <v>0</v>
      </c>
      <c r="CR99" s="18">
        <f t="shared" si="20"/>
        <v>2.5436507936507935</v>
      </c>
      <c r="CS99" s="18">
        <f t="shared" si="21"/>
        <v>2.5436507936507935</v>
      </c>
      <c r="CT99">
        <v>1.01351351351351</v>
      </c>
      <c r="CU99">
        <v>69.594594594594696</v>
      </c>
      <c r="CV99">
        <v>27.364864864864899</v>
      </c>
      <c r="CW99">
        <v>0</v>
      </c>
      <c r="CX99">
        <v>2.0270270270270299</v>
      </c>
      <c r="CY99">
        <v>3.3783783783783798</v>
      </c>
      <c r="CZ99">
        <v>84.459459459459495</v>
      </c>
      <c r="DA99">
        <v>12.1621621621622</v>
      </c>
      <c r="DB99">
        <v>0</v>
      </c>
      <c r="DC99">
        <v>0</v>
      </c>
      <c r="DD99">
        <v>3.3783783783783798</v>
      </c>
      <c r="DE99">
        <v>84.459459459459495</v>
      </c>
      <c r="DF99">
        <v>12.1621621621622</v>
      </c>
      <c r="DG99">
        <v>0</v>
      </c>
      <c r="DH99">
        <v>0</v>
      </c>
      <c r="DI99">
        <v>3.7162162162162198</v>
      </c>
      <c r="DJ99">
        <v>75.675675675675706</v>
      </c>
      <c r="DK99">
        <v>13.5135135135135</v>
      </c>
      <c r="DL99">
        <v>7.0945945945946001</v>
      </c>
      <c r="DM99">
        <v>0</v>
      </c>
      <c r="DN99">
        <v>3.7162162162162198</v>
      </c>
      <c r="DO99">
        <v>75.675675675675706</v>
      </c>
      <c r="DP99">
        <v>13.5135135135135</v>
      </c>
      <c r="DQ99">
        <v>7.0945945945946001</v>
      </c>
      <c r="DR99">
        <v>0</v>
      </c>
      <c r="DS99" t="s">
        <v>312</v>
      </c>
      <c r="DT99" t="s">
        <v>337</v>
      </c>
      <c r="DU99">
        <v>703</v>
      </c>
      <c r="DV99">
        <v>351</v>
      </c>
      <c r="DW99" t="s">
        <v>474</v>
      </c>
      <c r="DX99">
        <v>68</v>
      </c>
      <c r="DY99">
        <v>0</v>
      </c>
      <c r="DZ99">
        <v>68</v>
      </c>
      <c r="EA99">
        <v>433138</v>
      </c>
      <c r="EB99">
        <v>0</v>
      </c>
      <c r="EC99">
        <v>433138</v>
      </c>
      <c r="ED99" t="s">
        <v>274</v>
      </c>
      <c r="EE99" t="s">
        <v>274</v>
      </c>
      <c r="EF99" t="s">
        <v>274</v>
      </c>
      <c r="EG99" t="s">
        <v>274</v>
      </c>
    </row>
    <row r="100" spans="1:137" ht="14.55" customHeight="1" x14ac:dyDescent="0.3">
      <c r="A100" t="s">
        <v>475</v>
      </c>
      <c r="B100">
        <v>2271</v>
      </c>
      <c r="C100" t="s">
        <v>476</v>
      </c>
      <c r="D100" t="s">
        <v>269</v>
      </c>
      <c r="E100" t="s">
        <v>269</v>
      </c>
      <c r="F100" t="s">
        <v>270</v>
      </c>
      <c r="G100" t="s">
        <v>458</v>
      </c>
      <c r="H100" s="3">
        <v>1847526.4080699999</v>
      </c>
      <c r="I100">
        <v>34</v>
      </c>
      <c r="J100" s="3">
        <v>34.184460296300003</v>
      </c>
      <c r="K100">
        <v>425</v>
      </c>
      <c r="L100">
        <v>451</v>
      </c>
      <c r="M100">
        <v>439.27447216890602</v>
      </c>
      <c r="N100">
        <v>6.4119236455651496</v>
      </c>
      <c r="O100">
        <v>0</v>
      </c>
      <c r="P100">
        <v>14.491950988769499</v>
      </c>
      <c r="Q100">
        <v>4.7031083106994602</v>
      </c>
      <c r="R100">
        <v>3.0348703861236599</v>
      </c>
      <c r="S100" t="s">
        <v>272</v>
      </c>
      <c r="T100" t="s">
        <v>475</v>
      </c>
      <c r="U100" t="s">
        <v>476</v>
      </c>
      <c r="V100" t="s">
        <v>476</v>
      </c>
      <c r="W100" s="3">
        <v>573</v>
      </c>
      <c r="X100" s="3">
        <v>340000</v>
      </c>
      <c r="Y100">
        <v>2</v>
      </c>
      <c r="Z100" s="3">
        <v>316</v>
      </c>
      <c r="AA100" s="3">
        <v>365</v>
      </c>
      <c r="AB100" s="3">
        <v>517</v>
      </c>
      <c r="AC100" s="3">
        <v>612</v>
      </c>
      <c r="AD100" s="3">
        <v>607</v>
      </c>
      <c r="AE100" s="3">
        <v>592</v>
      </c>
      <c r="AF100" s="3">
        <v>598</v>
      </c>
      <c r="AG100" s="3">
        <v>593</v>
      </c>
      <c r="AH100" s="3">
        <v>601</v>
      </c>
      <c r="AI100" s="3">
        <v>597</v>
      </c>
      <c r="AJ100" s="3">
        <v>584</v>
      </c>
      <c r="AK100" s="3">
        <v>599</v>
      </c>
      <c r="AL100" s="3">
        <v>592</v>
      </c>
      <c r="AM100" s="3">
        <v>580</v>
      </c>
      <c r="AN100" s="3">
        <v>575</v>
      </c>
      <c r="AO100" s="3">
        <v>565</v>
      </c>
      <c r="AP100" s="3">
        <v>573</v>
      </c>
      <c r="AR100" s="4">
        <f t="shared" si="17"/>
        <v>1676.2002238251496</v>
      </c>
      <c r="AS100" s="5">
        <f t="shared" si="18"/>
        <v>1.9382911392405062</v>
      </c>
      <c r="AT100" s="5">
        <f t="shared" si="11"/>
        <v>4.6270928462709282</v>
      </c>
      <c r="AU100" s="5">
        <f t="shared" si="12"/>
        <v>1.5667311411992264</v>
      </c>
      <c r="AV100" s="5">
        <f t="shared" si="13"/>
        <v>-0.41806020066889632</v>
      </c>
      <c r="AW100" s="5">
        <f t="shared" si="14"/>
        <v>3.7416232315711091</v>
      </c>
      <c r="AX100" s="5">
        <f t="shared" si="15"/>
        <v>0.5415860735009671</v>
      </c>
      <c r="AY100" s="5">
        <f t="shared" si="16"/>
        <v>2.1980841601094765</v>
      </c>
      <c r="AZ100">
        <f t="shared" si="19"/>
        <v>340000</v>
      </c>
      <c r="BA100">
        <v>0</v>
      </c>
      <c r="BB100">
        <v>330000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10000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27</v>
      </c>
      <c r="CC100">
        <v>28</v>
      </c>
      <c r="CD100">
        <v>31</v>
      </c>
      <c r="CE100">
        <v>31</v>
      </c>
      <c r="CF100" s="17">
        <v>79.411764705882348</v>
      </c>
      <c r="CG100" s="17">
        <v>82.35294117647058</v>
      </c>
      <c r="CH100" s="17">
        <v>91.17647058823529</v>
      </c>
      <c r="CI100" s="17">
        <v>91.17647058823529</v>
      </c>
      <c r="CJ100" s="18">
        <v>1</v>
      </c>
      <c r="CK100" s="18">
        <v>1.037037037037037</v>
      </c>
      <c r="CL100" s="18">
        <v>1.1481481481481481</v>
      </c>
      <c r="CM100" s="18">
        <v>1.1481481481481481</v>
      </c>
      <c r="CN100" s="18">
        <v>0</v>
      </c>
      <c r="CO100" s="18">
        <v>2.9411764705882351</v>
      </c>
      <c r="CP100" s="18">
        <v>11.76470588235294</v>
      </c>
      <c r="CQ100" s="18">
        <v>11.76470588235294</v>
      </c>
      <c r="CR100" s="18">
        <f t="shared" si="20"/>
        <v>1.8354430379746836</v>
      </c>
      <c r="CS100" s="18">
        <f t="shared" si="21"/>
        <v>1.5986116782360147</v>
      </c>
      <c r="CT100">
        <v>64.705882352941202</v>
      </c>
      <c r="CU100">
        <v>0</v>
      </c>
      <c r="CV100">
        <v>0</v>
      </c>
      <c r="CW100">
        <v>0</v>
      </c>
      <c r="CX100">
        <v>35.294117647058798</v>
      </c>
      <c r="CY100">
        <v>97.058823529411796</v>
      </c>
      <c r="CZ100">
        <v>2.9411764705882399</v>
      </c>
      <c r="DA100">
        <v>0</v>
      </c>
      <c r="DB100">
        <v>0</v>
      </c>
      <c r="DC100">
        <v>0</v>
      </c>
      <c r="DD100">
        <v>97.058823529411796</v>
      </c>
      <c r="DE100">
        <v>2.9411764705882399</v>
      </c>
      <c r="DF100">
        <v>0</v>
      </c>
      <c r="DG100">
        <v>0</v>
      </c>
      <c r="DH100">
        <v>0</v>
      </c>
      <c r="DI100">
        <v>97.058823529411796</v>
      </c>
      <c r="DJ100">
        <v>2.9411764705882399</v>
      </c>
      <c r="DK100">
        <v>0</v>
      </c>
      <c r="DL100">
        <v>0</v>
      </c>
      <c r="DM100">
        <v>0</v>
      </c>
      <c r="DN100">
        <v>97.058823529411796</v>
      </c>
      <c r="DO100">
        <v>2.9411764705882399</v>
      </c>
      <c r="DP100">
        <v>0</v>
      </c>
      <c r="DQ100">
        <v>0</v>
      </c>
      <c r="DR100">
        <v>0</v>
      </c>
      <c r="DS100" t="s">
        <v>459</v>
      </c>
      <c r="DT100">
        <v>0</v>
      </c>
      <c r="DU100">
        <v>565</v>
      </c>
      <c r="DV100">
        <v>92275</v>
      </c>
      <c r="DW100">
        <v>92275</v>
      </c>
      <c r="DX100">
        <v>92275</v>
      </c>
      <c r="DY100">
        <v>92275</v>
      </c>
      <c r="DZ100">
        <v>92275</v>
      </c>
      <c r="EA100">
        <v>92275</v>
      </c>
      <c r="EB100">
        <v>92275</v>
      </c>
      <c r="EC100">
        <v>92275</v>
      </c>
      <c r="ED100" t="s">
        <v>274</v>
      </c>
      <c r="EE100" t="s">
        <v>274</v>
      </c>
      <c r="EF100" t="s">
        <v>274</v>
      </c>
      <c r="EG100" t="s">
        <v>274</v>
      </c>
    </row>
    <row r="101" spans="1:137" ht="14.55" customHeight="1" x14ac:dyDescent="0.3">
      <c r="A101" t="s">
        <v>477</v>
      </c>
      <c r="B101">
        <v>2272</v>
      </c>
      <c r="C101" t="s">
        <v>478</v>
      </c>
      <c r="D101" t="s">
        <v>269</v>
      </c>
      <c r="E101" t="s">
        <v>269</v>
      </c>
      <c r="F101" t="s">
        <v>270</v>
      </c>
      <c r="G101" t="s">
        <v>458</v>
      </c>
      <c r="H101" s="3">
        <v>11351442.3409</v>
      </c>
      <c r="I101">
        <v>1135</v>
      </c>
      <c r="J101" s="3">
        <v>1135.1442340900001</v>
      </c>
      <c r="K101">
        <v>480</v>
      </c>
      <c r="L101">
        <v>673</v>
      </c>
      <c r="M101">
        <v>585.440608610455</v>
      </c>
      <c r="N101">
        <v>30.8199630998846</v>
      </c>
      <c r="O101">
        <v>0</v>
      </c>
      <c r="P101">
        <v>39.1384086608887</v>
      </c>
      <c r="Q101">
        <v>6.3319444656372097</v>
      </c>
      <c r="R101">
        <v>4.8726677894592303</v>
      </c>
      <c r="S101" t="s">
        <v>272</v>
      </c>
      <c r="T101" t="s">
        <v>477</v>
      </c>
      <c r="U101" t="s">
        <v>478</v>
      </c>
      <c r="V101" t="s">
        <v>478</v>
      </c>
      <c r="W101" s="3">
        <v>2116</v>
      </c>
      <c r="X101" s="3">
        <v>11380000</v>
      </c>
      <c r="Y101">
        <v>3</v>
      </c>
      <c r="Z101" s="3">
        <v>931</v>
      </c>
      <c r="AA101" s="3">
        <v>1050</v>
      </c>
      <c r="AB101" s="3">
        <v>1225</v>
      </c>
      <c r="AC101" s="3">
        <v>1311</v>
      </c>
      <c r="AD101" s="3">
        <v>1331</v>
      </c>
      <c r="AE101" s="3">
        <v>1385</v>
      </c>
      <c r="AF101" s="3">
        <v>1439</v>
      </c>
      <c r="AG101" s="3">
        <v>1498</v>
      </c>
      <c r="AH101" s="3">
        <v>1559</v>
      </c>
      <c r="AI101" s="3">
        <v>1635</v>
      </c>
      <c r="AJ101" s="3">
        <v>1677</v>
      </c>
      <c r="AK101" s="3">
        <v>1763</v>
      </c>
      <c r="AL101" s="3">
        <v>1835</v>
      </c>
      <c r="AM101" s="3">
        <v>1909</v>
      </c>
      <c r="AN101" s="3">
        <v>1958</v>
      </c>
      <c r="AO101" s="3">
        <v>2044</v>
      </c>
      <c r="AP101" s="3">
        <v>2116</v>
      </c>
      <c r="AR101" s="4">
        <f t="shared" si="17"/>
        <v>186.40802961011497</v>
      </c>
      <c r="AS101" s="5">
        <f t="shared" si="18"/>
        <v>1.5977443609022555</v>
      </c>
      <c r="AT101" s="5">
        <f t="shared" si="11"/>
        <v>1.8518518518518516</v>
      </c>
      <c r="AU101" s="5">
        <f t="shared" si="12"/>
        <v>1.7469387755102044</v>
      </c>
      <c r="AV101" s="5">
        <f t="shared" si="13"/>
        <v>4.704656011118832</v>
      </c>
      <c r="AW101" s="5">
        <f t="shared" si="14"/>
        <v>1.8575851393188854</v>
      </c>
      <c r="AX101" s="5">
        <f t="shared" si="15"/>
        <v>3.6367346938775511</v>
      </c>
      <c r="AY101" s="5">
        <f t="shared" si="16"/>
        <v>3.4400673498417857</v>
      </c>
      <c r="AZ101">
        <f t="shared" si="19"/>
        <v>11330000</v>
      </c>
      <c r="BA101">
        <v>0</v>
      </c>
      <c r="BB101">
        <v>450000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6480000</v>
      </c>
      <c r="BK101">
        <v>0</v>
      </c>
      <c r="BL101">
        <v>0</v>
      </c>
      <c r="BM101">
        <v>2030000</v>
      </c>
      <c r="BN101">
        <v>0</v>
      </c>
      <c r="BO101">
        <v>450000</v>
      </c>
      <c r="BP101">
        <v>0</v>
      </c>
      <c r="BQ101">
        <v>0</v>
      </c>
      <c r="BR101">
        <v>1920000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62</v>
      </c>
      <c r="CC101">
        <v>72</v>
      </c>
      <c r="CD101">
        <v>80</v>
      </c>
      <c r="CE101">
        <v>97</v>
      </c>
      <c r="CF101" s="17">
        <v>5.462555066079295</v>
      </c>
      <c r="CG101" s="17">
        <v>6.3436123348017626</v>
      </c>
      <c r="CH101" s="17">
        <v>7.0484581497797363</v>
      </c>
      <c r="CI101" s="17">
        <v>8.5462555066079293</v>
      </c>
      <c r="CJ101" s="18">
        <v>1</v>
      </c>
      <c r="CK101" s="18">
        <v>1.1612903225806452</v>
      </c>
      <c r="CL101" s="18">
        <v>1.2903225806451613</v>
      </c>
      <c r="CM101" s="18">
        <v>1.564516129032258</v>
      </c>
      <c r="CN101" s="18">
        <v>0</v>
      </c>
      <c r="CO101" s="18">
        <v>0.88105726872246704</v>
      </c>
      <c r="CP101" s="18">
        <v>1.5859030837004406</v>
      </c>
      <c r="CQ101" s="18">
        <v>3.0837004405286343</v>
      </c>
      <c r="CR101" s="18">
        <f t="shared" si="20"/>
        <v>2.050483351235231</v>
      </c>
      <c r="CS101" s="18">
        <f t="shared" si="21"/>
        <v>1.3106182245008693</v>
      </c>
      <c r="CT101">
        <v>1.23565754633716</v>
      </c>
      <c r="CU101">
        <v>82.789055604589606</v>
      </c>
      <c r="CV101">
        <v>15.975286849073299</v>
      </c>
      <c r="CW101">
        <v>0</v>
      </c>
      <c r="CX101">
        <v>0</v>
      </c>
      <c r="CY101">
        <v>3.9717563989408702</v>
      </c>
      <c r="CZ101">
        <v>78.199470432480098</v>
      </c>
      <c r="DA101">
        <v>17.828773168579001</v>
      </c>
      <c r="DB101">
        <v>0</v>
      </c>
      <c r="DC101">
        <v>0</v>
      </c>
      <c r="DD101">
        <v>3.9717563989408702</v>
      </c>
      <c r="DE101">
        <v>78.199470432480098</v>
      </c>
      <c r="DF101">
        <v>17.828773168579001</v>
      </c>
      <c r="DG101">
        <v>0</v>
      </c>
      <c r="DH101">
        <v>0</v>
      </c>
      <c r="DI101">
        <v>3.9717563989408702</v>
      </c>
      <c r="DJ101">
        <v>79.082082965578167</v>
      </c>
      <c r="DK101">
        <v>16.946160635481</v>
      </c>
      <c r="DL101">
        <v>0</v>
      </c>
      <c r="DM101">
        <v>0</v>
      </c>
      <c r="DN101">
        <v>3.9717563989408702</v>
      </c>
      <c r="DO101">
        <v>79.082082965578167</v>
      </c>
      <c r="DP101">
        <v>16.946160635481</v>
      </c>
      <c r="DQ101">
        <v>0</v>
      </c>
      <c r="DR101">
        <v>0</v>
      </c>
      <c r="DS101" t="s">
        <v>273</v>
      </c>
      <c r="DT101" t="s">
        <v>273</v>
      </c>
      <c r="DU101" t="s">
        <v>273</v>
      </c>
      <c r="DV101" t="s">
        <v>273</v>
      </c>
      <c r="DW101" t="s">
        <v>273</v>
      </c>
      <c r="DX101" t="s">
        <v>273</v>
      </c>
      <c r="DY101" t="s">
        <v>273</v>
      </c>
      <c r="DZ101" t="s">
        <v>273</v>
      </c>
      <c r="EA101" t="s">
        <v>273</v>
      </c>
      <c r="EB101" t="s">
        <v>273</v>
      </c>
      <c r="EC101" t="s">
        <v>273</v>
      </c>
      <c r="ED101" t="s">
        <v>274</v>
      </c>
      <c r="EE101" t="s">
        <v>274</v>
      </c>
      <c r="EF101" t="s">
        <v>274</v>
      </c>
      <c r="EG101" t="s">
        <v>274</v>
      </c>
    </row>
    <row r="102" spans="1:137" ht="14.55" customHeight="1" x14ac:dyDescent="0.3">
      <c r="A102" t="s">
        <v>479</v>
      </c>
      <c r="B102">
        <v>2274</v>
      </c>
      <c r="C102" t="s">
        <v>480</v>
      </c>
      <c r="D102" t="s">
        <v>269</v>
      </c>
      <c r="E102" t="s">
        <v>269</v>
      </c>
      <c r="F102" t="s">
        <v>270</v>
      </c>
      <c r="G102" t="s">
        <v>458</v>
      </c>
      <c r="H102" s="3">
        <v>2504409.9690999999</v>
      </c>
      <c r="I102">
        <v>108</v>
      </c>
      <c r="J102" s="3">
        <v>110.34825643400001</v>
      </c>
      <c r="K102">
        <v>416</v>
      </c>
      <c r="L102">
        <v>455</v>
      </c>
      <c r="M102">
        <v>432.35769459298899</v>
      </c>
      <c r="N102">
        <v>6.7800810921970696</v>
      </c>
      <c r="O102">
        <v>0</v>
      </c>
      <c r="P102">
        <v>19.451200485229499</v>
      </c>
      <c r="Q102">
        <v>4.7126760482788104</v>
      </c>
      <c r="R102">
        <v>3.0183269977569598</v>
      </c>
      <c r="S102" t="s">
        <v>272</v>
      </c>
      <c r="T102" t="s">
        <v>479</v>
      </c>
      <c r="U102" t="s">
        <v>480</v>
      </c>
      <c r="V102" t="s">
        <v>480</v>
      </c>
      <c r="W102" s="3">
        <v>954</v>
      </c>
      <c r="X102" s="3">
        <v>1100000</v>
      </c>
      <c r="Y102">
        <v>2</v>
      </c>
      <c r="Z102" s="3">
        <v>598</v>
      </c>
      <c r="AA102" s="3">
        <v>699</v>
      </c>
      <c r="AB102" s="3">
        <v>725</v>
      </c>
      <c r="AC102" s="3">
        <v>891</v>
      </c>
      <c r="AD102" s="3">
        <v>920</v>
      </c>
      <c r="AE102" s="3">
        <v>920</v>
      </c>
      <c r="AF102" s="3">
        <v>908</v>
      </c>
      <c r="AG102" s="3">
        <v>929</v>
      </c>
      <c r="AH102" s="3">
        <v>941</v>
      </c>
      <c r="AI102" s="3">
        <v>951</v>
      </c>
      <c r="AJ102" s="3">
        <v>941</v>
      </c>
      <c r="AK102" s="3">
        <v>953</v>
      </c>
      <c r="AL102" s="3">
        <v>955</v>
      </c>
      <c r="AM102" s="3">
        <v>953</v>
      </c>
      <c r="AN102" s="3">
        <v>972</v>
      </c>
      <c r="AO102" s="3">
        <v>972</v>
      </c>
      <c r="AP102" s="3">
        <v>954</v>
      </c>
      <c r="AR102" s="4">
        <f t="shared" si="17"/>
        <v>864.53563547747888</v>
      </c>
      <c r="AS102" s="5">
        <f t="shared" si="18"/>
        <v>2.1112040133779262</v>
      </c>
      <c r="AT102" s="5">
        <f t="shared" si="11"/>
        <v>0.41328882530599265</v>
      </c>
      <c r="AU102" s="5">
        <f t="shared" si="12"/>
        <v>2.5241379310344829</v>
      </c>
      <c r="AV102" s="5">
        <f t="shared" si="13"/>
        <v>0.50660792951541855</v>
      </c>
      <c r="AW102" s="5">
        <f t="shared" si="14"/>
        <v>1.2492622467047019</v>
      </c>
      <c r="AX102" s="5">
        <f t="shared" si="15"/>
        <v>1.579310344827586</v>
      </c>
      <c r="AY102" s="5">
        <f t="shared" si="16"/>
        <v>1.6089668263581307</v>
      </c>
      <c r="AZ102">
        <f t="shared" si="19"/>
        <v>1100000</v>
      </c>
      <c r="BA102">
        <v>0</v>
      </c>
      <c r="BB102">
        <v>470000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250000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380000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31</v>
      </c>
      <c r="CC102">
        <v>33</v>
      </c>
      <c r="CD102">
        <v>40</v>
      </c>
      <c r="CE102">
        <v>42</v>
      </c>
      <c r="CF102" s="17">
        <v>27.192982456140353</v>
      </c>
      <c r="CG102" s="17">
        <v>28.947368421052634</v>
      </c>
      <c r="CH102" s="17">
        <v>35.087719298245609</v>
      </c>
      <c r="CI102" s="17">
        <v>36.84210526315789</v>
      </c>
      <c r="CJ102" s="18">
        <v>1</v>
      </c>
      <c r="CK102" s="18">
        <v>1.064516129032258</v>
      </c>
      <c r="CL102" s="18">
        <v>1.2903225806451613</v>
      </c>
      <c r="CM102" s="18">
        <v>1.3548387096774193</v>
      </c>
      <c r="CN102" s="18">
        <v>0</v>
      </c>
      <c r="CO102" s="18">
        <v>1.7543859649122806</v>
      </c>
      <c r="CP102" s="18">
        <v>7.8947368421052628</v>
      </c>
      <c r="CQ102" s="18">
        <v>9.6491228070175428</v>
      </c>
      <c r="CR102" s="18">
        <f t="shared" si="20"/>
        <v>1.5936454849498327</v>
      </c>
      <c r="CS102" s="18">
        <f t="shared" si="21"/>
        <v>1.1762621436534479</v>
      </c>
      <c r="CT102">
        <v>6.3636363636363598</v>
      </c>
      <c r="CU102">
        <v>23.636363636363601</v>
      </c>
      <c r="CV102">
        <v>51.818181818181799</v>
      </c>
      <c r="CW102">
        <v>0</v>
      </c>
      <c r="CX102">
        <v>18.181818181818201</v>
      </c>
      <c r="CY102">
        <v>42.727272727272698</v>
      </c>
      <c r="CZ102">
        <v>22.727272727272702</v>
      </c>
      <c r="DA102">
        <v>34.545454545454596</v>
      </c>
      <c r="DB102">
        <v>0</v>
      </c>
      <c r="DC102">
        <v>0</v>
      </c>
      <c r="DD102">
        <v>42.727272727272698</v>
      </c>
      <c r="DE102">
        <v>22.727272727272702</v>
      </c>
      <c r="DF102">
        <v>34.545454545454596</v>
      </c>
      <c r="DG102">
        <v>0</v>
      </c>
      <c r="DH102">
        <v>0</v>
      </c>
      <c r="DI102">
        <v>42.727272727272698</v>
      </c>
      <c r="DJ102">
        <v>22.727272727272702</v>
      </c>
      <c r="DK102">
        <v>34.545454545454596</v>
      </c>
      <c r="DL102">
        <v>0</v>
      </c>
      <c r="DM102">
        <v>0</v>
      </c>
      <c r="DN102">
        <v>42.727272727272698</v>
      </c>
      <c r="DO102">
        <v>22.727272727272702</v>
      </c>
      <c r="DP102">
        <v>34.545454545454596</v>
      </c>
      <c r="DQ102">
        <v>0</v>
      </c>
      <c r="DR102">
        <v>0</v>
      </c>
      <c r="DS102" t="s">
        <v>459</v>
      </c>
      <c r="DT102">
        <v>0</v>
      </c>
      <c r="DU102">
        <v>956</v>
      </c>
      <c r="DV102">
        <v>92275</v>
      </c>
      <c r="DW102">
        <v>92275</v>
      </c>
      <c r="DX102">
        <v>92275</v>
      </c>
      <c r="DY102">
        <v>92275</v>
      </c>
      <c r="DZ102">
        <v>92275</v>
      </c>
      <c r="EA102">
        <v>92275</v>
      </c>
      <c r="EB102">
        <v>92275</v>
      </c>
      <c r="EC102">
        <v>92275</v>
      </c>
      <c r="ED102" t="s">
        <v>274</v>
      </c>
      <c r="EE102" t="s">
        <v>274</v>
      </c>
      <c r="EF102" t="s">
        <v>274</v>
      </c>
      <c r="EG102" t="s">
        <v>274</v>
      </c>
    </row>
    <row r="103" spans="1:137" ht="14.55" customHeight="1" x14ac:dyDescent="0.3">
      <c r="A103" t="s">
        <v>481</v>
      </c>
      <c r="B103">
        <v>2275</v>
      </c>
      <c r="C103" t="s">
        <v>482</v>
      </c>
      <c r="D103" t="s">
        <v>269</v>
      </c>
      <c r="E103" t="s">
        <v>269</v>
      </c>
      <c r="F103" t="s">
        <v>270</v>
      </c>
      <c r="G103" t="s">
        <v>458</v>
      </c>
      <c r="H103" s="3">
        <v>39559594.378600001</v>
      </c>
      <c r="I103">
        <v>3649</v>
      </c>
      <c r="J103" s="3">
        <v>3641.0178355899998</v>
      </c>
      <c r="K103">
        <v>411</v>
      </c>
      <c r="L103">
        <v>639</v>
      </c>
      <c r="M103">
        <v>497.46512754278302</v>
      </c>
      <c r="N103">
        <v>58.070807494793101</v>
      </c>
      <c r="O103">
        <v>0</v>
      </c>
      <c r="P103">
        <v>30.680976867675799</v>
      </c>
      <c r="Q103">
        <v>5.6057667732238796</v>
      </c>
      <c r="R103">
        <v>3.8607418537139901</v>
      </c>
      <c r="S103" t="s">
        <v>272</v>
      </c>
      <c r="T103" t="s">
        <v>481</v>
      </c>
      <c r="U103" t="s">
        <v>482</v>
      </c>
      <c r="V103" t="s">
        <v>482</v>
      </c>
      <c r="W103" s="3">
        <v>8259</v>
      </c>
      <c r="X103" s="3">
        <v>24700000</v>
      </c>
      <c r="Y103">
        <v>2</v>
      </c>
      <c r="Z103" s="3">
        <v>5505</v>
      </c>
      <c r="AA103" s="3">
        <v>5719</v>
      </c>
      <c r="AB103" s="3">
        <v>6769</v>
      </c>
      <c r="AC103" s="3">
        <v>7368</v>
      </c>
      <c r="AD103" s="3">
        <v>7440</v>
      </c>
      <c r="AE103" s="3">
        <v>7586</v>
      </c>
      <c r="AF103" s="3">
        <v>7650</v>
      </c>
      <c r="AG103" s="3">
        <v>7734</v>
      </c>
      <c r="AH103" s="3">
        <v>7786</v>
      </c>
      <c r="AI103" s="3">
        <v>7863</v>
      </c>
      <c r="AJ103" s="3">
        <v>7915</v>
      </c>
      <c r="AK103" s="3">
        <v>8006</v>
      </c>
      <c r="AL103" s="3">
        <v>8120</v>
      </c>
      <c r="AM103" s="3">
        <v>8168</v>
      </c>
      <c r="AN103" s="3">
        <v>8222</v>
      </c>
      <c r="AO103" s="3">
        <v>8279</v>
      </c>
      <c r="AP103" s="3">
        <v>8259</v>
      </c>
      <c r="AR103" s="4">
        <f t="shared" si="17"/>
        <v>226.83217641150856</v>
      </c>
      <c r="AS103" s="5">
        <f t="shared" si="18"/>
        <v>0.48592188919164392</v>
      </c>
      <c r="AT103" s="5">
        <f t="shared" si="11"/>
        <v>2.0399836801305589</v>
      </c>
      <c r="AU103" s="5">
        <f t="shared" si="12"/>
        <v>1.301521642783277</v>
      </c>
      <c r="AV103" s="5">
        <f t="shared" si="13"/>
        <v>0.79607843137254908</v>
      </c>
      <c r="AW103" s="5">
        <f t="shared" si="14"/>
        <v>1.3506437997542342</v>
      </c>
      <c r="AX103" s="5">
        <f t="shared" si="15"/>
        <v>1.1006057024671296</v>
      </c>
      <c r="AY103" s="5">
        <f t="shared" si="16"/>
        <v>1.3520877826054938</v>
      </c>
      <c r="AZ103">
        <f t="shared" si="19"/>
        <v>36450000</v>
      </c>
      <c r="BA103">
        <v>0</v>
      </c>
      <c r="BB103">
        <v>3020000</v>
      </c>
      <c r="BC103">
        <v>200000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23890000</v>
      </c>
      <c r="BK103">
        <v>0</v>
      </c>
      <c r="BL103">
        <v>0</v>
      </c>
      <c r="BM103">
        <v>640000</v>
      </c>
      <c r="BN103">
        <v>0</v>
      </c>
      <c r="BO103">
        <v>380000</v>
      </c>
      <c r="BP103">
        <v>200000</v>
      </c>
      <c r="BQ103">
        <v>0</v>
      </c>
      <c r="BR103">
        <v>5070000</v>
      </c>
      <c r="BS103">
        <v>0</v>
      </c>
      <c r="BT103">
        <v>0</v>
      </c>
      <c r="BU103">
        <v>3030000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20000</v>
      </c>
      <c r="CB103">
        <v>238</v>
      </c>
      <c r="CC103">
        <v>310</v>
      </c>
      <c r="CD103">
        <v>354</v>
      </c>
      <c r="CE103">
        <v>382</v>
      </c>
      <c r="CF103" s="17">
        <v>9.62004850444624</v>
      </c>
      <c r="CG103" s="17">
        <v>12.530315278900567</v>
      </c>
      <c r="CH103" s="17">
        <v>14.308811641067098</v>
      </c>
      <c r="CI103" s="17">
        <v>15.440582053354889</v>
      </c>
      <c r="CJ103" s="18">
        <v>1</v>
      </c>
      <c r="CK103" s="18">
        <v>1.3025210084033614</v>
      </c>
      <c r="CL103" s="18">
        <v>1.4873949579831933</v>
      </c>
      <c r="CM103" s="18">
        <v>1.6050420168067228</v>
      </c>
      <c r="CN103" s="18">
        <v>0</v>
      </c>
      <c r="CO103" s="18">
        <v>2.9102667744543247</v>
      </c>
      <c r="CP103" s="18">
        <v>4.6887631366208566</v>
      </c>
      <c r="CQ103" s="18">
        <v>5.8205335489086494</v>
      </c>
      <c r="CR103" s="18">
        <f t="shared" si="20"/>
        <v>1.4837420526793823</v>
      </c>
      <c r="CS103" s="18">
        <f t="shared" si="21"/>
        <v>0.92442567680024335</v>
      </c>
      <c r="CT103">
        <v>5.8452250274423658</v>
      </c>
      <c r="CU103">
        <v>69.374313940724477</v>
      </c>
      <c r="CV103">
        <v>23.737650933040602</v>
      </c>
      <c r="CW103">
        <v>0.164654226125137</v>
      </c>
      <c r="CX103">
        <v>0.87815587266739903</v>
      </c>
      <c r="CY103">
        <v>8.5620197585071338</v>
      </c>
      <c r="CZ103">
        <v>68.523600439077896</v>
      </c>
      <c r="DA103">
        <v>22.859495060373231</v>
      </c>
      <c r="DB103">
        <v>0</v>
      </c>
      <c r="DC103">
        <v>5.4884742041712398E-2</v>
      </c>
      <c r="DD103">
        <v>8.836443468715693</v>
      </c>
      <c r="DE103">
        <v>67.919868276619098</v>
      </c>
      <c r="DF103">
        <v>23.188803512623501</v>
      </c>
      <c r="DG103">
        <v>0</v>
      </c>
      <c r="DH103">
        <v>5.4884742041712398E-2</v>
      </c>
      <c r="DI103">
        <v>8.836443468715693</v>
      </c>
      <c r="DJ103">
        <v>68.331503841931948</v>
      </c>
      <c r="DK103">
        <v>22.77716794731063</v>
      </c>
      <c r="DL103">
        <v>0</v>
      </c>
      <c r="DM103">
        <v>5.4884742041712398E-2</v>
      </c>
      <c r="DN103">
        <v>8.836443468715693</v>
      </c>
      <c r="DO103">
        <v>68.331503841931948</v>
      </c>
      <c r="DP103">
        <v>22.77716794731063</v>
      </c>
      <c r="DQ103">
        <v>0</v>
      </c>
      <c r="DR103">
        <v>5.4884742041712398E-2</v>
      </c>
      <c r="DS103" t="s">
        <v>459</v>
      </c>
      <c r="DT103">
        <v>0</v>
      </c>
      <c r="DU103">
        <v>9414</v>
      </c>
      <c r="DV103">
        <v>92275</v>
      </c>
      <c r="DW103">
        <v>92275</v>
      </c>
      <c r="DX103">
        <v>92275</v>
      </c>
      <c r="DY103">
        <v>92275</v>
      </c>
      <c r="DZ103">
        <v>92275</v>
      </c>
      <c r="EA103">
        <v>92275</v>
      </c>
      <c r="EB103">
        <v>92275</v>
      </c>
      <c r="EC103">
        <v>92275</v>
      </c>
      <c r="ED103" t="s">
        <v>274</v>
      </c>
      <c r="EE103" t="s">
        <v>274</v>
      </c>
      <c r="EF103" t="s">
        <v>274</v>
      </c>
      <c r="EG103" t="s">
        <v>274</v>
      </c>
    </row>
    <row r="104" spans="1:137" ht="14.55" customHeight="1" x14ac:dyDescent="0.3">
      <c r="A104" t="s">
        <v>483</v>
      </c>
      <c r="B104">
        <v>2276</v>
      </c>
      <c r="C104" t="s">
        <v>484</v>
      </c>
      <c r="D104" t="s">
        <v>269</v>
      </c>
      <c r="E104" t="s">
        <v>269</v>
      </c>
      <c r="F104" t="s">
        <v>270</v>
      </c>
      <c r="G104" t="s">
        <v>458</v>
      </c>
      <c r="H104" s="3">
        <v>7551084.4714500001</v>
      </c>
      <c r="I104">
        <v>760</v>
      </c>
      <c r="J104" s="3">
        <v>755.10844714500001</v>
      </c>
      <c r="K104">
        <v>419</v>
      </c>
      <c r="L104">
        <v>543</v>
      </c>
      <c r="M104">
        <v>461.32085746391198</v>
      </c>
      <c r="N104">
        <v>32.170539947488002</v>
      </c>
      <c r="O104">
        <v>0</v>
      </c>
      <c r="P104">
        <v>28.946313858032202</v>
      </c>
      <c r="Q104">
        <v>4.6317687034606898</v>
      </c>
      <c r="R104">
        <v>3.5430443286895801</v>
      </c>
      <c r="S104" t="s">
        <v>272</v>
      </c>
      <c r="T104" t="s">
        <v>483</v>
      </c>
      <c r="U104" t="s">
        <v>484</v>
      </c>
      <c r="V104" t="s">
        <v>484</v>
      </c>
      <c r="W104" s="3">
        <v>1160</v>
      </c>
      <c r="X104" s="3">
        <v>7550000</v>
      </c>
      <c r="Y104">
        <v>3</v>
      </c>
      <c r="Z104" s="3">
        <v>613</v>
      </c>
      <c r="AA104" s="3">
        <v>690</v>
      </c>
      <c r="AB104" s="3">
        <v>855</v>
      </c>
      <c r="AC104" s="3">
        <v>886</v>
      </c>
      <c r="AD104" s="3">
        <v>937</v>
      </c>
      <c r="AE104" s="3">
        <v>956</v>
      </c>
      <c r="AF104" s="3">
        <v>980</v>
      </c>
      <c r="AG104" s="3">
        <v>998</v>
      </c>
      <c r="AH104" s="3">
        <v>1022</v>
      </c>
      <c r="AI104" s="3">
        <v>1029</v>
      </c>
      <c r="AJ104" s="3">
        <v>1079</v>
      </c>
      <c r="AK104" s="3">
        <v>1093</v>
      </c>
      <c r="AL104" s="3">
        <v>1095</v>
      </c>
      <c r="AM104" s="3">
        <v>1159</v>
      </c>
      <c r="AN104" s="3">
        <v>1185</v>
      </c>
      <c r="AO104" s="3">
        <v>1183</v>
      </c>
      <c r="AP104" s="3">
        <v>1160</v>
      </c>
      <c r="AR104" s="4">
        <f t="shared" si="17"/>
        <v>153.62031829810144</v>
      </c>
      <c r="AS104" s="5">
        <f t="shared" si="18"/>
        <v>1.5701468189233279</v>
      </c>
      <c r="AT104" s="5">
        <f t="shared" si="11"/>
        <v>2.6570048309178742</v>
      </c>
      <c r="AU104" s="5">
        <f t="shared" si="12"/>
        <v>1.4619883040935671</v>
      </c>
      <c r="AV104" s="5">
        <f t="shared" si="13"/>
        <v>1.8367346938775513</v>
      </c>
      <c r="AW104" s="5">
        <f t="shared" si="14"/>
        <v>2.3222339506765186</v>
      </c>
      <c r="AX104" s="5">
        <f t="shared" si="15"/>
        <v>1.7836257309941519</v>
      </c>
      <c r="AY104" s="5">
        <f t="shared" si="16"/>
        <v>2.4117102420528194</v>
      </c>
      <c r="AZ104">
        <f t="shared" si="19"/>
        <v>7610000</v>
      </c>
      <c r="BA104">
        <v>0</v>
      </c>
      <c r="BB104">
        <v>530000</v>
      </c>
      <c r="BC104">
        <v>130000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6400000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550000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73</v>
      </c>
      <c r="CC104">
        <v>85</v>
      </c>
      <c r="CD104">
        <v>95</v>
      </c>
      <c r="CE104">
        <v>109</v>
      </c>
      <c r="CF104" s="17">
        <v>9.6816976127320959</v>
      </c>
      <c r="CG104" s="17">
        <v>11.273209549071618</v>
      </c>
      <c r="CH104" s="17">
        <v>12.599469496021221</v>
      </c>
      <c r="CI104" s="17">
        <v>14.456233421750664</v>
      </c>
      <c r="CJ104" s="18">
        <v>1</v>
      </c>
      <c r="CK104" s="18">
        <v>1.1643835616438356</v>
      </c>
      <c r="CL104" s="18">
        <v>1.3013698630136987</v>
      </c>
      <c r="CM104" s="18">
        <v>1.4931506849315068</v>
      </c>
      <c r="CN104" s="18">
        <v>0</v>
      </c>
      <c r="CO104" s="18">
        <v>1.5915119363395225</v>
      </c>
      <c r="CP104" s="18">
        <v>2.9177718832891246</v>
      </c>
      <c r="CQ104" s="18">
        <v>4.774535809018567</v>
      </c>
      <c r="CR104" s="18">
        <f t="shared" si="20"/>
        <v>1.8907014681892333</v>
      </c>
      <c r="CS104" s="18">
        <f t="shared" si="21"/>
        <v>1.2662496071359086</v>
      </c>
      <c r="CT104">
        <v>5.2562417871221996</v>
      </c>
      <c r="CU104">
        <v>88.699080157687177</v>
      </c>
      <c r="CV104">
        <v>6.0446780551905404</v>
      </c>
      <c r="CW104">
        <v>0</v>
      </c>
      <c r="CX104">
        <v>0</v>
      </c>
      <c r="CY104">
        <v>8.6727989487516499</v>
      </c>
      <c r="CZ104">
        <v>84.625492772667599</v>
      </c>
      <c r="DA104">
        <v>6.70170827858081</v>
      </c>
      <c r="DB104">
        <v>0</v>
      </c>
      <c r="DC104">
        <v>0</v>
      </c>
      <c r="DD104">
        <v>8.9356110381077603</v>
      </c>
      <c r="DE104">
        <v>83.574244415243101</v>
      </c>
      <c r="DF104">
        <v>7.4901445466491499</v>
      </c>
      <c r="DG104">
        <v>0</v>
      </c>
      <c r="DH104">
        <v>0</v>
      </c>
      <c r="DI104">
        <v>8.6727989487516499</v>
      </c>
      <c r="DJ104">
        <v>84.099868593955307</v>
      </c>
      <c r="DK104">
        <v>7.2273324572930404</v>
      </c>
      <c r="DL104">
        <v>0</v>
      </c>
      <c r="DM104">
        <v>0</v>
      </c>
      <c r="DN104">
        <v>8.6727989487516499</v>
      </c>
      <c r="DO104">
        <v>84.099868593955307</v>
      </c>
      <c r="DP104">
        <v>7.2273324572930404</v>
      </c>
      <c r="DQ104">
        <v>0</v>
      </c>
      <c r="DR104">
        <v>0</v>
      </c>
      <c r="DS104" t="s">
        <v>273</v>
      </c>
      <c r="DT104" t="s">
        <v>273</v>
      </c>
      <c r="DU104" t="s">
        <v>273</v>
      </c>
      <c r="DV104" t="s">
        <v>273</v>
      </c>
      <c r="DW104" t="s">
        <v>273</v>
      </c>
      <c r="DX104" t="s">
        <v>273</v>
      </c>
      <c r="DY104" t="s">
        <v>273</v>
      </c>
      <c r="DZ104" t="s">
        <v>273</v>
      </c>
      <c r="EA104" t="s">
        <v>273</v>
      </c>
      <c r="EB104" t="s">
        <v>273</v>
      </c>
      <c r="EC104" t="s">
        <v>273</v>
      </c>
      <c r="ED104" t="s">
        <v>274</v>
      </c>
      <c r="EE104" t="s">
        <v>274</v>
      </c>
      <c r="EF104" t="s">
        <v>274</v>
      </c>
      <c r="EG104" t="s">
        <v>274</v>
      </c>
    </row>
    <row r="105" spans="1:137" ht="14.55" customHeight="1" x14ac:dyDescent="0.3">
      <c r="A105" t="s">
        <v>485</v>
      </c>
      <c r="B105">
        <v>2278</v>
      </c>
      <c r="C105" t="s">
        <v>486</v>
      </c>
      <c r="D105" t="s">
        <v>269</v>
      </c>
      <c r="E105" t="s">
        <v>269</v>
      </c>
      <c r="F105" t="s">
        <v>270</v>
      </c>
      <c r="G105" t="s">
        <v>458</v>
      </c>
      <c r="H105" s="3">
        <v>2842343.2882099999</v>
      </c>
      <c r="I105">
        <v>281</v>
      </c>
      <c r="J105" s="3">
        <v>284.23432882099996</v>
      </c>
      <c r="K105">
        <v>469</v>
      </c>
      <c r="L105">
        <v>564</v>
      </c>
      <c r="M105">
        <v>514.91481056257203</v>
      </c>
      <c r="N105">
        <v>20.154030258027699</v>
      </c>
      <c r="O105">
        <v>0</v>
      </c>
      <c r="P105">
        <v>27.317811965942401</v>
      </c>
      <c r="Q105">
        <v>6.2070035934448198</v>
      </c>
      <c r="R105">
        <v>4.14064645767212</v>
      </c>
      <c r="S105" t="s">
        <v>272</v>
      </c>
      <c r="T105" t="s">
        <v>485</v>
      </c>
      <c r="U105" t="s">
        <v>486</v>
      </c>
      <c r="V105" t="s">
        <v>486</v>
      </c>
      <c r="W105" s="3">
        <v>449</v>
      </c>
      <c r="X105" s="3">
        <v>2840000</v>
      </c>
      <c r="Y105">
        <v>3</v>
      </c>
      <c r="Z105" s="3">
        <v>277</v>
      </c>
      <c r="AA105" s="3">
        <v>262</v>
      </c>
      <c r="AB105" s="3">
        <v>326</v>
      </c>
      <c r="AC105" s="3">
        <v>406</v>
      </c>
      <c r="AD105" s="3">
        <v>405</v>
      </c>
      <c r="AE105" s="3">
        <v>398</v>
      </c>
      <c r="AF105" s="3">
        <v>407</v>
      </c>
      <c r="AG105" s="3">
        <v>420</v>
      </c>
      <c r="AH105" s="3">
        <v>404</v>
      </c>
      <c r="AI105" s="3">
        <v>403</v>
      </c>
      <c r="AJ105" s="3">
        <v>398</v>
      </c>
      <c r="AK105" s="3">
        <v>405</v>
      </c>
      <c r="AL105" s="3">
        <v>414</v>
      </c>
      <c r="AM105" s="3">
        <v>424</v>
      </c>
      <c r="AN105" s="3">
        <v>438</v>
      </c>
      <c r="AO105" s="3">
        <v>441</v>
      </c>
      <c r="AP105" s="3">
        <v>449</v>
      </c>
      <c r="AR105" s="4">
        <f t="shared" si="17"/>
        <v>157.9682517106381</v>
      </c>
      <c r="AS105" s="5">
        <f t="shared" si="18"/>
        <v>-0.67689530685920574</v>
      </c>
      <c r="AT105" s="5">
        <f t="shared" si="11"/>
        <v>2.7141645462256148</v>
      </c>
      <c r="AU105" s="5">
        <f t="shared" si="12"/>
        <v>2.4846625766871169</v>
      </c>
      <c r="AV105" s="5">
        <f t="shared" si="13"/>
        <v>1.0319410319410318</v>
      </c>
      <c r="AW105" s="5">
        <f t="shared" si="14"/>
        <v>1.0405606285835634</v>
      </c>
      <c r="AX105" s="5">
        <f t="shared" si="15"/>
        <v>1.8865030674846623</v>
      </c>
      <c r="AY105" s="5">
        <f t="shared" si="16"/>
        <v>1.6782125085374184</v>
      </c>
      <c r="AZ105">
        <f t="shared" si="19"/>
        <v>2820000</v>
      </c>
      <c r="BA105">
        <v>0</v>
      </c>
      <c r="BB105">
        <v>250000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2000000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570000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16</v>
      </c>
      <c r="CC105">
        <v>17</v>
      </c>
      <c r="CD105">
        <v>20</v>
      </c>
      <c r="CE105">
        <v>20</v>
      </c>
      <c r="CF105" s="17">
        <v>5.5749128919860631</v>
      </c>
      <c r="CG105" s="17">
        <v>5.9233449477351918</v>
      </c>
      <c r="CH105" s="17">
        <v>6.968641114982578</v>
      </c>
      <c r="CI105" s="17">
        <v>6.968641114982578</v>
      </c>
      <c r="CJ105" s="18">
        <v>1</v>
      </c>
      <c r="CK105" s="18">
        <v>1.0625</v>
      </c>
      <c r="CL105" s="18">
        <v>1.25</v>
      </c>
      <c r="CM105" s="18">
        <v>1.25</v>
      </c>
      <c r="CN105" s="18">
        <v>0</v>
      </c>
      <c r="CO105" s="18">
        <v>0.34843205574912894</v>
      </c>
      <c r="CP105" s="18">
        <v>1.3937282229965158</v>
      </c>
      <c r="CQ105" s="18">
        <v>1.3937282229965158</v>
      </c>
      <c r="CR105" s="18">
        <f t="shared" si="20"/>
        <v>1.5306859205776173</v>
      </c>
      <c r="CS105" s="18">
        <f t="shared" si="21"/>
        <v>1.2245487364620939</v>
      </c>
      <c r="CT105">
        <v>2.12765957446809</v>
      </c>
      <c r="CU105">
        <v>75.531914893617056</v>
      </c>
      <c r="CV105">
        <v>22.340425531914899</v>
      </c>
      <c r="CW105">
        <v>0</v>
      </c>
      <c r="CX105">
        <v>0</v>
      </c>
      <c r="CY105">
        <v>7.8014184397163104</v>
      </c>
      <c r="CZ105">
        <v>71.985815602836894</v>
      </c>
      <c r="DA105">
        <v>20.212765957446798</v>
      </c>
      <c r="DB105">
        <v>0</v>
      </c>
      <c r="DC105">
        <v>0</v>
      </c>
      <c r="DD105">
        <v>7.8014184397163104</v>
      </c>
      <c r="DE105">
        <v>71.985815602836894</v>
      </c>
      <c r="DF105">
        <v>20.212765957446798</v>
      </c>
      <c r="DG105">
        <v>0</v>
      </c>
      <c r="DH105">
        <v>0</v>
      </c>
      <c r="DI105">
        <v>8.8652482269503601</v>
      </c>
      <c r="DJ105">
        <v>70.921985815602795</v>
      </c>
      <c r="DK105">
        <v>20.212765957446798</v>
      </c>
      <c r="DL105">
        <v>0</v>
      </c>
      <c r="DM105">
        <v>0</v>
      </c>
      <c r="DN105">
        <v>8.8652482269503601</v>
      </c>
      <c r="DO105">
        <v>70.921985815602795</v>
      </c>
      <c r="DP105">
        <v>20.212765957446798</v>
      </c>
      <c r="DQ105">
        <v>0</v>
      </c>
      <c r="DR105">
        <v>0</v>
      </c>
      <c r="DS105" t="s">
        <v>312</v>
      </c>
      <c r="DT105" t="s">
        <v>313</v>
      </c>
      <c r="DU105">
        <v>423</v>
      </c>
      <c r="DV105">
        <v>351</v>
      </c>
      <c r="DW105" t="s">
        <v>474</v>
      </c>
      <c r="DX105">
        <v>68</v>
      </c>
      <c r="DY105">
        <v>0</v>
      </c>
      <c r="DZ105">
        <v>68</v>
      </c>
      <c r="EA105">
        <v>433138</v>
      </c>
      <c r="EB105">
        <v>0</v>
      </c>
      <c r="EC105">
        <v>433138</v>
      </c>
      <c r="ED105" t="s">
        <v>274</v>
      </c>
      <c r="EE105" t="s">
        <v>274</v>
      </c>
      <c r="EF105" t="s">
        <v>274</v>
      </c>
      <c r="EG105" t="s">
        <v>274</v>
      </c>
    </row>
    <row r="106" spans="1:137" ht="14.55" customHeight="1" x14ac:dyDescent="0.3">
      <c r="A106" t="s">
        <v>487</v>
      </c>
      <c r="B106">
        <v>2284</v>
      </c>
      <c r="C106" t="s">
        <v>488</v>
      </c>
      <c r="D106" t="s">
        <v>269</v>
      </c>
      <c r="E106" t="s">
        <v>269</v>
      </c>
      <c r="F106" t="s">
        <v>270</v>
      </c>
      <c r="G106" t="s">
        <v>458</v>
      </c>
      <c r="H106" s="3">
        <v>24336941.499400001</v>
      </c>
      <c r="I106">
        <v>1752</v>
      </c>
      <c r="J106" s="3">
        <v>1751.3011984700001</v>
      </c>
      <c r="K106">
        <v>409</v>
      </c>
      <c r="L106">
        <v>652</v>
      </c>
      <c r="M106">
        <v>469.92700566656703</v>
      </c>
      <c r="N106">
        <v>59.021594805091297</v>
      </c>
      <c r="O106">
        <v>0</v>
      </c>
      <c r="P106">
        <v>43.498691558837898</v>
      </c>
      <c r="Q106">
        <v>7.0232057571411097</v>
      </c>
      <c r="R106">
        <v>6.7778372764587402</v>
      </c>
      <c r="S106" t="s">
        <v>272</v>
      </c>
      <c r="T106" t="s">
        <v>487</v>
      </c>
      <c r="U106" t="s">
        <v>488</v>
      </c>
      <c r="V106" t="s">
        <v>488</v>
      </c>
      <c r="W106" s="3">
        <v>4015</v>
      </c>
      <c r="X106" s="3">
        <v>17510000</v>
      </c>
      <c r="Y106">
        <v>3</v>
      </c>
      <c r="Z106" s="3">
        <v>1695</v>
      </c>
      <c r="AA106" s="3">
        <v>2003</v>
      </c>
      <c r="AB106" s="3">
        <v>2536</v>
      </c>
      <c r="AC106" s="3">
        <v>3075</v>
      </c>
      <c r="AD106" s="3">
        <v>3127</v>
      </c>
      <c r="AE106" s="3">
        <v>3172</v>
      </c>
      <c r="AF106" s="3">
        <v>3259</v>
      </c>
      <c r="AG106" s="3">
        <v>3327</v>
      </c>
      <c r="AH106" s="3">
        <v>3357</v>
      </c>
      <c r="AI106" s="3">
        <v>3379</v>
      </c>
      <c r="AJ106" s="3">
        <v>3393</v>
      </c>
      <c r="AK106" s="3">
        <v>3495</v>
      </c>
      <c r="AL106" s="3">
        <v>3495</v>
      </c>
      <c r="AM106" s="3">
        <v>3556</v>
      </c>
      <c r="AN106" s="3">
        <v>3601</v>
      </c>
      <c r="AO106" s="3">
        <v>3819</v>
      </c>
      <c r="AP106" s="3">
        <v>4015</v>
      </c>
      <c r="AR106" s="4">
        <f t="shared" si="17"/>
        <v>229.25810840006557</v>
      </c>
      <c r="AS106" s="5">
        <f t="shared" si="18"/>
        <v>2.2713864306784659</v>
      </c>
      <c r="AT106" s="5">
        <f t="shared" si="11"/>
        <v>2.9566760969656625</v>
      </c>
      <c r="AU106" s="5">
        <f t="shared" si="12"/>
        <v>2.8509463722397479</v>
      </c>
      <c r="AV106" s="5">
        <f t="shared" si="13"/>
        <v>2.3197299785210186</v>
      </c>
      <c r="AW106" s="5">
        <f t="shared" si="14"/>
        <v>2.9186187749436057</v>
      </c>
      <c r="AX106" s="5">
        <f t="shared" si="15"/>
        <v>2.9160094637223977</v>
      </c>
      <c r="AY106" s="5">
        <f t="shared" si="16"/>
        <v>3.6992744957346724</v>
      </c>
      <c r="AZ106">
        <f t="shared" si="19"/>
        <v>17530000</v>
      </c>
      <c r="BA106">
        <v>0</v>
      </c>
      <c r="BB106">
        <v>2370000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11620000</v>
      </c>
      <c r="BK106">
        <v>1090000</v>
      </c>
      <c r="BL106">
        <v>0</v>
      </c>
      <c r="BM106">
        <v>450000</v>
      </c>
      <c r="BN106">
        <v>0</v>
      </c>
      <c r="BO106">
        <v>0</v>
      </c>
      <c r="BP106">
        <v>920000</v>
      </c>
      <c r="BQ106">
        <v>0</v>
      </c>
      <c r="BR106">
        <v>1040000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40000</v>
      </c>
      <c r="CB106">
        <v>172</v>
      </c>
      <c r="CC106">
        <v>208</v>
      </c>
      <c r="CD106">
        <v>244</v>
      </c>
      <c r="CE106">
        <v>262</v>
      </c>
      <c r="CF106" s="17">
        <v>9.8285714285714274</v>
      </c>
      <c r="CG106" s="17">
        <v>11.885714285714286</v>
      </c>
      <c r="CH106" s="17">
        <v>13.942857142857143</v>
      </c>
      <c r="CI106" s="17">
        <v>14.971428571428572</v>
      </c>
      <c r="CJ106" s="18">
        <v>1</v>
      </c>
      <c r="CK106" s="18">
        <v>1.2093023255813953</v>
      </c>
      <c r="CL106" s="18">
        <v>1.4186046511627908</v>
      </c>
      <c r="CM106" s="18">
        <v>1.5232558139534884</v>
      </c>
      <c r="CN106" s="18">
        <v>0</v>
      </c>
      <c r="CO106" s="18">
        <v>2.0571428571428569</v>
      </c>
      <c r="CP106" s="18">
        <v>4.1142857142857139</v>
      </c>
      <c r="CQ106" s="18">
        <v>5.1428571428571423</v>
      </c>
      <c r="CR106" s="18">
        <f t="shared" si="20"/>
        <v>2.0979351032448377</v>
      </c>
      <c r="CS106" s="18">
        <f t="shared" si="21"/>
        <v>1.3772703731225651</v>
      </c>
      <c r="CT106">
        <v>4.6206503137478583</v>
      </c>
      <c r="CU106">
        <v>79.691956645750096</v>
      </c>
      <c r="CV106">
        <v>14.7746719908728</v>
      </c>
      <c r="CW106">
        <v>0.17113519680547601</v>
      </c>
      <c r="CX106">
        <v>0.74158585282373102</v>
      </c>
      <c r="CY106">
        <v>13.4626354820308</v>
      </c>
      <c r="CZ106">
        <v>73.930405019965747</v>
      </c>
      <c r="DA106">
        <v>12.378779235596101</v>
      </c>
      <c r="DB106">
        <v>0</v>
      </c>
      <c r="DC106">
        <v>0.22818026240730199</v>
      </c>
      <c r="DD106">
        <v>13.4626354820308</v>
      </c>
      <c r="DE106">
        <v>73.987450085567644</v>
      </c>
      <c r="DF106">
        <v>12.321734169994301</v>
      </c>
      <c r="DG106">
        <v>0</v>
      </c>
      <c r="DH106">
        <v>0.22818026240730199</v>
      </c>
      <c r="DI106">
        <v>13.5196805476326</v>
      </c>
      <c r="DJ106">
        <v>75.071306332002337</v>
      </c>
      <c r="DK106">
        <v>11.1808328579578</v>
      </c>
      <c r="DL106">
        <v>0</v>
      </c>
      <c r="DM106">
        <v>0.22818026240730199</v>
      </c>
      <c r="DN106">
        <v>13.5196805476326</v>
      </c>
      <c r="DO106">
        <v>75.071306332002337</v>
      </c>
      <c r="DP106">
        <v>11.1808328579578</v>
      </c>
      <c r="DQ106">
        <v>0</v>
      </c>
      <c r="DR106">
        <v>0.22818026240730199</v>
      </c>
      <c r="DS106" t="s">
        <v>355</v>
      </c>
      <c r="DT106">
        <v>0</v>
      </c>
      <c r="DU106">
        <v>4433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 t="s">
        <v>274</v>
      </c>
      <c r="EE106" t="s">
        <v>274</v>
      </c>
      <c r="EF106" t="s">
        <v>274</v>
      </c>
      <c r="EG106" t="s">
        <v>274</v>
      </c>
    </row>
    <row r="107" spans="1:137" ht="14.55" customHeight="1" x14ac:dyDescent="0.3">
      <c r="A107" t="s">
        <v>489</v>
      </c>
      <c r="B107">
        <v>2292</v>
      </c>
      <c r="C107" t="s">
        <v>490</v>
      </c>
      <c r="D107" t="s">
        <v>269</v>
      </c>
      <c r="E107" t="s">
        <v>269</v>
      </c>
      <c r="F107" t="s">
        <v>270</v>
      </c>
      <c r="G107" t="s">
        <v>491</v>
      </c>
      <c r="H107" s="3">
        <v>3247420.77856</v>
      </c>
      <c r="I107">
        <v>325</v>
      </c>
      <c r="J107" s="3">
        <v>324.74207785499999</v>
      </c>
      <c r="K107">
        <v>816</v>
      </c>
      <c r="L107">
        <v>1049</v>
      </c>
      <c r="M107">
        <v>910.25146198830396</v>
      </c>
      <c r="N107">
        <v>55.652972633601202</v>
      </c>
      <c r="O107">
        <v>0</v>
      </c>
      <c r="P107">
        <v>31.5446472167969</v>
      </c>
      <c r="Q107">
        <v>8.2259759902954102</v>
      </c>
      <c r="R107">
        <v>5.1814846992492702</v>
      </c>
      <c r="S107" t="s">
        <v>272</v>
      </c>
      <c r="T107" t="s">
        <v>489</v>
      </c>
      <c r="U107" t="s">
        <v>490</v>
      </c>
      <c r="V107" t="s">
        <v>490</v>
      </c>
      <c r="W107" s="3">
        <v>653</v>
      </c>
      <c r="X107" s="3">
        <v>3250000</v>
      </c>
      <c r="Y107">
        <v>3</v>
      </c>
      <c r="Z107" s="3">
        <v>439</v>
      </c>
      <c r="AA107" s="3">
        <v>483</v>
      </c>
      <c r="AB107" s="3">
        <v>586</v>
      </c>
      <c r="AC107" s="3">
        <v>581</v>
      </c>
      <c r="AD107" s="3">
        <v>588</v>
      </c>
      <c r="AE107" s="3">
        <v>595</v>
      </c>
      <c r="AF107" s="3">
        <v>623</v>
      </c>
      <c r="AG107" s="3">
        <v>645</v>
      </c>
      <c r="AH107" s="3">
        <v>644</v>
      </c>
      <c r="AI107" s="3">
        <v>650</v>
      </c>
      <c r="AJ107" s="3">
        <v>651</v>
      </c>
      <c r="AK107" s="3">
        <v>649</v>
      </c>
      <c r="AL107" s="3">
        <v>659</v>
      </c>
      <c r="AM107" s="3">
        <v>648</v>
      </c>
      <c r="AN107" s="3">
        <v>658</v>
      </c>
      <c r="AO107" s="3">
        <v>645</v>
      </c>
      <c r="AP107" s="3">
        <v>653</v>
      </c>
      <c r="AR107" s="4">
        <f t="shared" si="17"/>
        <v>201.08265744717255</v>
      </c>
      <c r="AS107" s="5">
        <f t="shared" si="18"/>
        <v>1.2528473804100226</v>
      </c>
      <c r="AT107" s="5">
        <f t="shared" si="11"/>
        <v>2.3694501955371523</v>
      </c>
      <c r="AU107" s="5">
        <f t="shared" si="12"/>
        <v>0.6313993174061433</v>
      </c>
      <c r="AV107" s="5">
        <f t="shared" si="13"/>
        <v>0.48154093097913331</v>
      </c>
      <c r="AW107" s="5">
        <f t="shared" si="14"/>
        <v>1.9697172718745812</v>
      </c>
      <c r="AX107" s="5">
        <f t="shared" si="15"/>
        <v>0.57167235494880542</v>
      </c>
      <c r="AY107" s="5">
        <f t="shared" si="16"/>
        <v>1.3174906113402698</v>
      </c>
      <c r="AZ107">
        <f t="shared" si="19"/>
        <v>3250000</v>
      </c>
      <c r="BA107">
        <v>0</v>
      </c>
      <c r="BB107">
        <v>240000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2610000</v>
      </c>
      <c r="BN107">
        <v>0</v>
      </c>
      <c r="BO107">
        <v>0</v>
      </c>
      <c r="BP107">
        <v>0</v>
      </c>
      <c r="BQ107">
        <v>400000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21</v>
      </c>
      <c r="CC107">
        <v>25</v>
      </c>
      <c r="CD107">
        <v>28</v>
      </c>
      <c r="CE107">
        <v>29</v>
      </c>
      <c r="CF107" s="17">
        <v>6.4220183486238538</v>
      </c>
      <c r="CG107" s="17">
        <v>7.6452599388379197</v>
      </c>
      <c r="CH107" s="17">
        <v>8.5626911314984699</v>
      </c>
      <c r="CI107" s="17">
        <v>8.8685015290519882</v>
      </c>
      <c r="CJ107" s="18">
        <v>1</v>
      </c>
      <c r="CK107" s="18">
        <v>1.1904761904761905</v>
      </c>
      <c r="CL107" s="18">
        <v>1.3333333333333333</v>
      </c>
      <c r="CM107" s="18">
        <v>1.3809523809523809</v>
      </c>
      <c r="CN107" s="18">
        <v>0</v>
      </c>
      <c r="CO107" s="18">
        <v>1.2232415902140672</v>
      </c>
      <c r="CP107" s="18">
        <v>2.1406727828746175</v>
      </c>
      <c r="CQ107" s="18">
        <v>2.4464831804281344</v>
      </c>
      <c r="CR107" s="18">
        <f t="shared" si="20"/>
        <v>1.4760820045558087</v>
      </c>
      <c r="CS107" s="18">
        <f t="shared" si="21"/>
        <v>1.0688869688162752</v>
      </c>
      <c r="CT107">
        <v>0</v>
      </c>
      <c r="CU107">
        <v>74.461538461538396</v>
      </c>
      <c r="CV107">
        <v>25.538461538461501</v>
      </c>
      <c r="CW107">
        <v>0</v>
      </c>
      <c r="CX107">
        <v>0</v>
      </c>
      <c r="CY107">
        <v>7.3846153846153904</v>
      </c>
      <c r="CZ107">
        <v>80.307692307692307</v>
      </c>
      <c r="DA107">
        <v>12.307692307692299</v>
      </c>
      <c r="DB107">
        <v>0</v>
      </c>
      <c r="DC107">
        <v>0</v>
      </c>
      <c r="DD107">
        <v>7.3846153846153904</v>
      </c>
      <c r="DE107">
        <v>80.307692307692307</v>
      </c>
      <c r="DF107">
        <v>12.307692307692299</v>
      </c>
      <c r="DG107">
        <v>0</v>
      </c>
      <c r="DH107">
        <v>0</v>
      </c>
      <c r="DI107">
        <v>7.3846153846153904</v>
      </c>
      <c r="DJ107">
        <v>80.307692307692307</v>
      </c>
      <c r="DK107">
        <v>12.307692307692299</v>
      </c>
      <c r="DL107">
        <v>0</v>
      </c>
      <c r="DM107">
        <v>0</v>
      </c>
      <c r="DN107">
        <v>7.3846153846153904</v>
      </c>
      <c r="DO107">
        <v>80.307692307692307</v>
      </c>
      <c r="DP107">
        <v>12.307692307692299</v>
      </c>
      <c r="DQ107">
        <v>0</v>
      </c>
      <c r="DR107">
        <v>0</v>
      </c>
      <c r="DS107" t="s">
        <v>273</v>
      </c>
      <c r="DT107" t="s">
        <v>273</v>
      </c>
      <c r="DU107" t="s">
        <v>273</v>
      </c>
      <c r="DV107" t="s">
        <v>273</v>
      </c>
      <c r="DW107" t="s">
        <v>273</v>
      </c>
      <c r="DX107" t="s">
        <v>273</v>
      </c>
      <c r="DY107" t="s">
        <v>273</v>
      </c>
      <c r="DZ107" t="s">
        <v>273</v>
      </c>
      <c r="EA107" t="s">
        <v>273</v>
      </c>
      <c r="EB107" t="s">
        <v>273</v>
      </c>
      <c r="EC107" t="s">
        <v>273</v>
      </c>
      <c r="ED107" t="s">
        <v>274</v>
      </c>
      <c r="EE107" t="s">
        <v>274</v>
      </c>
      <c r="EF107" t="s">
        <v>274</v>
      </c>
      <c r="EG107" t="s">
        <v>274</v>
      </c>
    </row>
    <row r="108" spans="1:137" ht="14.55" customHeight="1" x14ac:dyDescent="0.3">
      <c r="A108" t="s">
        <v>492</v>
      </c>
      <c r="B108">
        <v>2293</v>
      </c>
      <c r="C108" t="s">
        <v>493</v>
      </c>
      <c r="D108" t="s">
        <v>269</v>
      </c>
      <c r="E108" t="s">
        <v>269</v>
      </c>
      <c r="F108" t="s">
        <v>270</v>
      </c>
      <c r="G108" t="s">
        <v>491</v>
      </c>
      <c r="H108" s="3">
        <v>30763230.166099999</v>
      </c>
      <c r="I108">
        <v>2899</v>
      </c>
      <c r="J108" s="3">
        <v>2893.67129621</v>
      </c>
      <c r="K108">
        <v>478</v>
      </c>
      <c r="L108">
        <v>716</v>
      </c>
      <c r="M108">
        <v>610.45796485196695</v>
      </c>
      <c r="N108">
        <v>41.971164580280998</v>
      </c>
      <c r="O108">
        <v>0</v>
      </c>
      <c r="P108">
        <v>40.376083374023402</v>
      </c>
      <c r="Q108">
        <v>6.9647812843322798</v>
      </c>
      <c r="R108">
        <v>4.7380633354187003</v>
      </c>
      <c r="S108" t="s">
        <v>272</v>
      </c>
      <c r="T108" t="s">
        <v>492</v>
      </c>
      <c r="U108" t="s">
        <v>493</v>
      </c>
      <c r="V108" t="s">
        <v>493</v>
      </c>
      <c r="W108" s="3">
        <v>8181</v>
      </c>
      <c r="X108" s="3">
        <v>30760000</v>
      </c>
      <c r="Y108">
        <v>2</v>
      </c>
      <c r="Z108" s="3">
        <v>5851</v>
      </c>
      <c r="AA108" s="3">
        <v>6298</v>
      </c>
      <c r="AB108" s="3">
        <v>6677</v>
      </c>
      <c r="AC108" s="3">
        <v>7136</v>
      </c>
      <c r="AD108" s="3">
        <v>7171</v>
      </c>
      <c r="AE108" s="3">
        <v>7174</v>
      </c>
      <c r="AF108" s="3">
        <v>7254</v>
      </c>
      <c r="AG108" s="3">
        <v>7302</v>
      </c>
      <c r="AH108" s="3">
        <v>7383</v>
      </c>
      <c r="AI108" s="3">
        <v>7504</v>
      </c>
      <c r="AJ108" s="3">
        <v>7664</v>
      </c>
      <c r="AK108" s="3">
        <v>7679</v>
      </c>
      <c r="AL108" s="3">
        <v>7794</v>
      </c>
      <c r="AM108" s="3">
        <v>7825</v>
      </c>
      <c r="AN108" s="3">
        <v>7823</v>
      </c>
      <c r="AO108" s="3">
        <v>7964</v>
      </c>
      <c r="AP108" s="3">
        <v>8181</v>
      </c>
      <c r="AR108" s="4">
        <f t="shared" si="17"/>
        <v>282.72043236960275</v>
      </c>
      <c r="AS108" s="5">
        <f t="shared" si="18"/>
        <v>0.95496496325414471</v>
      </c>
      <c r="AT108" s="5">
        <f t="shared" si="11"/>
        <v>0.66864260258988739</v>
      </c>
      <c r="AU108" s="5">
        <f t="shared" si="12"/>
        <v>0.8641605511457241</v>
      </c>
      <c r="AV108" s="5">
        <f t="shared" si="13"/>
        <v>1.2779156327543426</v>
      </c>
      <c r="AW108" s="5">
        <f t="shared" si="14"/>
        <v>0.83042617149406328</v>
      </c>
      <c r="AX108" s="5">
        <f t="shared" si="15"/>
        <v>1.1262543058259697</v>
      </c>
      <c r="AY108" s="5">
        <f t="shared" si="16"/>
        <v>1.076277097470056</v>
      </c>
      <c r="AZ108">
        <f t="shared" si="19"/>
        <v>28980000</v>
      </c>
      <c r="BA108">
        <v>0</v>
      </c>
      <c r="BB108">
        <v>2090000</v>
      </c>
      <c r="BC108">
        <v>540000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21260000</v>
      </c>
      <c r="BK108">
        <v>0</v>
      </c>
      <c r="BL108">
        <v>0</v>
      </c>
      <c r="BM108">
        <v>0</v>
      </c>
      <c r="BN108">
        <v>2080000</v>
      </c>
      <c r="BO108">
        <v>540000</v>
      </c>
      <c r="BP108">
        <v>910000</v>
      </c>
      <c r="BQ108">
        <v>140000</v>
      </c>
      <c r="BR108">
        <v>1360000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60000</v>
      </c>
      <c r="CB108">
        <v>331</v>
      </c>
      <c r="CC108">
        <v>355</v>
      </c>
      <c r="CD108">
        <v>380</v>
      </c>
      <c r="CE108">
        <v>417</v>
      </c>
      <c r="CF108" s="17">
        <v>10.722384191771948</v>
      </c>
      <c r="CG108" s="17">
        <v>11.499838030450276</v>
      </c>
      <c r="CH108" s="17">
        <v>12.309685779073535</v>
      </c>
      <c r="CI108" s="17">
        <v>13.508260447035958</v>
      </c>
      <c r="CJ108" s="18">
        <v>1</v>
      </c>
      <c r="CK108" s="18">
        <v>1.0725075528700907</v>
      </c>
      <c r="CL108" s="18">
        <v>1.148036253776435</v>
      </c>
      <c r="CM108" s="18">
        <v>1.2598187311178248</v>
      </c>
      <c r="CN108" s="18">
        <v>0</v>
      </c>
      <c r="CO108" s="18">
        <v>0.7774538386783284</v>
      </c>
      <c r="CP108" s="18">
        <v>1.5873015873015872</v>
      </c>
      <c r="CQ108" s="18">
        <v>2.7858762552640104</v>
      </c>
      <c r="CR108" s="18">
        <f t="shared" si="20"/>
        <v>1.337378225944283</v>
      </c>
      <c r="CS108" s="18">
        <f t="shared" si="21"/>
        <v>1.0615640114809537</v>
      </c>
      <c r="CT108">
        <v>6.5562456866804677</v>
      </c>
      <c r="CU108">
        <v>78.571428571428498</v>
      </c>
      <c r="CV108">
        <v>11.73222912353352</v>
      </c>
      <c r="CW108">
        <v>0.34506556245686698</v>
      </c>
      <c r="CX108">
        <v>2.79503105590062</v>
      </c>
      <c r="CY108">
        <v>8.9717046238785407</v>
      </c>
      <c r="CZ108">
        <v>83.195307108350605</v>
      </c>
      <c r="DA108">
        <v>7.6259489302967598</v>
      </c>
      <c r="DB108">
        <v>0</v>
      </c>
      <c r="DC108">
        <v>0.20703933747412001</v>
      </c>
      <c r="DD108">
        <v>8.9717046238785407</v>
      </c>
      <c r="DE108">
        <v>83.057280883367795</v>
      </c>
      <c r="DF108">
        <v>7.7639751552794998</v>
      </c>
      <c r="DG108">
        <v>0</v>
      </c>
      <c r="DH108">
        <v>0.20703933747412001</v>
      </c>
      <c r="DI108">
        <v>9.0752242926155997</v>
      </c>
      <c r="DJ108">
        <v>82.401656314699807</v>
      </c>
      <c r="DK108">
        <v>8.3160800552104899</v>
      </c>
      <c r="DL108">
        <v>0</v>
      </c>
      <c r="DM108">
        <v>0.20703933747412001</v>
      </c>
      <c r="DN108">
        <v>9.0752242926155997</v>
      </c>
      <c r="DO108">
        <v>82.401656314699807</v>
      </c>
      <c r="DP108">
        <v>8.3160800552104899</v>
      </c>
      <c r="DQ108">
        <v>0</v>
      </c>
      <c r="DR108">
        <v>0.20703933747412001</v>
      </c>
      <c r="DS108" t="s">
        <v>355</v>
      </c>
      <c r="DT108">
        <v>0</v>
      </c>
      <c r="DU108">
        <v>8793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 t="s">
        <v>274</v>
      </c>
      <c r="EE108" t="s">
        <v>274</v>
      </c>
      <c r="EF108" t="s">
        <v>274</v>
      </c>
      <c r="EG108" t="s">
        <v>274</v>
      </c>
    </row>
    <row r="109" spans="1:137" ht="14.55" customHeight="1" x14ac:dyDescent="0.3">
      <c r="A109" t="s">
        <v>494</v>
      </c>
      <c r="B109">
        <v>2294</v>
      </c>
      <c r="C109" t="s">
        <v>495</v>
      </c>
      <c r="D109" t="s">
        <v>269</v>
      </c>
      <c r="E109" t="s">
        <v>269</v>
      </c>
      <c r="F109" t="s">
        <v>270</v>
      </c>
      <c r="G109" t="s">
        <v>491</v>
      </c>
      <c r="H109" s="3">
        <v>5215896.9744100003</v>
      </c>
      <c r="I109">
        <v>523</v>
      </c>
      <c r="J109" s="3">
        <v>521.589697441</v>
      </c>
      <c r="K109">
        <v>665</v>
      </c>
      <c r="L109">
        <v>1032</v>
      </c>
      <c r="M109">
        <v>800.77575147780203</v>
      </c>
      <c r="N109">
        <v>61.0204643143148</v>
      </c>
      <c r="O109">
        <v>0</v>
      </c>
      <c r="P109">
        <v>46.4749145507813</v>
      </c>
      <c r="Q109">
        <v>9.3612108230590803</v>
      </c>
      <c r="R109">
        <v>6.5558419227600098</v>
      </c>
      <c r="S109" t="s">
        <v>272</v>
      </c>
      <c r="T109" t="s">
        <v>494</v>
      </c>
      <c r="U109" t="s">
        <v>495</v>
      </c>
      <c r="V109" t="s">
        <v>495</v>
      </c>
      <c r="W109" s="3">
        <v>1638</v>
      </c>
      <c r="X109" s="3">
        <v>5220000</v>
      </c>
      <c r="Y109">
        <v>3</v>
      </c>
      <c r="Z109" s="3">
        <v>1248</v>
      </c>
      <c r="AA109" s="3">
        <v>1322</v>
      </c>
      <c r="AB109" s="3">
        <v>1333</v>
      </c>
      <c r="AC109" s="3">
        <v>1387</v>
      </c>
      <c r="AD109" s="3">
        <v>1375</v>
      </c>
      <c r="AE109" s="3">
        <v>1389</v>
      </c>
      <c r="AF109" s="3">
        <v>1419</v>
      </c>
      <c r="AG109" s="3">
        <v>1418</v>
      </c>
      <c r="AH109" s="3">
        <v>1410</v>
      </c>
      <c r="AI109" s="3">
        <v>1431</v>
      </c>
      <c r="AJ109" s="3">
        <v>1466</v>
      </c>
      <c r="AK109" s="3">
        <v>1528</v>
      </c>
      <c r="AL109" s="3">
        <v>1535</v>
      </c>
      <c r="AM109" s="3">
        <v>1561</v>
      </c>
      <c r="AN109" s="3">
        <v>1606</v>
      </c>
      <c r="AO109" s="3">
        <v>1634</v>
      </c>
      <c r="AP109" s="3">
        <v>1638</v>
      </c>
      <c r="AR109" s="4">
        <f t="shared" si="17"/>
        <v>314.03994519759158</v>
      </c>
      <c r="AS109" s="5">
        <f t="shared" si="18"/>
        <v>0.74118589743589736</v>
      </c>
      <c r="AT109" s="5">
        <f t="shared" si="11"/>
        <v>9.2452513027399569E-2</v>
      </c>
      <c r="AU109" s="5">
        <f t="shared" si="12"/>
        <v>0.64516129032258063</v>
      </c>
      <c r="AV109" s="5">
        <f t="shared" si="13"/>
        <v>1.5433403805496828</v>
      </c>
      <c r="AW109" s="5">
        <f t="shared" si="14"/>
        <v>0.40064102564102561</v>
      </c>
      <c r="AX109" s="5">
        <f t="shared" si="15"/>
        <v>1.1440360090022506</v>
      </c>
      <c r="AY109" s="5">
        <f t="shared" si="16"/>
        <v>0.84459459459459463</v>
      </c>
      <c r="AZ109">
        <f t="shared" si="19"/>
        <v>5260000</v>
      </c>
      <c r="BA109">
        <v>0</v>
      </c>
      <c r="BB109">
        <v>700000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1200000</v>
      </c>
      <c r="BK109">
        <v>0</v>
      </c>
      <c r="BL109">
        <v>0</v>
      </c>
      <c r="BM109">
        <v>2170000</v>
      </c>
      <c r="BN109">
        <v>0</v>
      </c>
      <c r="BO109">
        <v>40000</v>
      </c>
      <c r="BP109">
        <v>0</v>
      </c>
      <c r="BQ109">
        <v>160000</v>
      </c>
      <c r="BR109">
        <v>990000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57</v>
      </c>
      <c r="CC109">
        <v>68</v>
      </c>
      <c r="CD109">
        <v>72</v>
      </c>
      <c r="CE109">
        <v>78</v>
      </c>
      <c r="CF109" s="17">
        <v>10.940499040307101</v>
      </c>
      <c r="CG109" s="17">
        <v>13.051823416506716</v>
      </c>
      <c r="CH109" s="17">
        <v>13.81957773512476</v>
      </c>
      <c r="CI109" s="17">
        <v>14.971209213051823</v>
      </c>
      <c r="CJ109" s="18">
        <v>1</v>
      </c>
      <c r="CK109" s="18">
        <v>1.1929824561403508</v>
      </c>
      <c r="CL109" s="18">
        <v>1.263157894736842</v>
      </c>
      <c r="CM109" s="18">
        <v>1.368421052631579</v>
      </c>
      <c r="CN109" s="18">
        <v>0</v>
      </c>
      <c r="CO109" s="18">
        <v>2.1113243761996161</v>
      </c>
      <c r="CP109" s="18">
        <v>2.8790786948176583</v>
      </c>
      <c r="CQ109" s="18">
        <v>4.0307101727447217</v>
      </c>
      <c r="CR109" s="18">
        <f t="shared" si="20"/>
        <v>1.2508012820512822</v>
      </c>
      <c r="CS109" s="18">
        <f t="shared" si="21"/>
        <v>0.91404709072978307</v>
      </c>
      <c r="CT109">
        <v>5.7034220532319404</v>
      </c>
      <c r="CU109">
        <v>76.615969581749127</v>
      </c>
      <c r="CV109">
        <v>17.680608365019001</v>
      </c>
      <c r="CW109">
        <v>0</v>
      </c>
      <c r="CX109">
        <v>0</v>
      </c>
      <c r="CY109">
        <v>13.307984790874499</v>
      </c>
      <c r="CZ109">
        <v>65.019011406844101</v>
      </c>
      <c r="DA109">
        <v>21.6730038022814</v>
      </c>
      <c r="DB109">
        <v>0</v>
      </c>
      <c r="DC109">
        <v>0</v>
      </c>
      <c r="DD109">
        <v>13.307984790874499</v>
      </c>
      <c r="DE109">
        <v>65.019011406844101</v>
      </c>
      <c r="DF109">
        <v>21.6730038022814</v>
      </c>
      <c r="DG109">
        <v>0</v>
      </c>
      <c r="DH109">
        <v>0</v>
      </c>
      <c r="DI109">
        <v>13.307984790874499</v>
      </c>
      <c r="DJ109">
        <v>64.828897338403053</v>
      </c>
      <c r="DK109">
        <v>21.863117870722402</v>
      </c>
      <c r="DL109">
        <v>0</v>
      </c>
      <c r="DM109">
        <v>0</v>
      </c>
      <c r="DN109">
        <v>13.307984790874499</v>
      </c>
      <c r="DO109">
        <v>64.828897338403053</v>
      </c>
      <c r="DP109">
        <v>21.863117870722402</v>
      </c>
      <c r="DQ109">
        <v>0</v>
      </c>
      <c r="DR109">
        <v>0</v>
      </c>
      <c r="DS109" t="s">
        <v>355</v>
      </c>
      <c r="DT109">
        <v>0</v>
      </c>
      <c r="DU109">
        <v>1710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 t="s">
        <v>274</v>
      </c>
      <c r="EE109" t="s">
        <v>274</v>
      </c>
      <c r="EF109" t="s">
        <v>274</v>
      </c>
      <c r="EG109" t="s">
        <v>274</v>
      </c>
    </row>
    <row r="110" spans="1:137" ht="14.55" customHeight="1" x14ac:dyDescent="0.3">
      <c r="A110" t="s">
        <v>496</v>
      </c>
      <c r="B110">
        <v>2295</v>
      </c>
      <c r="C110" t="s">
        <v>497</v>
      </c>
      <c r="D110" t="s">
        <v>269</v>
      </c>
      <c r="E110" t="s">
        <v>269</v>
      </c>
      <c r="F110" t="s">
        <v>270</v>
      </c>
      <c r="G110" t="s">
        <v>491</v>
      </c>
      <c r="H110" s="3">
        <v>14325593.353499999</v>
      </c>
      <c r="I110">
        <v>1438</v>
      </c>
      <c r="J110" s="3">
        <v>1432.5593353499999</v>
      </c>
      <c r="K110">
        <v>470</v>
      </c>
      <c r="L110">
        <v>658</v>
      </c>
      <c r="M110">
        <v>558.32311342275796</v>
      </c>
      <c r="N110">
        <v>42.964918255371501</v>
      </c>
      <c r="O110">
        <v>0</v>
      </c>
      <c r="P110">
        <v>35.635242462158203</v>
      </c>
      <c r="Q110">
        <v>6.9268112182617196</v>
      </c>
      <c r="R110">
        <v>4.68595170974731</v>
      </c>
      <c r="S110" t="s">
        <v>272</v>
      </c>
      <c r="T110" t="s">
        <v>496</v>
      </c>
      <c r="U110" t="s">
        <v>497</v>
      </c>
      <c r="V110" t="s">
        <v>497</v>
      </c>
      <c r="W110" s="3">
        <v>3409</v>
      </c>
      <c r="X110" s="3">
        <v>14320000</v>
      </c>
      <c r="Y110">
        <v>2</v>
      </c>
      <c r="Z110" s="3">
        <v>1802</v>
      </c>
      <c r="AA110" s="3">
        <v>2469</v>
      </c>
      <c r="AB110" s="3">
        <v>3085</v>
      </c>
      <c r="AC110" s="3">
        <v>3291</v>
      </c>
      <c r="AD110" s="3">
        <v>3254</v>
      </c>
      <c r="AE110" s="3">
        <v>3268</v>
      </c>
      <c r="AF110" s="3">
        <v>3276</v>
      </c>
      <c r="AG110" s="3">
        <v>3281</v>
      </c>
      <c r="AH110" s="3">
        <v>3308</v>
      </c>
      <c r="AI110" s="3">
        <v>3346</v>
      </c>
      <c r="AJ110" s="3">
        <v>3309</v>
      </c>
      <c r="AK110" s="3">
        <v>3389</v>
      </c>
      <c r="AL110" s="3">
        <v>3381</v>
      </c>
      <c r="AM110" s="3">
        <v>3412</v>
      </c>
      <c r="AN110" s="3">
        <v>3430</v>
      </c>
      <c r="AO110" s="3">
        <v>3408</v>
      </c>
      <c r="AP110" s="3">
        <v>3409</v>
      </c>
      <c r="AR110" s="4">
        <f t="shared" si="17"/>
        <v>237.96571045115701</v>
      </c>
      <c r="AS110" s="5">
        <f t="shared" si="18"/>
        <v>4.6268035516093233</v>
      </c>
      <c r="AT110" s="5">
        <f t="shared" si="11"/>
        <v>2.7721524683857615</v>
      </c>
      <c r="AU110" s="5">
        <f t="shared" si="12"/>
        <v>0.61912479740680715</v>
      </c>
      <c r="AV110" s="5">
        <f t="shared" si="13"/>
        <v>0.40598290598290604</v>
      </c>
      <c r="AW110" s="5">
        <f t="shared" si="14"/>
        <v>4.1881569497943465</v>
      </c>
      <c r="AX110" s="5">
        <f t="shared" si="15"/>
        <v>0.52512155591572118</v>
      </c>
      <c r="AY110" s="5">
        <f t="shared" si="16"/>
        <v>2.4102348741638422</v>
      </c>
      <c r="AZ110">
        <f t="shared" si="19"/>
        <v>14360000</v>
      </c>
      <c r="BA110">
        <v>0</v>
      </c>
      <c r="BB110">
        <v>730000</v>
      </c>
      <c r="BC110">
        <v>280000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11230000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30000</v>
      </c>
      <c r="BQ110">
        <v>200000</v>
      </c>
      <c r="BR110">
        <v>1830000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60000</v>
      </c>
      <c r="BZ110">
        <v>0</v>
      </c>
      <c r="CA110">
        <v>0</v>
      </c>
      <c r="CB110">
        <v>97</v>
      </c>
      <c r="CC110">
        <v>122</v>
      </c>
      <c r="CD110">
        <v>132</v>
      </c>
      <c r="CE110">
        <v>148</v>
      </c>
      <c r="CF110" s="17">
        <v>6.7737430167597772</v>
      </c>
      <c r="CG110" s="17">
        <v>8.5195530726256976</v>
      </c>
      <c r="CH110" s="17">
        <v>9.2178770949720672</v>
      </c>
      <c r="CI110" s="17">
        <v>10.335195530726256</v>
      </c>
      <c r="CJ110" s="18">
        <v>1</v>
      </c>
      <c r="CK110" s="18">
        <v>1.2577319587628866</v>
      </c>
      <c r="CL110" s="18">
        <v>1.3608247422680413</v>
      </c>
      <c r="CM110" s="18">
        <v>1.5257731958762886</v>
      </c>
      <c r="CN110" s="18">
        <v>0</v>
      </c>
      <c r="CO110" s="18">
        <v>1.7458100558659218</v>
      </c>
      <c r="CP110" s="18">
        <v>2.4441340782122905</v>
      </c>
      <c r="CQ110" s="18">
        <v>3.5614525139664801</v>
      </c>
      <c r="CR110" s="18">
        <f t="shared" si="20"/>
        <v>1.8934517203107659</v>
      </c>
      <c r="CS110" s="18">
        <f t="shared" si="21"/>
        <v>1.2409784923658398</v>
      </c>
      <c r="CT110">
        <v>4.24791086350975</v>
      </c>
      <c r="CU110">
        <v>84.122562674094794</v>
      </c>
      <c r="CV110">
        <v>11.629526462395539</v>
      </c>
      <c r="CW110">
        <v>0</v>
      </c>
      <c r="CX110">
        <v>0</v>
      </c>
      <c r="CY110">
        <v>6.8245125348189397</v>
      </c>
      <c r="CZ110">
        <v>80.571030640668496</v>
      </c>
      <c r="DA110">
        <v>12.6044568245125</v>
      </c>
      <c r="DB110">
        <v>0</v>
      </c>
      <c r="DC110">
        <v>0</v>
      </c>
      <c r="DD110">
        <v>6.8941504178272996</v>
      </c>
      <c r="DE110">
        <v>79.387186629526497</v>
      </c>
      <c r="DF110">
        <v>13.7186629526462</v>
      </c>
      <c r="DG110">
        <v>0</v>
      </c>
      <c r="DH110">
        <v>0</v>
      </c>
      <c r="DI110">
        <v>7.0334261838440106</v>
      </c>
      <c r="DJ110">
        <v>78.203342618384397</v>
      </c>
      <c r="DK110">
        <v>14.3454038997215</v>
      </c>
      <c r="DL110">
        <v>0.41782729805013902</v>
      </c>
      <c r="DM110">
        <v>0</v>
      </c>
      <c r="DN110">
        <v>7.0334261838440106</v>
      </c>
      <c r="DO110">
        <v>78.203342618384397</v>
      </c>
      <c r="DP110">
        <v>14.3454038997215</v>
      </c>
      <c r="DQ110">
        <v>0.41782729805013902</v>
      </c>
      <c r="DR110">
        <v>0</v>
      </c>
      <c r="DS110" t="s">
        <v>312</v>
      </c>
      <c r="DT110" t="s">
        <v>313</v>
      </c>
      <c r="DU110">
        <v>3339</v>
      </c>
      <c r="DV110">
        <v>351</v>
      </c>
      <c r="DW110" t="s">
        <v>474</v>
      </c>
      <c r="DX110">
        <v>68</v>
      </c>
      <c r="DY110">
        <v>0</v>
      </c>
      <c r="DZ110">
        <v>68</v>
      </c>
      <c r="EA110">
        <v>433138</v>
      </c>
      <c r="EB110">
        <v>0</v>
      </c>
      <c r="EC110">
        <v>433138</v>
      </c>
      <c r="ED110" t="s">
        <v>274</v>
      </c>
      <c r="EE110" t="s">
        <v>274</v>
      </c>
      <c r="EF110" t="s">
        <v>274</v>
      </c>
      <c r="EG110" t="s">
        <v>274</v>
      </c>
    </row>
    <row r="111" spans="1:137" ht="14.55" customHeight="1" x14ac:dyDescent="0.3">
      <c r="A111" t="s">
        <v>498</v>
      </c>
      <c r="B111">
        <v>2296</v>
      </c>
      <c r="C111" t="s">
        <v>499</v>
      </c>
      <c r="D111" t="s">
        <v>269</v>
      </c>
      <c r="E111" t="s">
        <v>269</v>
      </c>
      <c r="F111" t="s">
        <v>270</v>
      </c>
      <c r="G111" t="s">
        <v>491</v>
      </c>
      <c r="H111" s="3">
        <v>9127864.0948399995</v>
      </c>
      <c r="I111">
        <v>912</v>
      </c>
      <c r="J111" s="3">
        <v>912.78640948399993</v>
      </c>
      <c r="K111">
        <v>629</v>
      </c>
      <c r="L111">
        <v>842</v>
      </c>
      <c r="M111">
        <v>728.31856313185597</v>
      </c>
      <c r="N111">
        <v>35.581820316669599</v>
      </c>
      <c r="O111">
        <v>0</v>
      </c>
      <c r="P111">
        <v>51.769096374511697</v>
      </c>
      <c r="Q111">
        <v>8.8200464248657209</v>
      </c>
      <c r="R111">
        <v>6.28481101989746</v>
      </c>
      <c r="S111" t="s">
        <v>272</v>
      </c>
      <c r="T111" t="s">
        <v>498</v>
      </c>
      <c r="U111" t="s">
        <v>499</v>
      </c>
      <c r="V111" t="s">
        <v>499</v>
      </c>
      <c r="W111" s="3">
        <v>1402</v>
      </c>
      <c r="X111" s="3">
        <v>9130000</v>
      </c>
      <c r="Y111">
        <v>3</v>
      </c>
      <c r="Z111" s="3">
        <v>802</v>
      </c>
      <c r="AA111" s="3">
        <v>933</v>
      </c>
      <c r="AB111" s="3">
        <v>1140</v>
      </c>
      <c r="AC111" s="3">
        <v>1205</v>
      </c>
      <c r="AD111" s="3">
        <v>1223</v>
      </c>
      <c r="AE111" s="3">
        <v>1271</v>
      </c>
      <c r="AF111" s="3">
        <v>1268</v>
      </c>
      <c r="AG111" s="3">
        <v>1294</v>
      </c>
      <c r="AH111" s="3">
        <v>1327</v>
      </c>
      <c r="AI111" s="3">
        <v>1366</v>
      </c>
      <c r="AJ111" s="3">
        <v>1377</v>
      </c>
      <c r="AK111" s="3">
        <v>1377</v>
      </c>
      <c r="AL111" s="3">
        <v>1373</v>
      </c>
      <c r="AM111" s="3">
        <v>1365</v>
      </c>
      <c r="AN111" s="3">
        <v>1366</v>
      </c>
      <c r="AO111" s="3">
        <v>1403</v>
      </c>
      <c r="AP111" s="3">
        <v>1402</v>
      </c>
      <c r="AR111" s="4">
        <f t="shared" si="17"/>
        <v>153.59562603397583</v>
      </c>
      <c r="AS111" s="5">
        <f t="shared" si="18"/>
        <v>2.0417705735660849</v>
      </c>
      <c r="AT111" s="5">
        <f t="shared" si="11"/>
        <v>2.465166130760986</v>
      </c>
      <c r="AU111" s="5">
        <f t="shared" si="12"/>
        <v>1.1228070175438598</v>
      </c>
      <c r="AV111" s="5">
        <f t="shared" si="13"/>
        <v>1.0567823343848581</v>
      </c>
      <c r="AW111" s="5">
        <f t="shared" si="14"/>
        <v>2.4790963767052956</v>
      </c>
      <c r="AX111" s="5">
        <f t="shared" si="15"/>
        <v>1.1491228070175437</v>
      </c>
      <c r="AY111" s="5">
        <f t="shared" si="16"/>
        <v>2.0219720967850643</v>
      </c>
      <c r="AZ111">
        <f t="shared" si="19"/>
        <v>9160000</v>
      </c>
      <c r="BA111">
        <v>0</v>
      </c>
      <c r="BB111">
        <v>410000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6810000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320000</v>
      </c>
      <c r="BQ111">
        <v>0</v>
      </c>
      <c r="BR111">
        <v>1620000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50</v>
      </c>
      <c r="CC111">
        <v>54</v>
      </c>
      <c r="CD111">
        <v>62</v>
      </c>
      <c r="CE111">
        <v>74</v>
      </c>
      <c r="CF111" s="17">
        <v>5.4945054945054945</v>
      </c>
      <c r="CG111" s="17">
        <v>5.9340659340659334</v>
      </c>
      <c r="CH111" s="17">
        <v>6.813186813186813</v>
      </c>
      <c r="CI111" s="17">
        <v>8.1318681318681314</v>
      </c>
      <c r="CJ111" s="18">
        <v>1</v>
      </c>
      <c r="CK111" s="18">
        <v>1.08</v>
      </c>
      <c r="CL111" s="18">
        <v>1.24</v>
      </c>
      <c r="CM111" s="18">
        <v>1.48</v>
      </c>
      <c r="CN111" s="18">
        <v>0</v>
      </c>
      <c r="CO111" s="18">
        <v>0.43956043956043955</v>
      </c>
      <c r="CP111" s="18">
        <v>1.3186813186813187</v>
      </c>
      <c r="CQ111" s="18">
        <v>2.6373626373626373</v>
      </c>
      <c r="CR111" s="18">
        <f t="shared" si="20"/>
        <v>1.7019950124688279</v>
      </c>
      <c r="CS111" s="18">
        <f t="shared" si="21"/>
        <v>1.1499966300465054</v>
      </c>
      <c r="CT111">
        <v>0.21834061135371199</v>
      </c>
      <c r="CU111">
        <v>89.410480349344994</v>
      </c>
      <c r="CV111">
        <v>9.7161572052401795</v>
      </c>
      <c r="CW111">
        <v>0</v>
      </c>
      <c r="CX111">
        <v>0.65502183406113501</v>
      </c>
      <c r="CY111">
        <v>4.1484716157205197</v>
      </c>
      <c r="CZ111">
        <v>75.218340611353696</v>
      </c>
      <c r="DA111">
        <v>20.633187772925801</v>
      </c>
      <c r="DB111">
        <v>0</v>
      </c>
      <c r="DC111">
        <v>0</v>
      </c>
      <c r="DD111">
        <v>4.1484716157205197</v>
      </c>
      <c r="DE111">
        <v>75.218340611353696</v>
      </c>
      <c r="DF111">
        <v>20.633187772925801</v>
      </c>
      <c r="DG111">
        <v>0</v>
      </c>
      <c r="DH111">
        <v>0</v>
      </c>
      <c r="DI111">
        <v>4.4759825327510896</v>
      </c>
      <c r="DJ111">
        <v>74.344978165938898</v>
      </c>
      <c r="DK111">
        <v>21.179039301309999</v>
      </c>
      <c r="DL111">
        <v>0</v>
      </c>
      <c r="DM111">
        <v>0</v>
      </c>
      <c r="DN111">
        <v>4.4759825327510896</v>
      </c>
      <c r="DO111">
        <v>74.344978165938898</v>
      </c>
      <c r="DP111">
        <v>21.179039301309999</v>
      </c>
      <c r="DQ111">
        <v>0</v>
      </c>
      <c r="DR111">
        <v>0</v>
      </c>
      <c r="DS111" t="s">
        <v>273</v>
      </c>
      <c r="DT111" t="s">
        <v>273</v>
      </c>
      <c r="DU111" t="s">
        <v>273</v>
      </c>
      <c r="DV111" t="s">
        <v>273</v>
      </c>
      <c r="DW111" t="s">
        <v>273</v>
      </c>
      <c r="DX111" t="s">
        <v>273</v>
      </c>
      <c r="DY111" t="s">
        <v>273</v>
      </c>
      <c r="DZ111" t="s">
        <v>273</v>
      </c>
      <c r="EA111" t="s">
        <v>273</v>
      </c>
      <c r="EB111" t="s">
        <v>273</v>
      </c>
      <c r="EC111" t="s">
        <v>273</v>
      </c>
      <c r="ED111" t="s">
        <v>274</v>
      </c>
      <c r="EE111" t="s">
        <v>274</v>
      </c>
      <c r="EF111" t="s">
        <v>274</v>
      </c>
      <c r="EG111" t="s">
        <v>274</v>
      </c>
    </row>
    <row r="112" spans="1:137" ht="14.55" customHeight="1" x14ac:dyDescent="0.3">
      <c r="A112" t="s">
        <v>500</v>
      </c>
      <c r="B112">
        <v>2299</v>
      </c>
      <c r="C112" t="s">
        <v>501</v>
      </c>
      <c r="D112" t="s">
        <v>269</v>
      </c>
      <c r="E112" t="s">
        <v>269</v>
      </c>
      <c r="F112" t="s">
        <v>270</v>
      </c>
      <c r="G112" t="s">
        <v>491</v>
      </c>
      <c r="H112" s="3">
        <v>66533259.055200003</v>
      </c>
      <c r="I112">
        <v>6656</v>
      </c>
      <c r="J112" s="3">
        <v>6653.3259055200006</v>
      </c>
      <c r="K112">
        <v>751</v>
      </c>
      <c r="L112">
        <v>2217</v>
      </c>
      <c r="M112">
        <v>1300.85049640635</v>
      </c>
      <c r="N112">
        <v>306.15657026567197</v>
      </c>
      <c r="O112">
        <v>0</v>
      </c>
      <c r="P112">
        <v>66.147155761718807</v>
      </c>
      <c r="Q112">
        <v>16.588943481445298</v>
      </c>
      <c r="R112">
        <v>9.9467477798461896</v>
      </c>
      <c r="S112" t="s">
        <v>272</v>
      </c>
      <c r="T112" t="s">
        <v>500</v>
      </c>
      <c r="U112" t="s">
        <v>501</v>
      </c>
      <c r="V112" t="s">
        <v>501</v>
      </c>
      <c r="W112" s="3">
        <v>3621</v>
      </c>
      <c r="X112" s="3">
        <v>66530000</v>
      </c>
      <c r="Y112">
        <v>3</v>
      </c>
      <c r="Z112" s="3">
        <v>2440</v>
      </c>
      <c r="AA112" s="3">
        <v>2743</v>
      </c>
      <c r="AB112" s="3">
        <v>3426</v>
      </c>
      <c r="AC112" s="3">
        <v>3353</v>
      </c>
      <c r="AD112" s="3">
        <v>3387</v>
      </c>
      <c r="AE112" s="3">
        <v>3420</v>
      </c>
      <c r="AF112" s="3">
        <v>3452</v>
      </c>
      <c r="AG112" s="3">
        <v>3465</v>
      </c>
      <c r="AH112" s="3">
        <v>3452</v>
      </c>
      <c r="AI112" s="3">
        <v>3505</v>
      </c>
      <c r="AJ112" s="3">
        <v>3520</v>
      </c>
      <c r="AK112" s="3">
        <v>3545</v>
      </c>
      <c r="AL112" s="3">
        <v>3564</v>
      </c>
      <c r="AM112" s="3">
        <v>3566</v>
      </c>
      <c r="AN112" s="3">
        <v>3601</v>
      </c>
      <c r="AO112" s="3">
        <v>3594</v>
      </c>
      <c r="AP112" s="3">
        <v>3621</v>
      </c>
      <c r="AR112" s="4">
        <f t="shared" si="17"/>
        <v>54.42390845450393</v>
      </c>
      <c r="AS112" s="5">
        <f t="shared" si="18"/>
        <v>1.5522540983606556</v>
      </c>
      <c r="AT112" s="5">
        <f t="shared" si="11"/>
        <v>2.7666383116620081</v>
      </c>
      <c r="AU112" s="5">
        <f t="shared" si="12"/>
        <v>7.5890251021599534E-2</v>
      </c>
      <c r="AV112" s="5">
        <f t="shared" si="13"/>
        <v>0.48957126303592119</v>
      </c>
      <c r="AW112" s="5">
        <f t="shared" si="14"/>
        <v>2.377049180327869</v>
      </c>
      <c r="AX112" s="5">
        <f t="shared" si="15"/>
        <v>0.28458844133099825</v>
      </c>
      <c r="AY112" s="5">
        <f t="shared" si="16"/>
        <v>1.3081524147097918</v>
      </c>
      <c r="AZ112">
        <f t="shared" si="19"/>
        <v>66530000</v>
      </c>
      <c r="BA112">
        <v>0</v>
      </c>
      <c r="BB112">
        <v>2100000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13050000</v>
      </c>
      <c r="BN112">
        <v>0</v>
      </c>
      <c r="BO112">
        <v>760000</v>
      </c>
      <c r="BP112">
        <v>0</v>
      </c>
      <c r="BQ112">
        <v>19670000</v>
      </c>
      <c r="BR112">
        <v>1660000</v>
      </c>
      <c r="BS112">
        <v>20600000</v>
      </c>
      <c r="BT112">
        <v>1480000</v>
      </c>
      <c r="BU112">
        <v>2910000</v>
      </c>
      <c r="BV112">
        <v>380000</v>
      </c>
      <c r="BW112">
        <v>0</v>
      </c>
      <c r="BX112">
        <v>3670000</v>
      </c>
      <c r="BY112">
        <v>0</v>
      </c>
      <c r="BZ112">
        <v>0</v>
      </c>
      <c r="CA112">
        <v>250000</v>
      </c>
      <c r="CB112">
        <v>168</v>
      </c>
      <c r="CC112">
        <v>215</v>
      </c>
      <c r="CD112">
        <v>237</v>
      </c>
      <c r="CE112">
        <v>258</v>
      </c>
      <c r="CF112" s="17">
        <v>2.5217652356649656</v>
      </c>
      <c r="CG112" s="17">
        <v>3.2272590813569502</v>
      </c>
      <c r="CH112" s="17">
        <v>3.5574902431702196</v>
      </c>
      <c r="CI112" s="17">
        <v>3.8727108976283398</v>
      </c>
      <c r="CJ112" s="18">
        <v>1</v>
      </c>
      <c r="CK112" s="18">
        <v>1.2797619047619047</v>
      </c>
      <c r="CL112" s="18">
        <v>1.4107142857142858</v>
      </c>
      <c r="CM112" s="18">
        <v>1.5357142857142858</v>
      </c>
      <c r="CN112" s="18">
        <v>0</v>
      </c>
      <c r="CO112" s="18">
        <v>0.70549384569198437</v>
      </c>
      <c r="CP112" s="18">
        <v>1.0357250075052538</v>
      </c>
      <c r="CQ112" s="18">
        <v>1.3509456619633744</v>
      </c>
      <c r="CR112" s="18">
        <f t="shared" si="20"/>
        <v>1.4614754098360656</v>
      </c>
      <c r="CS112" s="18">
        <f t="shared" si="21"/>
        <v>0.95165840640487986</v>
      </c>
      <c r="CT112">
        <v>0.54110927401172404</v>
      </c>
      <c r="CU112">
        <v>19.08913272208029</v>
      </c>
      <c r="CV112">
        <v>79.768525477228351</v>
      </c>
      <c r="CW112">
        <v>0</v>
      </c>
      <c r="CX112">
        <v>0.60123252667969296</v>
      </c>
      <c r="CY112">
        <v>3.0512550728994401</v>
      </c>
      <c r="CZ112">
        <v>46.685705696678212</v>
      </c>
      <c r="DA112">
        <v>49.887268901247509</v>
      </c>
      <c r="DB112">
        <v>0</v>
      </c>
      <c r="DC112">
        <v>0.37577032917480802</v>
      </c>
      <c r="DD112">
        <v>3.0512550728994401</v>
      </c>
      <c r="DE112">
        <v>46.670674883511211</v>
      </c>
      <c r="DF112">
        <v>49.902299714414511</v>
      </c>
      <c r="DG112">
        <v>0</v>
      </c>
      <c r="DH112">
        <v>0.37577032917480802</v>
      </c>
      <c r="DI112">
        <v>3.1564707650683901</v>
      </c>
      <c r="DJ112">
        <v>20.757552983616421</v>
      </c>
      <c r="DK112">
        <v>75.710205922140389</v>
      </c>
      <c r="DL112">
        <v>0</v>
      </c>
      <c r="DM112">
        <v>0.37577032917480802</v>
      </c>
      <c r="DN112">
        <v>3.1564707650683901</v>
      </c>
      <c r="DO112">
        <v>20.757552983616421</v>
      </c>
      <c r="DP112">
        <v>75.710205922140389</v>
      </c>
      <c r="DQ112">
        <v>0</v>
      </c>
      <c r="DR112">
        <v>0.37577032917480802</v>
      </c>
      <c r="DS112" t="s">
        <v>273</v>
      </c>
      <c r="DT112" t="s">
        <v>273</v>
      </c>
      <c r="DU112" t="s">
        <v>273</v>
      </c>
      <c r="DV112" t="s">
        <v>273</v>
      </c>
      <c r="DW112" t="s">
        <v>273</v>
      </c>
      <c r="DX112" t="s">
        <v>273</v>
      </c>
      <c r="DY112" t="s">
        <v>273</v>
      </c>
      <c r="DZ112" t="s">
        <v>273</v>
      </c>
      <c r="EA112" t="s">
        <v>273</v>
      </c>
      <c r="EB112" t="s">
        <v>273</v>
      </c>
      <c r="EC112" t="s">
        <v>273</v>
      </c>
      <c r="ED112" t="s">
        <v>274</v>
      </c>
      <c r="EE112" t="s">
        <v>274</v>
      </c>
      <c r="EF112" t="s">
        <v>274</v>
      </c>
      <c r="EG112" t="s">
        <v>274</v>
      </c>
    </row>
    <row r="113" spans="1:137" ht="14.55" customHeight="1" x14ac:dyDescent="0.3">
      <c r="A113" t="s">
        <v>502</v>
      </c>
      <c r="B113">
        <v>2300</v>
      </c>
      <c r="C113" t="s">
        <v>503</v>
      </c>
      <c r="D113" t="s">
        <v>269</v>
      </c>
      <c r="E113" t="s">
        <v>269</v>
      </c>
      <c r="F113" t="s">
        <v>270</v>
      </c>
      <c r="G113" t="s">
        <v>491</v>
      </c>
      <c r="H113" s="3">
        <v>18156560.918400001</v>
      </c>
      <c r="I113">
        <v>1817</v>
      </c>
      <c r="J113" s="3">
        <v>1815.65609184</v>
      </c>
      <c r="K113">
        <v>785</v>
      </c>
      <c r="L113">
        <v>1645</v>
      </c>
      <c r="M113">
        <v>1169.9478075561699</v>
      </c>
      <c r="N113">
        <v>219.845966183462</v>
      </c>
      <c r="O113">
        <v>0</v>
      </c>
      <c r="P113">
        <v>49.142368316650398</v>
      </c>
      <c r="Q113">
        <v>14.276162147521999</v>
      </c>
      <c r="R113">
        <v>7.2346644401550302</v>
      </c>
      <c r="S113" t="s">
        <v>272</v>
      </c>
      <c r="T113" t="s">
        <v>502</v>
      </c>
      <c r="U113" t="s">
        <v>503</v>
      </c>
      <c r="V113" t="s">
        <v>503</v>
      </c>
      <c r="W113" s="3">
        <v>1013</v>
      </c>
      <c r="X113" s="3">
        <v>18160000</v>
      </c>
      <c r="Y113">
        <v>3</v>
      </c>
      <c r="Z113" s="3">
        <v>769</v>
      </c>
      <c r="AA113" s="3">
        <v>923</v>
      </c>
      <c r="AB113" s="3">
        <v>1030</v>
      </c>
      <c r="AC113" s="3">
        <v>1006</v>
      </c>
      <c r="AD113" s="3">
        <v>1001</v>
      </c>
      <c r="AE113" s="3">
        <v>995</v>
      </c>
      <c r="AF113" s="3">
        <v>997</v>
      </c>
      <c r="AG113" s="3">
        <v>993</v>
      </c>
      <c r="AH113" s="3">
        <v>1014</v>
      </c>
      <c r="AI113" s="3">
        <v>1020</v>
      </c>
      <c r="AJ113" s="3">
        <v>1043</v>
      </c>
      <c r="AK113" s="3">
        <v>1048</v>
      </c>
      <c r="AL113" s="3">
        <v>1021</v>
      </c>
      <c r="AM113" s="3">
        <v>1040</v>
      </c>
      <c r="AN113" s="3">
        <v>1048</v>
      </c>
      <c r="AO113" s="3">
        <v>1048</v>
      </c>
      <c r="AP113" s="3">
        <v>1013</v>
      </c>
      <c r="AR113" s="4">
        <f t="shared" si="17"/>
        <v>55.792504128544401</v>
      </c>
      <c r="AS113" s="5">
        <f t="shared" si="18"/>
        <v>2.503250975292588</v>
      </c>
      <c r="AT113" s="5">
        <f t="shared" si="11"/>
        <v>1.2880703021548092</v>
      </c>
      <c r="AU113" s="5">
        <f t="shared" si="12"/>
        <v>-0.32038834951456313</v>
      </c>
      <c r="AV113" s="5">
        <f t="shared" si="13"/>
        <v>0.16048144433299899</v>
      </c>
      <c r="AW113" s="5">
        <f t="shared" si="14"/>
        <v>1.9964812973303756</v>
      </c>
      <c r="AX113" s="5">
        <f t="shared" si="15"/>
        <v>-8.2524271844660199E-2</v>
      </c>
      <c r="AY113" s="5">
        <f t="shared" si="16"/>
        <v>0.85755456366639715</v>
      </c>
      <c r="AZ113">
        <f t="shared" si="19"/>
        <v>18160000</v>
      </c>
      <c r="BA113">
        <v>0</v>
      </c>
      <c r="BB113">
        <v>710000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2270000</v>
      </c>
      <c r="BN113">
        <v>0</v>
      </c>
      <c r="BO113">
        <v>0</v>
      </c>
      <c r="BP113">
        <v>0</v>
      </c>
      <c r="BQ113">
        <v>6350000</v>
      </c>
      <c r="BR113">
        <v>2300000</v>
      </c>
      <c r="BS113">
        <v>5060000</v>
      </c>
      <c r="BT113">
        <v>70000</v>
      </c>
      <c r="BU113">
        <v>1400000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60</v>
      </c>
      <c r="CC113">
        <v>71</v>
      </c>
      <c r="CD113">
        <v>73</v>
      </c>
      <c r="CE113">
        <v>78</v>
      </c>
      <c r="CF113" s="17">
        <v>3.3021463951568517</v>
      </c>
      <c r="CG113" s="17">
        <v>3.9075399009356082</v>
      </c>
      <c r="CH113" s="17">
        <v>4.0176114474408369</v>
      </c>
      <c r="CI113" s="17">
        <v>4.2927903137039074</v>
      </c>
      <c r="CJ113" s="18">
        <v>1</v>
      </c>
      <c r="CK113" s="18">
        <v>1.1833333333333333</v>
      </c>
      <c r="CL113" s="18">
        <v>1.2166666666666666</v>
      </c>
      <c r="CM113" s="18">
        <v>1.3</v>
      </c>
      <c r="CN113" s="18">
        <v>0</v>
      </c>
      <c r="CO113" s="18">
        <v>0.60539350577875617</v>
      </c>
      <c r="CP113" s="18">
        <v>0.7154650522839846</v>
      </c>
      <c r="CQ113" s="18">
        <v>0.99064391854705547</v>
      </c>
      <c r="CR113" s="18">
        <f t="shared" si="20"/>
        <v>1.3524057217165149</v>
      </c>
      <c r="CS113" s="18">
        <f t="shared" si="21"/>
        <v>1.0403120936280883</v>
      </c>
      <c r="CT113">
        <v>0.49559471365638802</v>
      </c>
      <c r="CU113">
        <v>12.9955947136564</v>
      </c>
      <c r="CV113">
        <v>86.013215859030794</v>
      </c>
      <c r="CW113">
        <v>0</v>
      </c>
      <c r="CX113">
        <v>0.49559471365638802</v>
      </c>
      <c r="CY113">
        <v>3.7995594713656402</v>
      </c>
      <c r="CZ113">
        <v>39.096916299559503</v>
      </c>
      <c r="DA113">
        <v>57.103524229074928</v>
      </c>
      <c r="DB113">
        <v>0</v>
      </c>
      <c r="DC113">
        <v>0</v>
      </c>
      <c r="DD113">
        <v>3.7995594713656402</v>
      </c>
      <c r="DE113">
        <v>39.096916299559503</v>
      </c>
      <c r="DF113">
        <v>57.103524229074928</v>
      </c>
      <c r="DG113">
        <v>0</v>
      </c>
      <c r="DH113">
        <v>0</v>
      </c>
      <c r="DI113">
        <v>3.9096916299559501</v>
      </c>
      <c r="DJ113">
        <v>12.5</v>
      </c>
      <c r="DK113">
        <v>83.590308370043999</v>
      </c>
      <c r="DL113">
        <v>0</v>
      </c>
      <c r="DM113">
        <v>0</v>
      </c>
      <c r="DN113">
        <v>3.9096916299559501</v>
      </c>
      <c r="DO113">
        <v>12.5</v>
      </c>
      <c r="DP113">
        <v>83.590308370044099</v>
      </c>
      <c r="DQ113">
        <v>0</v>
      </c>
      <c r="DR113">
        <v>0</v>
      </c>
      <c r="DS113" t="s">
        <v>273</v>
      </c>
      <c r="DT113" t="s">
        <v>273</v>
      </c>
      <c r="DU113" t="s">
        <v>273</v>
      </c>
      <c r="DV113" t="s">
        <v>273</v>
      </c>
      <c r="DW113" t="s">
        <v>273</v>
      </c>
      <c r="DX113" t="s">
        <v>273</v>
      </c>
      <c r="DY113" t="s">
        <v>273</v>
      </c>
      <c r="DZ113" t="s">
        <v>273</v>
      </c>
      <c r="EA113" t="s">
        <v>273</v>
      </c>
      <c r="EB113" t="s">
        <v>273</v>
      </c>
      <c r="EC113" t="s">
        <v>273</v>
      </c>
      <c r="ED113" t="s">
        <v>274</v>
      </c>
      <c r="EE113" t="s">
        <v>274</v>
      </c>
      <c r="EF113" t="s">
        <v>274</v>
      </c>
      <c r="EG113" t="s">
        <v>274</v>
      </c>
    </row>
    <row r="114" spans="1:137" ht="14.55" customHeight="1" x14ac:dyDescent="0.3">
      <c r="A114" t="s">
        <v>504</v>
      </c>
      <c r="B114">
        <v>2301</v>
      </c>
      <c r="C114" t="s">
        <v>505</v>
      </c>
      <c r="D114" t="s">
        <v>269</v>
      </c>
      <c r="E114" t="s">
        <v>269</v>
      </c>
      <c r="F114" t="s">
        <v>270</v>
      </c>
      <c r="G114" t="s">
        <v>491</v>
      </c>
      <c r="H114" s="3">
        <v>7305729.34999</v>
      </c>
      <c r="I114">
        <v>728</v>
      </c>
      <c r="J114" s="3">
        <v>730.57293499900004</v>
      </c>
      <c r="K114">
        <v>750</v>
      </c>
      <c r="L114">
        <v>1049</v>
      </c>
      <c r="M114">
        <v>872.337849964106</v>
      </c>
      <c r="N114">
        <v>48.726557117539301</v>
      </c>
      <c r="O114">
        <v>0</v>
      </c>
      <c r="P114">
        <v>33.723091125488303</v>
      </c>
      <c r="Q114">
        <v>8.0254840850830096</v>
      </c>
      <c r="R114">
        <v>5.0253643989562997</v>
      </c>
      <c r="S114" t="s">
        <v>272</v>
      </c>
      <c r="T114" t="s">
        <v>504</v>
      </c>
      <c r="U114" t="s">
        <v>505</v>
      </c>
      <c r="V114" t="s">
        <v>505</v>
      </c>
      <c r="W114" s="3">
        <v>1108</v>
      </c>
      <c r="X114" s="3">
        <v>7300000</v>
      </c>
      <c r="Y114">
        <v>3</v>
      </c>
      <c r="Z114" s="3">
        <v>881</v>
      </c>
      <c r="AA114" s="3">
        <v>931</v>
      </c>
      <c r="AB114" s="3">
        <v>1014</v>
      </c>
      <c r="AC114" s="3">
        <v>1056</v>
      </c>
      <c r="AD114" s="3">
        <v>1079</v>
      </c>
      <c r="AE114" s="3">
        <v>1079</v>
      </c>
      <c r="AF114" s="3">
        <v>1086</v>
      </c>
      <c r="AG114" s="3">
        <v>1082</v>
      </c>
      <c r="AH114" s="3">
        <v>1084</v>
      </c>
      <c r="AI114" s="3">
        <v>1084</v>
      </c>
      <c r="AJ114" s="3">
        <v>1083</v>
      </c>
      <c r="AK114" s="3">
        <v>1095</v>
      </c>
      <c r="AL114" s="3">
        <v>1073</v>
      </c>
      <c r="AM114" s="3">
        <v>1068</v>
      </c>
      <c r="AN114" s="3">
        <v>1083</v>
      </c>
      <c r="AO114" s="3">
        <v>1103</v>
      </c>
      <c r="AP114" s="3">
        <v>1108</v>
      </c>
      <c r="AR114" s="4">
        <f t="shared" si="17"/>
        <v>151.66179130376855</v>
      </c>
      <c r="AS114" s="5">
        <f t="shared" si="18"/>
        <v>0.70942111237230421</v>
      </c>
      <c r="AT114" s="5">
        <f t="shared" si="11"/>
        <v>0.9905716672633964</v>
      </c>
      <c r="AU114" s="5">
        <f t="shared" si="12"/>
        <v>0.71005917159763321</v>
      </c>
      <c r="AV114" s="5">
        <f t="shared" si="13"/>
        <v>0.20257826887661143</v>
      </c>
      <c r="AW114" s="5">
        <f t="shared" si="14"/>
        <v>0.88802831007544913</v>
      </c>
      <c r="AX114" s="5">
        <f t="shared" si="15"/>
        <v>0.46351084812623278</v>
      </c>
      <c r="AY114" s="5">
        <f t="shared" si="16"/>
        <v>0.69638310273951598</v>
      </c>
      <c r="AZ114">
        <f t="shared" si="19"/>
        <v>7320000</v>
      </c>
      <c r="BA114">
        <v>0</v>
      </c>
      <c r="BB114">
        <v>390000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2060000</v>
      </c>
      <c r="BK114">
        <v>0</v>
      </c>
      <c r="BL114">
        <v>0</v>
      </c>
      <c r="BM114">
        <v>3630000</v>
      </c>
      <c r="BN114">
        <v>0</v>
      </c>
      <c r="BO114">
        <v>40000</v>
      </c>
      <c r="BP114">
        <v>0</v>
      </c>
      <c r="BQ114">
        <v>1030000</v>
      </c>
      <c r="BR114">
        <v>170000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39</v>
      </c>
      <c r="CC114">
        <v>44</v>
      </c>
      <c r="CD114">
        <v>50</v>
      </c>
      <c r="CE114">
        <v>60</v>
      </c>
      <c r="CF114" s="17">
        <v>5.3497942386831276</v>
      </c>
      <c r="CG114" s="17">
        <v>6.0356652949245539</v>
      </c>
      <c r="CH114" s="17">
        <v>6.8587105624142666</v>
      </c>
      <c r="CI114" s="17">
        <v>8.2304526748971192</v>
      </c>
      <c r="CJ114" s="18">
        <v>1</v>
      </c>
      <c r="CK114" s="18">
        <v>1.1282051282051282</v>
      </c>
      <c r="CL114" s="18">
        <v>1.2820512820512822</v>
      </c>
      <c r="CM114" s="18">
        <v>1.5384615384615385</v>
      </c>
      <c r="CN114" s="18">
        <v>0</v>
      </c>
      <c r="CO114" s="18">
        <v>0.68587105624142664</v>
      </c>
      <c r="CP114" s="18">
        <v>1.5089163237311385</v>
      </c>
      <c r="CQ114" s="18">
        <v>2.880658436213992</v>
      </c>
      <c r="CR114" s="18">
        <f t="shared" si="20"/>
        <v>1.2122587968217935</v>
      </c>
      <c r="CS114" s="18">
        <f t="shared" si="21"/>
        <v>0.78796821793416572</v>
      </c>
      <c r="CT114">
        <v>1.22950819672131</v>
      </c>
      <c r="CU114">
        <v>80.19125683060112</v>
      </c>
      <c r="CV114">
        <v>17.213114754098399</v>
      </c>
      <c r="CW114">
        <v>1.36612021857924</v>
      </c>
      <c r="CX114">
        <v>0</v>
      </c>
      <c r="CY114">
        <v>5.3278688524590203</v>
      </c>
      <c r="CZ114">
        <v>79.098360655737693</v>
      </c>
      <c r="DA114">
        <v>15.5737704918033</v>
      </c>
      <c r="DB114">
        <v>0</v>
      </c>
      <c r="DC114">
        <v>0</v>
      </c>
      <c r="DD114">
        <v>5.3278688524590203</v>
      </c>
      <c r="DE114">
        <v>79.098360655737693</v>
      </c>
      <c r="DF114">
        <v>15.5737704918033</v>
      </c>
      <c r="DG114">
        <v>0</v>
      </c>
      <c r="DH114">
        <v>0</v>
      </c>
      <c r="DI114">
        <v>5.3278688524590203</v>
      </c>
      <c r="DJ114">
        <v>78.278688524590095</v>
      </c>
      <c r="DK114">
        <v>16.393442622950801</v>
      </c>
      <c r="DL114">
        <v>0</v>
      </c>
      <c r="DM114">
        <v>0</v>
      </c>
      <c r="DN114">
        <v>5.3278688524590203</v>
      </c>
      <c r="DO114">
        <v>78.278688524590095</v>
      </c>
      <c r="DP114">
        <v>16.393442622950801</v>
      </c>
      <c r="DQ114">
        <v>0</v>
      </c>
      <c r="DR114">
        <v>0</v>
      </c>
      <c r="DS114" t="s">
        <v>273</v>
      </c>
      <c r="DT114" t="s">
        <v>273</v>
      </c>
      <c r="DU114" t="s">
        <v>273</v>
      </c>
      <c r="DV114" t="s">
        <v>273</v>
      </c>
      <c r="DW114" t="s">
        <v>273</v>
      </c>
      <c r="DX114" t="s">
        <v>273</v>
      </c>
      <c r="DY114" t="s">
        <v>273</v>
      </c>
      <c r="DZ114" t="s">
        <v>273</v>
      </c>
      <c r="EA114" t="s">
        <v>273</v>
      </c>
      <c r="EB114" t="s">
        <v>273</v>
      </c>
      <c r="EC114" t="s">
        <v>273</v>
      </c>
      <c r="ED114" t="s">
        <v>274</v>
      </c>
      <c r="EE114" t="s">
        <v>274</v>
      </c>
      <c r="EF114" t="s">
        <v>274</v>
      </c>
      <c r="EG114" t="s">
        <v>274</v>
      </c>
    </row>
    <row r="115" spans="1:137" ht="14.55" customHeight="1" x14ac:dyDescent="0.3">
      <c r="A115" t="s">
        <v>506</v>
      </c>
      <c r="B115">
        <v>2303</v>
      </c>
      <c r="C115" t="s">
        <v>507</v>
      </c>
      <c r="D115" t="s">
        <v>269</v>
      </c>
      <c r="E115" t="s">
        <v>269</v>
      </c>
      <c r="F115" t="s">
        <v>270</v>
      </c>
      <c r="G115" t="s">
        <v>491</v>
      </c>
      <c r="H115" s="3">
        <v>7040180.17607</v>
      </c>
      <c r="I115">
        <v>703</v>
      </c>
      <c r="J115" s="3">
        <v>704.01801760700005</v>
      </c>
      <c r="K115">
        <v>678</v>
      </c>
      <c r="L115">
        <v>1265</v>
      </c>
      <c r="M115">
        <v>856.31227906976699</v>
      </c>
      <c r="N115">
        <v>109.2084989789</v>
      </c>
      <c r="O115">
        <v>0</v>
      </c>
      <c r="P115">
        <v>50.003459930419901</v>
      </c>
      <c r="Q115">
        <v>10.1271963119507</v>
      </c>
      <c r="R115">
        <v>6.8889064788818404</v>
      </c>
      <c r="S115" t="s">
        <v>272</v>
      </c>
      <c r="T115" t="s">
        <v>506</v>
      </c>
      <c r="U115" t="s">
        <v>507</v>
      </c>
      <c r="V115" t="s">
        <v>507</v>
      </c>
      <c r="W115" s="3">
        <v>971</v>
      </c>
      <c r="X115" s="3">
        <v>7040000</v>
      </c>
      <c r="Y115">
        <v>3</v>
      </c>
      <c r="Z115" s="3">
        <v>785</v>
      </c>
      <c r="AA115" s="3">
        <v>826</v>
      </c>
      <c r="AB115" s="3">
        <v>971</v>
      </c>
      <c r="AC115" s="3">
        <v>925</v>
      </c>
      <c r="AD115" s="3">
        <v>924</v>
      </c>
      <c r="AE115" s="3">
        <v>914</v>
      </c>
      <c r="AF115" s="3">
        <v>925</v>
      </c>
      <c r="AG115" s="3">
        <v>918</v>
      </c>
      <c r="AH115" s="3">
        <v>935</v>
      </c>
      <c r="AI115" s="3">
        <v>942</v>
      </c>
      <c r="AJ115" s="3">
        <v>955</v>
      </c>
      <c r="AK115" s="3">
        <v>966</v>
      </c>
      <c r="AL115" s="3">
        <v>963</v>
      </c>
      <c r="AM115" s="3">
        <v>986</v>
      </c>
      <c r="AN115" s="3">
        <v>973</v>
      </c>
      <c r="AO115" s="3">
        <v>958</v>
      </c>
      <c r="AP115" s="3">
        <v>971</v>
      </c>
      <c r="AR115" s="4">
        <f t="shared" si="17"/>
        <v>137.92260648392039</v>
      </c>
      <c r="AS115" s="5">
        <f t="shared" si="18"/>
        <v>0.65286624203821664</v>
      </c>
      <c r="AT115" s="5">
        <f t="shared" si="11"/>
        <v>1.9504977132095775</v>
      </c>
      <c r="AU115" s="5">
        <f t="shared" si="12"/>
        <v>-0.47373841400617916</v>
      </c>
      <c r="AV115" s="5">
        <f t="shared" si="13"/>
        <v>0.49729729729729732</v>
      </c>
      <c r="AW115" s="5">
        <f t="shared" si="14"/>
        <v>1.393780442113151</v>
      </c>
      <c r="AX115" s="5">
        <f t="shared" si="15"/>
        <v>0</v>
      </c>
      <c r="AY115" s="5">
        <f t="shared" si="16"/>
        <v>0.64038560853847482</v>
      </c>
      <c r="AZ115">
        <f t="shared" si="19"/>
        <v>7010000</v>
      </c>
      <c r="BA115">
        <v>0</v>
      </c>
      <c r="BB115">
        <v>790000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3450000</v>
      </c>
      <c r="BN115">
        <v>0</v>
      </c>
      <c r="BO115">
        <v>0</v>
      </c>
      <c r="BP115">
        <v>0</v>
      </c>
      <c r="BQ115">
        <v>1270000</v>
      </c>
      <c r="BR115">
        <v>1500000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43</v>
      </c>
      <c r="CC115">
        <v>50</v>
      </c>
      <c r="CD115">
        <v>56</v>
      </c>
      <c r="CE115">
        <v>60</v>
      </c>
      <c r="CF115" s="17">
        <v>6.1166429587482218</v>
      </c>
      <c r="CG115" s="17">
        <v>7.1123755334281658</v>
      </c>
      <c r="CH115" s="17">
        <v>7.9658605974395442</v>
      </c>
      <c r="CI115" s="17">
        <v>8.5348506401137971</v>
      </c>
      <c r="CJ115" s="18">
        <v>1</v>
      </c>
      <c r="CK115" s="18">
        <v>1.1627906976744187</v>
      </c>
      <c r="CL115" s="18">
        <v>1.3023255813953489</v>
      </c>
      <c r="CM115" s="18">
        <v>1.3953488372093024</v>
      </c>
      <c r="CN115" s="18">
        <v>0</v>
      </c>
      <c r="CO115" s="18">
        <v>0.99573257467994303</v>
      </c>
      <c r="CP115" s="18">
        <v>1.8492176386913231</v>
      </c>
      <c r="CQ115" s="18">
        <v>2.4182076813655762</v>
      </c>
      <c r="CR115" s="18">
        <f t="shared" si="20"/>
        <v>1.2560509554140127</v>
      </c>
      <c r="CS115" s="18">
        <f t="shared" si="21"/>
        <v>0.90016985138004235</v>
      </c>
      <c r="CT115">
        <v>0.57061340941512095</v>
      </c>
      <c r="CU115">
        <v>60.342368045649089</v>
      </c>
      <c r="CV115">
        <v>39.087018544935802</v>
      </c>
      <c r="CW115">
        <v>0</v>
      </c>
      <c r="CX115">
        <v>0</v>
      </c>
      <c r="CY115">
        <v>3.7089871611982899</v>
      </c>
      <c r="CZ115">
        <v>60.199714693295306</v>
      </c>
      <c r="DA115">
        <v>36.0912981455064</v>
      </c>
      <c r="DB115">
        <v>0</v>
      </c>
      <c r="DC115">
        <v>0</v>
      </c>
      <c r="DD115">
        <v>3.7089871611982899</v>
      </c>
      <c r="DE115">
        <v>60.199714693295306</v>
      </c>
      <c r="DF115">
        <v>36.0912981455064</v>
      </c>
      <c r="DG115">
        <v>0</v>
      </c>
      <c r="DH115">
        <v>0</v>
      </c>
      <c r="DI115">
        <v>11.2696148359486</v>
      </c>
      <c r="DJ115">
        <v>49.215406562054199</v>
      </c>
      <c r="DK115">
        <v>39.5149786019972</v>
      </c>
      <c r="DL115">
        <v>0</v>
      </c>
      <c r="DM115">
        <v>0</v>
      </c>
      <c r="DN115">
        <v>11.2696148359486</v>
      </c>
      <c r="DO115">
        <v>49.215406562054199</v>
      </c>
      <c r="DP115">
        <v>39.5149786019972</v>
      </c>
      <c r="DQ115">
        <v>0</v>
      </c>
      <c r="DR115">
        <v>0</v>
      </c>
      <c r="DS115" t="s">
        <v>273</v>
      </c>
      <c r="DT115" t="s">
        <v>273</v>
      </c>
      <c r="DU115" t="s">
        <v>273</v>
      </c>
      <c r="DV115" t="s">
        <v>273</v>
      </c>
      <c r="DW115" t="s">
        <v>273</v>
      </c>
      <c r="DX115" t="s">
        <v>273</v>
      </c>
      <c r="DY115" t="s">
        <v>273</v>
      </c>
      <c r="DZ115" t="s">
        <v>273</v>
      </c>
      <c r="EA115" t="s">
        <v>273</v>
      </c>
      <c r="EB115" t="s">
        <v>273</v>
      </c>
      <c r="EC115" t="s">
        <v>273</v>
      </c>
      <c r="ED115" t="s">
        <v>274</v>
      </c>
      <c r="EE115" t="s">
        <v>274</v>
      </c>
      <c r="EF115" t="s">
        <v>274</v>
      </c>
      <c r="EG115" t="s">
        <v>274</v>
      </c>
    </row>
    <row r="116" spans="1:137" ht="14.55" customHeight="1" x14ac:dyDescent="0.3">
      <c r="A116" t="s">
        <v>508</v>
      </c>
      <c r="B116">
        <v>2304</v>
      </c>
      <c r="C116" t="s">
        <v>509</v>
      </c>
      <c r="D116" t="s">
        <v>269</v>
      </c>
      <c r="E116" t="s">
        <v>269</v>
      </c>
      <c r="F116" t="s">
        <v>270</v>
      </c>
      <c r="G116" t="s">
        <v>491</v>
      </c>
      <c r="H116" s="3">
        <v>15717742.6008</v>
      </c>
      <c r="I116">
        <v>1569</v>
      </c>
      <c r="J116" s="3">
        <v>1571.77426008</v>
      </c>
      <c r="K116">
        <v>572</v>
      </c>
      <c r="L116">
        <v>891</v>
      </c>
      <c r="M116">
        <v>728.843906302101</v>
      </c>
      <c r="N116">
        <v>53.727956710853398</v>
      </c>
      <c r="O116">
        <v>0</v>
      </c>
      <c r="P116">
        <v>54.545082092285199</v>
      </c>
      <c r="Q116">
        <v>7.6909108161926296</v>
      </c>
      <c r="R116">
        <v>5.1706619262695304</v>
      </c>
      <c r="S116" t="s">
        <v>272</v>
      </c>
      <c r="T116" t="s">
        <v>508</v>
      </c>
      <c r="U116" t="s">
        <v>509</v>
      </c>
      <c r="V116" t="s">
        <v>509</v>
      </c>
      <c r="W116" s="3">
        <v>1345</v>
      </c>
      <c r="X116" s="3">
        <v>15720000</v>
      </c>
      <c r="Y116">
        <v>3</v>
      </c>
      <c r="Z116" s="3">
        <v>999</v>
      </c>
      <c r="AA116" s="3">
        <v>1052</v>
      </c>
      <c r="AB116" s="3">
        <v>1157</v>
      </c>
      <c r="AC116" s="3">
        <v>1236</v>
      </c>
      <c r="AD116" s="3">
        <v>1239</v>
      </c>
      <c r="AE116" s="3">
        <v>1259</v>
      </c>
      <c r="AF116" s="3">
        <v>1240</v>
      </c>
      <c r="AG116" s="3">
        <v>1254</v>
      </c>
      <c r="AH116" s="3">
        <v>1248</v>
      </c>
      <c r="AI116" s="3">
        <v>1252</v>
      </c>
      <c r="AJ116" s="3">
        <v>1281</v>
      </c>
      <c r="AK116" s="3">
        <v>1294</v>
      </c>
      <c r="AL116" s="3">
        <v>1305</v>
      </c>
      <c r="AM116" s="3">
        <v>1319</v>
      </c>
      <c r="AN116" s="3">
        <v>1332</v>
      </c>
      <c r="AO116" s="3">
        <v>1345</v>
      </c>
      <c r="AP116" s="3">
        <v>1345</v>
      </c>
      <c r="AR116" s="4">
        <f t="shared" si="17"/>
        <v>85.572084628204962</v>
      </c>
      <c r="AS116" s="5">
        <f t="shared" si="18"/>
        <v>0.66316316316316315</v>
      </c>
      <c r="AT116" s="5">
        <f t="shared" si="11"/>
        <v>1.1089987325728772</v>
      </c>
      <c r="AU116" s="5">
        <f t="shared" si="12"/>
        <v>0.71737251512532407</v>
      </c>
      <c r="AV116" s="5">
        <f t="shared" si="13"/>
        <v>0.84677419354838701</v>
      </c>
      <c r="AW116" s="5">
        <f t="shared" si="14"/>
        <v>0.93034210681269491</v>
      </c>
      <c r="AX116" s="5">
        <f t="shared" si="15"/>
        <v>0.81244598098530685</v>
      </c>
      <c r="AY116" s="5">
        <f t="shared" si="16"/>
        <v>0.93607120634147667</v>
      </c>
      <c r="AZ116">
        <f t="shared" si="19"/>
        <v>15640000</v>
      </c>
      <c r="BA116">
        <v>0</v>
      </c>
      <c r="BB116">
        <v>360000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11300000</v>
      </c>
      <c r="BK116">
        <v>0</v>
      </c>
      <c r="BL116">
        <v>0</v>
      </c>
      <c r="BM116">
        <v>880000</v>
      </c>
      <c r="BN116">
        <v>0</v>
      </c>
      <c r="BO116">
        <v>1060000</v>
      </c>
      <c r="BP116">
        <v>0</v>
      </c>
      <c r="BQ116">
        <v>770000</v>
      </c>
      <c r="BR116">
        <v>1270000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98</v>
      </c>
      <c r="CC116">
        <v>88</v>
      </c>
      <c r="CD116">
        <v>104</v>
      </c>
      <c r="CE116">
        <v>117</v>
      </c>
      <c r="CF116" s="17">
        <v>6.25</v>
      </c>
      <c r="CG116" s="17">
        <v>5.6122448979591839</v>
      </c>
      <c r="CH116" s="17">
        <v>6.6326530612244898</v>
      </c>
      <c r="CI116" s="17">
        <v>7.4617346938775517</v>
      </c>
      <c r="CJ116" s="18">
        <v>1</v>
      </c>
      <c r="CK116" s="18">
        <v>0.89795918367346939</v>
      </c>
      <c r="CL116" s="18">
        <v>1.0612244897959184</v>
      </c>
      <c r="CM116" s="18">
        <v>1.1938775510204083</v>
      </c>
      <c r="CN116" s="18">
        <v>0</v>
      </c>
      <c r="CO116" s="18">
        <v>-0.63775510204081631</v>
      </c>
      <c r="CP116" s="18">
        <v>0.38265306122448978</v>
      </c>
      <c r="CQ116" s="18">
        <v>1.2117346938775511</v>
      </c>
      <c r="CR116" s="18">
        <f t="shared" si="20"/>
        <v>1.3203203203203204</v>
      </c>
      <c r="CS116" s="18">
        <f t="shared" si="21"/>
        <v>1.1059093281315504</v>
      </c>
      <c r="CT116">
        <v>0.38363171355498699</v>
      </c>
      <c r="CU116">
        <v>87.404092071611302</v>
      </c>
      <c r="CV116">
        <v>12.148337595907901</v>
      </c>
      <c r="CW116">
        <v>6.3938618925831206E-2</v>
      </c>
      <c r="CX116">
        <v>0</v>
      </c>
      <c r="CY116">
        <v>2.3017902813299198</v>
      </c>
      <c r="CZ116">
        <v>83.248081841432196</v>
      </c>
      <c r="DA116">
        <v>14.45012787723781</v>
      </c>
      <c r="DB116">
        <v>0</v>
      </c>
      <c r="DC116">
        <v>0</v>
      </c>
      <c r="DD116">
        <v>2.3017902813299198</v>
      </c>
      <c r="DE116">
        <v>82.672634271099696</v>
      </c>
      <c r="DF116">
        <v>15.02557544757031</v>
      </c>
      <c r="DG116">
        <v>0</v>
      </c>
      <c r="DH116">
        <v>0</v>
      </c>
      <c r="DI116">
        <v>2.3017902813299198</v>
      </c>
      <c r="DJ116">
        <v>84.654731457800565</v>
      </c>
      <c r="DK116">
        <v>13.0434782608696</v>
      </c>
      <c r="DL116">
        <v>0</v>
      </c>
      <c r="DM116">
        <v>0</v>
      </c>
      <c r="DN116">
        <v>2.3017902813299198</v>
      </c>
      <c r="DO116">
        <v>84.654731457800565</v>
      </c>
      <c r="DP116">
        <v>13.0434782608696</v>
      </c>
      <c r="DQ116">
        <v>0</v>
      </c>
      <c r="DR116">
        <v>0</v>
      </c>
      <c r="DS116" t="s">
        <v>355</v>
      </c>
      <c r="DT116">
        <v>0</v>
      </c>
      <c r="DU116">
        <v>1431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 t="s">
        <v>274</v>
      </c>
      <c r="EE116" t="s">
        <v>274</v>
      </c>
      <c r="EF116" t="s">
        <v>274</v>
      </c>
      <c r="EG116" t="s">
        <v>274</v>
      </c>
    </row>
    <row r="117" spans="1:137" ht="14.55" customHeight="1" x14ac:dyDescent="0.3">
      <c r="A117" t="s">
        <v>510</v>
      </c>
      <c r="B117">
        <v>2305</v>
      </c>
      <c r="C117" t="s">
        <v>511</v>
      </c>
      <c r="D117" t="s">
        <v>269</v>
      </c>
      <c r="E117" t="s">
        <v>269</v>
      </c>
      <c r="F117" t="s">
        <v>270</v>
      </c>
      <c r="G117" t="s">
        <v>491</v>
      </c>
      <c r="H117" s="3">
        <v>13495448.0536</v>
      </c>
      <c r="I117">
        <v>1347</v>
      </c>
      <c r="J117" s="3">
        <v>1349.5448053600001</v>
      </c>
      <c r="K117">
        <v>564</v>
      </c>
      <c r="L117">
        <v>770</v>
      </c>
      <c r="M117">
        <v>650.73615761634403</v>
      </c>
      <c r="N117">
        <v>34.848105738691203</v>
      </c>
      <c r="O117">
        <v>0</v>
      </c>
      <c r="P117">
        <v>39.161922454833999</v>
      </c>
      <c r="Q117">
        <v>7.4976606369018599</v>
      </c>
      <c r="R117">
        <v>4.8564977645873997</v>
      </c>
      <c r="S117" t="s">
        <v>272</v>
      </c>
      <c r="T117" t="s">
        <v>510</v>
      </c>
      <c r="U117" t="s">
        <v>511</v>
      </c>
      <c r="V117" t="s">
        <v>511</v>
      </c>
      <c r="W117" s="3">
        <v>4037</v>
      </c>
      <c r="X117" s="3">
        <v>13490000</v>
      </c>
      <c r="Y117">
        <v>2</v>
      </c>
      <c r="Z117" s="3">
        <v>2528</v>
      </c>
      <c r="AA117" s="3">
        <v>2724</v>
      </c>
      <c r="AB117" s="3">
        <v>3259</v>
      </c>
      <c r="AC117" s="3">
        <v>3542</v>
      </c>
      <c r="AD117" s="3">
        <v>3566</v>
      </c>
      <c r="AE117" s="3">
        <v>3629</v>
      </c>
      <c r="AF117" s="3">
        <v>3744</v>
      </c>
      <c r="AG117" s="3">
        <v>3775</v>
      </c>
      <c r="AH117" s="3">
        <v>3901</v>
      </c>
      <c r="AI117" s="3">
        <v>3949</v>
      </c>
      <c r="AJ117" s="3">
        <v>4006</v>
      </c>
      <c r="AK117" s="3">
        <v>4055</v>
      </c>
      <c r="AL117" s="3">
        <v>4040</v>
      </c>
      <c r="AM117" s="3">
        <v>4072</v>
      </c>
      <c r="AN117" s="3">
        <v>4078</v>
      </c>
      <c r="AO117" s="3">
        <v>4035</v>
      </c>
      <c r="AP117" s="3">
        <v>4037</v>
      </c>
      <c r="AR117" s="4">
        <f t="shared" si="17"/>
        <v>299.13790071779823</v>
      </c>
      <c r="AS117" s="5">
        <f t="shared" si="18"/>
        <v>0.96914556962025311</v>
      </c>
      <c r="AT117" s="5">
        <f t="shared" si="11"/>
        <v>2.1822483276227769</v>
      </c>
      <c r="AU117" s="5">
        <f t="shared" si="12"/>
        <v>1.4881865602945687</v>
      </c>
      <c r="AV117" s="5">
        <f t="shared" si="13"/>
        <v>0.78258547008547008</v>
      </c>
      <c r="AW117" s="5">
        <f t="shared" si="14"/>
        <v>1.7009493670886076</v>
      </c>
      <c r="AX117" s="5">
        <f t="shared" si="15"/>
        <v>1.1936176741331697</v>
      </c>
      <c r="AY117" s="5">
        <f t="shared" si="16"/>
        <v>1.6132825863838522</v>
      </c>
      <c r="AZ117">
        <f t="shared" si="19"/>
        <v>13490000</v>
      </c>
      <c r="BA117">
        <v>0</v>
      </c>
      <c r="BB117">
        <v>1150000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9950000</v>
      </c>
      <c r="BK117">
        <v>0</v>
      </c>
      <c r="BL117">
        <v>0</v>
      </c>
      <c r="BM117">
        <v>0</v>
      </c>
      <c r="BN117">
        <v>760000</v>
      </c>
      <c r="BO117">
        <v>0</v>
      </c>
      <c r="BP117">
        <v>240000</v>
      </c>
      <c r="BQ117">
        <v>0</v>
      </c>
      <c r="BR117">
        <v>1390000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137</v>
      </c>
      <c r="CC117">
        <v>154</v>
      </c>
      <c r="CD117">
        <v>176</v>
      </c>
      <c r="CE117">
        <v>190</v>
      </c>
      <c r="CF117" s="17">
        <v>10.148148148148147</v>
      </c>
      <c r="CG117" s="17">
        <v>11.407407407407408</v>
      </c>
      <c r="CH117" s="17">
        <v>13.037037037037036</v>
      </c>
      <c r="CI117" s="17">
        <v>14.074074074074074</v>
      </c>
      <c r="CJ117" s="18">
        <v>1</v>
      </c>
      <c r="CK117" s="18">
        <v>1.1240875912408759</v>
      </c>
      <c r="CL117" s="18">
        <v>1.2846715328467153</v>
      </c>
      <c r="CM117" s="18">
        <v>1.3868613138686132</v>
      </c>
      <c r="CN117" s="18">
        <v>0</v>
      </c>
      <c r="CO117" s="18">
        <v>1.2592592592592593</v>
      </c>
      <c r="CP117" s="18">
        <v>2.8888888888888888</v>
      </c>
      <c r="CQ117" s="18">
        <v>3.9259259259259256</v>
      </c>
      <c r="CR117" s="18">
        <f t="shared" si="20"/>
        <v>1.610759493670886</v>
      </c>
      <c r="CS117" s="18">
        <f t="shared" si="21"/>
        <v>1.1614423717521651</v>
      </c>
      <c r="CT117">
        <v>3.2616753150481834</v>
      </c>
      <c r="CU117">
        <v>82.727946627131274</v>
      </c>
      <c r="CV117">
        <v>14.010378057820599</v>
      </c>
      <c r="CW117">
        <v>0</v>
      </c>
      <c r="CX117">
        <v>0</v>
      </c>
      <c r="CY117">
        <v>8.5248332097850295</v>
      </c>
      <c r="CZ117">
        <v>79.540400296515898</v>
      </c>
      <c r="DA117">
        <v>11.934766493699</v>
      </c>
      <c r="DB117">
        <v>0</v>
      </c>
      <c r="DC117">
        <v>0</v>
      </c>
      <c r="DD117">
        <v>8.5248332097850295</v>
      </c>
      <c r="DE117">
        <v>79.540400296515898</v>
      </c>
      <c r="DF117">
        <v>11.934766493699</v>
      </c>
      <c r="DG117">
        <v>0</v>
      </c>
      <c r="DH117">
        <v>0</v>
      </c>
      <c r="DI117">
        <v>8.5248332097850295</v>
      </c>
      <c r="DJ117">
        <v>79.392142327650106</v>
      </c>
      <c r="DK117">
        <v>12.0830244625649</v>
      </c>
      <c r="DL117">
        <v>0</v>
      </c>
      <c r="DM117">
        <v>0</v>
      </c>
      <c r="DN117">
        <v>8.5248332097850295</v>
      </c>
      <c r="DO117">
        <v>79.392142327650106</v>
      </c>
      <c r="DP117">
        <v>12.0830244625649</v>
      </c>
      <c r="DQ117">
        <v>0</v>
      </c>
      <c r="DR117">
        <v>0</v>
      </c>
      <c r="DS117" t="s">
        <v>312</v>
      </c>
      <c r="DT117" t="s">
        <v>337</v>
      </c>
      <c r="DU117">
        <v>4262</v>
      </c>
      <c r="DV117">
        <v>351</v>
      </c>
      <c r="DW117" t="s">
        <v>474</v>
      </c>
      <c r="DX117">
        <v>68</v>
      </c>
      <c r="DY117">
        <v>0</v>
      </c>
      <c r="DZ117">
        <v>68</v>
      </c>
      <c r="EA117">
        <v>433138</v>
      </c>
      <c r="EB117">
        <v>0</v>
      </c>
      <c r="EC117">
        <v>433138</v>
      </c>
      <c r="ED117" t="s">
        <v>274</v>
      </c>
      <c r="EE117" t="s">
        <v>274</v>
      </c>
      <c r="EF117" t="s">
        <v>274</v>
      </c>
      <c r="EG117" t="s">
        <v>274</v>
      </c>
    </row>
    <row r="118" spans="1:137" ht="14.55" customHeight="1" x14ac:dyDescent="0.3">
      <c r="A118" t="s">
        <v>512</v>
      </c>
      <c r="B118">
        <v>2306</v>
      </c>
      <c r="C118" t="s">
        <v>513</v>
      </c>
      <c r="D118" t="s">
        <v>269</v>
      </c>
      <c r="E118" t="s">
        <v>269</v>
      </c>
      <c r="F118" t="s">
        <v>270</v>
      </c>
      <c r="G118" t="s">
        <v>491</v>
      </c>
      <c r="H118" s="3">
        <v>41347659.737300001</v>
      </c>
      <c r="I118">
        <v>4141</v>
      </c>
      <c r="J118" s="3">
        <v>4134.76597373</v>
      </c>
      <c r="K118">
        <v>570</v>
      </c>
      <c r="L118">
        <v>902</v>
      </c>
      <c r="M118">
        <v>741.46586771364298</v>
      </c>
      <c r="N118">
        <v>64.832268919809906</v>
      </c>
      <c r="O118">
        <v>0</v>
      </c>
      <c r="P118">
        <v>59.093746185302699</v>
      </c>
      <c r="Q118">
        <v>8.3444013595581108</v>
      </c>
      <c r="R118">
        <v>6.6262679100036603</v>
      </c>
      <c r="S118" t="s">
        <v>272</v>
      </c>
      <c r="T118" t="s">
        <v>512</v>
      </c>
      <c r="U118" t="s">
        <v>513</v>
      </c>
      <c r="V118" t="s">
        <v>513</v>
      </c>
      <c r="W118" s="3">
        <v>3510</v>
      </c>
      <c r="X118" s="3">
        <v>8420000</v>
      </c>
      <c r="Y118">
        <v>3</v>
      </c>
      <c r="Z118" s="3">
        <v>5384</v>
      </c>
      <c r="AA118" s="3">
        <v>5677</v>
      </c>
      <c r="AB118" s="3">
        <v>6388</v>
      </c>
      <c r="AC118" s="3">
        <v>6447</v>
      </c>
      <c r="AD118" s="3">
        <v>6484</v>
      </c>
      <c r="AE118" s="3">
        <v>6546</v>
      </c>
      <c r="AF118" s="3">
        <v>6596</v>
      </c>
      <c r="AG118" s="3">
        <v>6675</v>
      </c>
      <c r="AH118" s="3">
        <v>6892</v>
      </c>
      <c r="AI118" s="3">
        <v>7016</v>
      </c>
      <c r="AJ118" s="3">
        <v>7056</v>
      </c>
      <c r="AK118" s="3">
        <v>7223</v>
      </c>
      <c r="AL118" s="3">
        <v>7347</v>
      </c>
      <c r="AM118" s="3">
        <v>7411</v>
      </c>
      <c r="AN118" s="3">
        <v>7422</v>
      </c>
      <c r="AO118" s="3">
        <v>7554</v>
      </c>
      <c r="AP118" s="3">
        <v>7639</v>
      </c>
      <c r="AR118" s="4">
        <f t="shared" si="17"/>
        <v>184.75048040285597</v>
      </c>
      <c r="AS118" s="5">
        <f t="shared" si="18"/>
        <v>0.68025631500742945</v>
      </c>
      <c r="AT118" s="5">
        <f t="shared" si="11"/>
        <v>1.3915800598907873</v>
      </c>
      <c r="AU118" s="5">
        <f t="shared" si="12"/>
        <v>0.3256105197244834</v>
      </c>
      <c r="AV118" s="5">
        <f t="shared" si="13"/>
        <v>1.5812613705275924</v>
      </c>
      <c r="AW118" s="5">
        <f t="shared" si="14"/>
        <v>1.0969320863560879</v>
      </c>
      <c r="AX118" s="5">
        <f t="shared" si="15"/>
        <v>0.97917971195992481</v>
      </c>
      <c r="AY118" s="5">
        <f t="shared" si="16"/>
        <v>1.1319826512991447</v>
      </c>
      <c r="AZ118">
        <f t="shared" si="19"/>
        <v>41450000</v>
      </c>
      <c r="BA118">
        <v>0</v>
      </c>
      <c r="BB118">
        <v>2350000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30310000</v>
      </c>
      <c r="BK118">
        <v>0</v>
      </c>
      <c r="BL118">
        <v>0</v>
      </c>
      <c r="BM118">
        <v>1030000</v>
      </c>
      <c r="BN118">
        <v>0</v>
      </c>
      <c r="BO118">
        <v>1280000</v>
      </c>
      <c r="BP118">
        <v>30000</v>
      </c>
      <c r="BQ118">
        <v>2640000</v>
      </c>
      <c r="BR118">
        <v>3810000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273</v>
      </c>
      <c r="CC118">
        <v>317</v>
      </c>
      <c r="CD118">
        <v>354</v>
      </c>
      <c r="CE118">
        <v>394</v>
      </c>
      <c r="CF118" s="17">
        <v>6.5957960860111129</v>
      </c>
      <c r="CG118" s="17">
        <v>7.6588547958444071</v>
      </c>
      <c r="CH118" s="17">
        <v>8.5527905291133113</v>
      </c>
      <c r="CI118" s="17">
        <v>9.5192075380526688</v>
      </c>
      <c r="CJ118" s="18">
        <v>1</v>
      </c>
      <c r="CK118" s="18">
        <v>1.1611721611721613</v>
      </c>
      <c r="CL118" s="18">
        <v>1.2967032967032968</v>
      </c>
      <c r="CM118" s="18">
        <v>1.4432234432234432</v>
      </c>
      <c r="CN118" s="18">
        <v>0</v>
      </c>
      <c r="CO118" s="18">
        <v>1.0630587098332931</v>
      </c>
      <c r="CP118" s="18">
        <v>1.9569944431021984</v>
      </c>
      <c r="CQ118" s="18">
        <v>2.9234114520415559</v>
      </c>
      <c r="CR118" s="18">
        <f t="shared" si="20"/>
        <v>1.3764858841010401</v>
      </c>
      <c r="CS118" s="18">
        <f t="shared" si="21"/>
        <v>0.95375798568422321</v>
      </c>
      <c r="CT118">
        <v>1.32689987937274</v>
      </c>
      <c r="CU118">
        <v>83.98069963811821</v>
      </c>
      <c r="CV118">
        <v>14.692400482509001</v>
      </c>
      <c r="CW118">
        <v>0</v>
      </c>
      <c r="CX118">
        <v>0</v>
      </c>
      <c r="CY118">
        <v>5.7901085645355899</v>
      </c>
      <c r="CZ118">
        <v>78.094089264173704</v>
      </c>
      <c r="DA118">
        <v>16.115802171290699</v>
      </c>
      <c r="DB118">
        <v>0</v>
      </c>
      <c r="DC118">
        <v>0</v>
      </c>
      <c r="DD118">
        <v>5.7901085645355899</v>
      </c>
      <c r="DE118">
        <v>76.984318455971106</v>
      </c>
      <c r="DF118">
        <v>17.2255729794934</v>
      </c>
      <c r="DG118">
        <v>0</v>
      </c>
      <c r="DH118">
        <v>0</v>
      </c>
      <c r="DI118">
        <v>5.6694813027744297</v>
      </c>
      <c r="DJ118">
        <v>78.697225572979505</v>
      </c>
      <c r="DK118">
        <v>15.6332931242461</v>
      </c>
      <c r="DL118">
        <v>0</v>
      </c>
      <c r="DM118">
        <v>0</v>
      </c>
      <c r="DN118">
        <v>5.6694813027744297</v>
      </c>
      <c r="DO118">
        <v>78.697225572979505</v>
      </c>
      <c r="DP118">
        <v>15.6332931242461</v>
      </c>
      <c r="DQ118">
        <v>0</v>
      </c>
      <c r="DR118">
        <v>0</v>
      </c>
      <c r="DS118" t="s">
        <v>355</v>
      </c>
      <c r="DT118">
        <v>0</v>
      </c>
      <c r="DU118">
        <v>7805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 t="s">
        <v>274</v>
      </c>
      <c r="EE118" t="s">
        <v>274</v>
      </c>
      <c r="EF118" t="s">
        <v>274</v>
      </c>
      <c r="EG118" t="s">
        <v>274</v>
      </c>
    </row>
    <row r="119" spans="1:137" ht="14.55" customHeight="1" x14ac:dyDescent="0.3">
      <c r="A119" t="s">
        <v>514</v>
      </c>
      <c r="B119">
        <v>2307</v>
      </c>
      <c r="C119" t="s">
        <v>515</v>
      </c>
      <c r="D119" t="s">
        <v>269</v>
      </c>
      <c r="E119" t="s">
        <v>269</v>
      </c>
      <c r="F119" t="s">
        <v>270</v>
      </c>
      <c r="G119" t="s">
        <v>491</v>
      </c>
      <c r="H119" s="3">
        <v>3610249.0540100001</v>
      </c>
      <c r="I119">
        <v>361</v>
      </c>
      <c r="J119" s="3">
        <v>361.02490540100001</v>
      </c>
      <c r="K119">
        <v>645</v>
      </c>
      <c r="L119">
        <v>787</v>
      </c>
      <c r="M119">
        <v>716.25163161711396</v>
      </c>
      <c r="N119">
        <v>29.8509979187161</v>
      </c>
      <c r="O119">
        <v>0</v>
      </c>
      <c r="P119">
        <v>40.4998168945313</v>
      </c>
      <c r="Q119">
        <v>7.24166011810303</v>
      </c>
      <c r="R119">
        <v>5.1473641395568901</v>
      </c>
      <c r="S119" t="s">
        <v>272</v>
      </c>
      <c r="T119" t="s">
        <v>514</v>
      </c>
      <c r="U119" t="s">
        <v>515</v>
      </c>
      <c r="V119" t="s">
        <v>515</v>
      </c>
      <c r="W119" s="3">
        <v>1338</v>
      </c>
      <c r="X119" s="3">
        <v>3610000</v>
      </c>
      <c r="Y119">
        <v>3</v>
      </c>
      <c r="Z119" s="3">
        <v>746</v>
      </c>
      <c r="AA119" s="3">
        <v>851</v>
      </c>
      <c r="AB119" s="3">
        <v>1118</v>
      </c>
      <c r="AC119" s="3">
        <v>1200</v>
      </c>
      <c r="AD119" s="3">
        <v>1199</v>
      </c>
      <c r="AE119" s="3">
        <v>1224</v>
      </c>
      <c r="AF119" s="3">
        <v>1205</v>
      </c>
      <c r="AG119" s="3">
        <v>1211</v>
      </c>
      <c r="AH119" s="3">
        <v>1234</v>
      </c>
      <c r="AI119" s="3">
        <v>1228</v>
      </c>
      <c r="AJ119" s="3">
        <v>1227</v>
      </c>
      <c r="AK119" s="3">
        <v>1282</v>
      </c>
      <c r="AL119" s="3">
        <v>1329</v>
      </c>
      <c r="AM119" s="3">
        <v>1323</v>
      </c>
      <c r="AN119" s="3">
        <v>1342</v>
      </c>
      <c r="AO119" s="3">
        <v>1345</v>
      </c>
      <c r="AP119" s="3">
        <v>1338</v>
      </c>
      <c r="AR119" s="4">
        <f t="shared" si="17"/>
        <v>370.61155061140386</v>
      </c>
      <c r="AS119" s="5">
        <f t="shared" si="18"/>
        <v>1.7593833780160859</v>
      </c>
      <c r="AT119" s="5">
        <f t="shared" si="11"/>
        <v>3.4860947904426163</v>
      </c>
      <c r="AU119" s="5">
        <f t="shared" si="12"/>
        <v>0.77817531305903398</v>
      </c>
      <c r="AV119" s="5">
        <f t="shared" si="13"/>
        <v>1.103734439834025</v>
      </c>
      <c r="AW119" s="5">
        <f t="shared" si="14"/>
        <v>2.9332912789780794</v>
      </c>
      <c r="AX119" s="5">
        <f t="shared" si="15"/>
        <v>0.98389982110912344</v>
      </c>
      <c r="AY119" s="5">
        <f t="shared" si="16"/>
        <v>2.1447721179624666</v>
      </c>
      <c r="AZ119">
        <f t="shared" si="19"/>
        <v>3600000</v>
      </c>
      <c r="BA119">
        <v>0</v>
      </c>
      <c r="BB119">
        <v>480000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1910000</v>
      </c>
      <c r="BK119">
        <v>0</v>
      </c>
      <c r="BL119">
        <v>0</v>
      </c>
      <c r="BM119">
        <v>420000</v>
      </c>
      <c r="BN119">
        <v>0</v>
      </c>
      <c r="BO119">
        <v>260000</v>
      </c>
      <c r="BP119">
        <v>0</v>
      </c>
      <c r="BQ119">
        <v>0</v>
      </c>
      <c r="BR119">
        <v>530000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45</v>
      </c>
      <c r="CC119">
        <v>52</v>
      </c>
      <c r="CD119">
        <v>56</v>
      </c>
      <c r="CE119">
        <v>61</v>
      </c>
      <c r="CF119" s="17">
        <v>12.295081967213115</v>
      </c>
      <c r="CG119" s="17">
        <v>14.207650273224044</v>
      </c>
      <c r="CH119" s="17">
        <v>15.300546448087433</v>
      </c>
      <c r="CI119" s="17">
        <v>16.666666666666664</v>
      </c>
      <c r="CJ119" s="18">
        <v>1</v>
      </c>
      <c r="CK119" s="18">
        <v>1.1555555555555554</v>
      </c>
      <c r="CL119" s="18">
        <v>1.2444444444444445</v>
      </c>
      <c r="CM119" s="18">
        <v>1.3555555555555556</v>
      </c>
      <c r="CN119" s="18">
        <v>0</v>
      </c>
      <c r="CO119" s="18">
        <v>1.9125683060109291</v>
      </c>
      <c r="CP119" s="18">
        <v>3.0054644808743167</v>
      </c>
      <c r="CQ119" s="18">
        <v>4.3715846994535523</v>
      </c>
      <c r="CR119" s="18">
        <f t="shared" si="20"/>
        <v>1.7734584450402144</v>
      </c>
      <c r="CS119" s="18">
        <f t="shared" si="21"/>
        <v>1.3082890168329451</v>
      </c>
      <c r="CT119">
        <v>3.8888888888888902</v>
      </c>
      <c r="CU119">
        <v>76.111111111111072</v>
      </c>
      <c r="CV119">
        <v>17.2222222222222</v>
      </c>
      <c r="CW119">
        <v>0</v>
      </c>
      <c r="CX119">
        <v>2.7777777777777799</v>
      </c>
      <c r="CY119">
        <v>13.3333333333333</v>
      </c>
      <c r="CZ119">
        <v>71.9444444444445</v>
      </c>
      <c r="DA119">
        <v>14.7222222222222</v>
      </c>
      <c r="DB119">
        <v>0</v>
      </c>
      <c r="DC119">
        <v>0</v>
      </c>
      <c r="DD119">
        <v>13.3333333333333</v>
      </c>
      <c r="DE119">
        <v>71.9444444444445</v>
      </c>
      <c r="DF119">
        <v>14.7222222222222</v>
      </c>
      <c r="DG119">
        <v>0</v>
      </c>
      <c r="DH119">
        <v>0</v>
      </c>
      <c r="DI119">
        <v>13.3333333333333</v>
      </c>
      <c r="DJ119">
        <v>71.944444444444514</v>
      </c>
      <c r="DK119">
        <v>14.7222222222222</v>
      </c>
      <c r="DL119">
        <v>0</v>
      </c>
      <c r="DM119">
        <v>0</v>
      </c>
      <c r="DN119">
        <v>13.3333333333333</v>
      </c>
      <c r="DO119">
        <v>71.944444444444514</v>
      </c>
      <c r="DP119">
        <v>14.7222222222222</v>
      </c>
      <c r="DQ119">
        <v>0</v>
      </c>
      <c r="DR119">
        <v>0</v>
      </c>
      <c r="DS119" t="s">
        <v>355</v>
      </c>
      <c r="DT119">
        <v>0</v>
      </c>
      <c r="DU119">
        <v>1336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 t="s">
        <v>274</v>
      </c>
      <c r="EE119" t="s">
        <v>274</v>
      </c>
      <c r="EF119" t="s">
        <v>274</v>
      </c>
      <c r="EG119" t="s">
        <v>274</v>
      </c>
    </row>
    <row r="120" spans="1:137" ht="14.55" customHeight="1" x14ac:dyDescent="0.3">
      <c r="A120" t="s">
        <v>516</v>
      </c>
      <c r="B120">
        <v>2308</v>
      </c>
      <c r="C120" t="s">
        <v>517</v>
      </c>
      <c r="D120" t="s">
        <v>269</v>
      </c>
      <c r="E120" t="s">
        <v>269</v>
      </c>
      <c r="F120" t="s">
        <v>270</v>
      </c>
      <c r="G120" t="s">
        <v>491</v>
      </c>
      <c r="H120" s="3">
        <v>16109917.0188</v>
      </c>
      <c r="I120">
        <v>1615</v>
      </c>
      <c r="J120" s="3">
        <v>1610.9917018799999</v>
      </c>
      <c r="K120">
        <v>536</v>
      </c>
      <c r="L120">
        <v>816</v>
      </c>
      <c r="M120">
        <v>663.37712174124897</v>
      </c>
      <c r="N120">
        <v>53.551594514166503</v>
      </c>
      <c r="O120">
        <v>0</v>
      </c>
      <c r="P120">
        <v>48.682338714599602</v>
      </c>
      <c r="Q120">
        <v>9.0915708541870099</v>
      </c>
      <c r="R120">
        <v>6.18003177642822</v>
      </c>
      <c r="S120" t="s">
        <v>272</v>
      </c>
      <c r="T120" t="s">
        <v>516</v>
      </c>
      <c r="U120" t="s">
        <v>517</v>
      </c>
      <c r="V120" t="s">
        <v>517</v>
      </c>
      <c r="W120" s="3">
        <v>2379</v>
      </c>
      <c r="X120" s="3">
        <v>16110000</v>
      </c>
      <c r="Y120">
        <v>3</v>
      </c>
      <c r="Z120" s="3">
        <v>1647</v>
      </c>
      <c r="AA120" s="3">
        <v>1868</v>
      </c>
      <c r="AB120" s="3">
        <v>2162</v>
      </c>
      <c r="AC120" s="3">
        <v>2295</v>
      </c>
      <c r="AD120" s="3">
        <v>2323</v>
      </c>
      <c r="AE120" s="3">
        <v>2353</v>
      </c>
      <c r="AF120" s="3">
        <v>2348</v>
      </c>
      <c r="AG120" s="3">
        <v>2371</v>
      </c>
      <c r="AH120" s="3">
        <v>2382</v>
      </c>
      <c r="AI120" s="3">
        <v>2395</v>
      </c>
      <c r="AJ120" s="3">
        <v>2387</v>
      </c>
      <c r="AK120" s="3">
        <v>2376</v>
      </c>
      <c r="AL120" s="3">
        <v>2357</v>
      </c>
      <c r="AM120" s="3">
        <v>2343</v>
      </c>
      <c r="AN120" s="3">
        <v>2371</v>
      </c>
      <c r="AO120" s="3">
        <v>2375</v>
      </c>
      <c r="AP120" s="3">
        <v>2379</v>
      </c>
      <c r="AR120" s="4">
        <f t="shared" si="17"/>
        <v>147.67301390961526</v>
      </c>
      <c r="AS120" s="5">
        <f t="shared" si="18"/>
        <v>1.6772920461445053</v>
      </c>
      <c r="AT120" s="5">
        <f t="shared" si="11"/>
        <v>1.7487508922198427</v>
      </c>
      <c r="AU120" s="5">
        <f t="shared" si="12"/>
        <v>0.86031452358926919</v>
      </c>
      <c r="AV120" s="5">
        <f t="shared" si="13"/>
        <v>0.13202725724020442</v>
      </c>
      <c r="AW120" s="5">
        <f t="shared" si="14"/>
        <v>1.8393514054073361</v>
      </c>
      <c r="AX120" s="5">
        <f t="shared" si="15"/>
        <v>0.50185013876040707</v>
      </c>
      <c r="AY120" s="5">
        <f t="shared" si="16"/>
        <v>1.2012012012012012</v>
      </c>
      <c r="AZ120">
        <f t="shared" si="19"/>
        <v>16120000</v>
      </c>
      <c r="BA120">
        <v>0</v>
      </c>
      <c r="BB120">
        <v>690000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12370000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20000</v>
      </c>
      <c r="BQ120">
        <v>0</v>
      </c>
      <c r="BR120">
        <v>3040000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96</v>
      </c>
      <c r="CC120">
        <v>106</v>
      </c>
      <c r="CD120">
        <v>115</v>
      </c>
      <c r="CE120">
        <v>126</v>
      </c>
      <c r="CF120" s="17">
        <v>5.9553349875930524</v>
      </c>
      <c r="CG120" s="17">
        <v>6.5756823821339943</v>
      </c>
      <c r="CH120" s="17">
        <v>7.1339950372208429</v>
      </c>
      <c r="CI120" s="17">
        <v>7.8163771712158807</v>
      </c>
      <c r="CJ120" s="18">
        <v>1</v>
      </c>
      <c r="CK120" s="18">
        <v>1.1041666666666667</v>
      </c>
      <c r="CL120" s="18">
        <v>1.1979166666666667</v>
      </c>
      <c r="CM120" s="18">
        <v>1.3125</v>
      </c>
      <c r="CN120" s="18">
        <v>0</v>
      </c>
      <c r="CO120" s="18">
        <v>0.62034739454094301</v>
      </c>
      <c r="CP120" s="18">
        <v>1.1786600496277915</v>
      </c>
      <c r="CQ120" s="18">
        <v>1.8610421836228286</v>
      </c>
      <c r="CR120" s="18">
        <f t="shared" si="20"/>
        <v>1.4225865209471766</v>
      </c>
      <c r="CS120" s="18">
        <f t="shared" si="21"/>
        <v>1.0838754445311822</v>
      </c>
      <c r="CT120">
        <v>1.7369727047146399</v>
      </c>
      <c r="CU120">
        <v>82.568238213399496</v>
      </c>
      <c r="CV120">
        <v>15.570719602977677</v>
      </c>
      <c r="CW120">
        <v>0</v>
      </c>
      <c r="CX120">
        <v>0.12406947890818899</v>
      </c>
      <c r="CY120">
        <v>4.4665012406947904</v>
      </c>
      <c r="CZ120">
        <v>77.419354838709694</v>
      </c>
      <c r="DA120">
        <v>18.114143920595499</v>
      </c>
      <c r="DB120">
        <v>0</v>
      </c>
      <c r="DC120">
        <v>0</v>
      </c>
      <c r="DD120">
        <v>4.4665012406947904</v>
      </c>
      <c r="DE120">
        <v>77.419354838709694</v>
      </c>
      <c r="DF120">
        <v>18.114143920595499</v>
      </c>
      <c r="DG120">
        <v>0</v>
      </c>
      <c r="DH120">
        <v>0</v>
      </c>
      <c r="DI120">
        <v>4.2803970223325098</v>
      </c>
      <c r="DJ120">
        <v>76.736972704714702</v>
      </c>
      <c r="DK120">
        <v>18.9826302729529</v>
      </c>
      <c r="DL120">
        <v>0</v>
      </c>
      <c r="DM120">
        <v>0</v>
      </c>
      <c r="DN120">
        <v>4.2803970223325098</v>
      </c>
      <c r="DO120">
        <v>76.736972704714702</v>
      </c>
      <c r="DP120">
        <v>18.9826302729529</v>
      </c>
      <c r="DQ120">
        <v>0</v>
      </c>
      <c r="DR120">
        <v>0</v>
      </c>
      <c r="DS120" t="s">
        <v>312</v>
      </c>
      <c r="DT120" t="s">
        <v>313</v>
      </c>
      <c r="DU120">
        <v>2404</v>
      </c>
      <c r="DV120">
        <v>351</v>
      </c>
      <c r="DW120" t="s">
        <v>474</v>
      </c>
      <c r="DX120">
        <v>68</v>
      </c>
      <c r="DY120">
        <v>0</v>
      </c>
      <c r="DZ120">
        <v>68</v>
      </c>
      <c r="EA120">
        <v>433138</v>
      </c>
      <c r="EB120">
        <v>0</v>
      </c>
      <c r="EC120">
        <v>433138</v>
      </c>
      <c r="ED120" t="s">
        <v>274</v>
      </c>
      <c r="EE120" t="s">
        <v>274</v>
      </c>
      <c r="EF120" t="s">
        <v>274</v>
      </c>
      <c r="EG120" t="s">
        <v>274</v>
      </c>
    </row>
    <row r="121" spans="1:137" ht="14.55" customHeight="1" x14ac:dyDescent="0.3">
      <c r="A121" t="s">
        <v>518</v>
      </c>
      <c r="B121">
        <v>2309</v>
      </c>
      <c r="C121" t="s">
        <v>519</v>
      </c>
      <c r="D121" t="s">
        <v>269</v>
      </c>
      <c r="E121" t="s">
        <v>269</v>
      </c>
      <c r="F121" t="s">
        <v>270</v>
      </c>
      <c r="G121" t="s">
        <v>491</v>
      </c>
      <c r="H121" s="3">
        <v>13266178.3605</v>
      </c>
      <c r="I121">
        <v>1319</v>
      </c>
      <c r="J121" s="3">
        <v>1326.6178360500001</v>
      </c>
      <c r="K121">
        <v>508</v>
      </c>
      <c r="L121">
        <v>720</v>
      </c>
      <c r="M121">
        <v>596.724932316023</v>
      </c>
      <c r="N121">
        <v>40.170916484720003</v>
      </c>
      <c r="O121">
        <v>0</v>
      </c>
      <c r="P121">
        <v>41.706779479980497</v>
      </c>
      <c r="Q121">
        <v>7.4828419685363796</v>
      </c>
      <c r="R121">
        <v>5.9811577796936</v>
      </c>
      <c r="S121" t="s">
        <v>272</v>
      </c>
      <c r="T121" t="s">
        <v>518</v>
      </c>
      <c r="U121" t="s">
        <v>519</v>
      </c>
      <c r="V121" t="s">
        <v>519</v>
      </c>
      <c r="W121" s="3">
        <v>5569</v>
      </c>
      <c r="X121" s="3">
        <v>13270000</v>
      </c>
      <c r="Y121">
        <v>2</v>
      </c>
      <c r="Z121" s="3">
        <v>3837</v>
      </c>
      <c r="AA121" s="3">
        <v>4146</v>
      </c>
      <c r="AB121" s="3">
        <v>4927</v>
      </c>
      <c r="AC121" s="3">
        <v>5067</v>
      </c>
      <c r="AD121" s="3">
        <v>5104</v>
      </c>
      <c r="AE121" s="3">
        <v>5213</v>
      </c>
      <c r="AF121" s="3">
        <v>5253</v>
      </c>
      <c r="AG121" s="3">
        <v>5327</v>
      </c>
      <c r="AH121" s="3">
        <v>5319</v>
      </c>
      <c r="AI121" s="3">
        <v>5326</v>
      </c>
      <c r="AJ121" s="3">
        <v>5380</v>
      </c>
      <c r="AK121" s="3">
        <v>5444</v>
      </c>
      <c r="AL121" s="3">
        <v>5455</v>
      </c>
      <c r="AM121" s="3">
        <v>5470</v>
      </c>
      <c r="AN121" s="3">
        <v>5558</v>
      </c>
      <c r="AO121" s="3">
        <v>5579</v>
      </c>
      <c r="AP121" s="3">
        <v>5569</v>
      </c>
      <c r="AR121" s="4">
        <f t="shared" si="17"/>
        <v>419.78932053119973</v>
      </c>
      <c r="AS121" s="5">
        <f t="shared" si="18"/>
        <v>1.0066458170445662</v>
      </c>
      <c r="AT121" s="5">
        <f t="shared" si="11"/>
        <v>2.0930481856675778</v>
      </c>
      <c r="AU121" s="5">
        <f t="shared" si="12"/>
        <v>0.6616602394966512</v>
      </c>
      <c r="AV121" s="5">
        <f t="shared" si="13"/>
        <v>0.60156101275461638</v>
      </c>
      <c r="AW121" s="5">
        <f t="shared" si="14"/>
        <v>1.6710358889451011</v>
      </c>
      <c r="AX121" s="5">
        <f t="shared" si="15"/>
        <v>0.65151207631418706</v>
      </c>
      <c r="AY121" s="5">
        <f t="shared" si="16"/>
        <v>1.2199846445350744</v>
      </c>
      <c r="AZ121">
        <f t="shared" si="19"/>
        <v>13220000</v>
      </c>
      <c r="BA121">
        <v>0</v>
      </c>
      <c r="BB121">
        <v>1800000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400000</v>
      </c>
      <c r="BJ121">
        <v>8960000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2060000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213</v>
      </c>
      <c r="CC121">
        <v>241</v>
      </c>
      <c r="CD121">
        <v>252</v>
      </c>
      <c r="CE121">
        <v>263</v>
      </c>
      <c r="CF121" s="17">
        <v>16.063348416289593</v>
      </c>
      <c r="CG121" s="17">
        <v>18.174962292609351</v>
      </c>
      <c r="CH121" s="17">
        <v>19.004524886877828</v>
      </c>
      <c r="CI121" s="17">
        <v>19.834087481146305</v>
      </c>
      <c r="CJ121" s="18">
        <v>1</v>
      </c>
      <c r="CK121" s="18">
        <v>1.1314553990610328</v>
      </c>
      <c r="CL121" s="18">
        <v>1.1830985915492958</v>
      </c>
      <c r="CM121" s="18">
        <v>1.2347417840375587</v>
      </c>
      <c r="CN121" s="18">
        <v>0</v>
      </c>
      <c r="CO121" s="18">
        <v>2.1116138763197587</v>
      </c>
      <c r="CP121" s="18">
        <v>2.9411764705882351</v>
      </c>
      <c r="CQ121" s="18">
        <v>3.7707390648567118</v>
      </c>
      <c r="CR121" s="18">
        <f t="shared" si="20"/>
        <v>1.4255929111284857</v>
      </c>
      <c r="CS121" s="18">
        <f t="shared" si="21"/>
        <v>1.1545676428531082</v>
      </c>
      <c r="CT121">
        <v>7.4130105900151406</v>
      </c>
      <c r="CU121">
        <v>77.080181543116453</v>
      </c>
      <c r="CV121">
        <v>15.5068078668684</v>
      </c>
      <c r="CW121">
        <v>0</v>
      </c>
      <c r="CX121">
        <v>0</v>
      </c>
      <c r="CY121">
        <v>17.095310136157341</v>
      </c>
      <c r="CZ121">
        <v>68.910741301059005</v>
      </c>
      <c r="DA121">
        <v>13.9939485627837</v>
      </c>
      <c r="DB121">
        <v>0</v>
      </c>
      <c r="DC121">
        <v>0</v>
      </c>
      <c r="DD121">
        <v>17.095310136157341</v>
      </c>
      <c r="DE121">
        <v>68.910741301059005</v>
      </c>
      <c r="DF121">
        <v>13.9939485627837</v>
      </c>
      <c r="DG121">
        <v>0</v>
      </c>
      <c r="DH121">
        <v>0</v>
      </c>
      <c r="DI121">
        <v>16.641452344931942</v>
      </c>
      <c r="DJ121">
        <v>67.776096822995498</v>
      </c>
      <c r="DK121">
        <v>15.582450832072601</v>
      </c>
      <c r="DL121">
        <v>0</v>
      </c>
      <c r="DM121">
        <v>0</v>
      </c>
      <c r="DN121">
        <v>16.641452344931942</v>
      </c>
      <c r="DO121">
        <v>67.776096822995498</v>
      </c>
      <c r="DP121">
        <v>15.582450832072601</v>
      </c>
      <c r="DQ121">
        <v>0</v>
      </c>
      <c r="DR121">
        <v>0</v>
      </c>
      <c r="DS121" t="s">
        <v>312</v>
      </c>
      <c r="DT121" t="s">
        <v>313</v>
      </c>
      <c r="DU121">
        <v>5641</v>
      </c>
      <c r="DV121">
        <v>351</v>
      </c>
      <c r="DW121" t="s">
        <v>474</v>
      </c>
      <c r="DX121">
        <v>68</v>
      </c>
      <c r="DY121">
        <v>0</v>
      </c>
      <c r="DZ121">
        <v>68</v>
      </c>
      <c r="EA121">
        <v>433138</v>
      </c>
      <c r="EB121">
        <v>0</v>
      </c>
      <c r="EC121">
        <v>433138</v>
      </c>
      <c r="ED121" t="s">
        <v>274</v>
      </c>
      <c r="EE121" t="s">
        <v>274</v>
      </c>
      <c r="EF121" t="s">
        <v>274</v>
      </c>
      <c r="EG121" t="s">
        <v>274</v>
      </c>
    </row>
    <row r="122" spans="1:137" ht="14.55" customHeight="1" x14ac:dyDescent="0.3">
      <c r="A122" t="s">
        <v>520</v>
      </c>
      <c r="B122">
        <v>2321</v>
      </c>
      <c r="C122" t="s">
        <v>521</v>
      </c>
      <c r="D122" t="s">
        <v>269</v>
      </c>
      <c r="E122" t="s">
        <v>269</v>
      </c>
      <c r="F122" t="s">
        <v>270</v>
      </c>
      <c r="G122" t="s">
        <v>522</v>
      </c>
      <c r="H122" s="3">
        <v>9741487.6359299999</v>
      </c>
      <c r="I122">
        <v>969</v>
      </c>
      <c r="J122" s="3">
        <v>974.14876359300001</v>
      </c>
      <c r="K122">
        <v>695</v>
      </c>
      <c r="L122">
        <v>1000</v>
      </c>
      <c r="M122">
        <v>788.07455725294005</v>
      </c>
      <c r="N122">
        <v>70.856172529793398</v>
      </c>
      <c r="O122">
        <v>0</v>
      </c>
      <c r="P122">
        <v>36.696651458740199</v>
      </c>
      <c r="Q122">
        <v>7.6108980178832999</v>
      </c>
      <c r="R122">
        <v>5.6361236572265598</v>
      </c>
      <c r="S122" t="s">
        <v>272</v>
      </c>
      <c r="T122" t="s">
        <v>520</v>
      </c>
      <c r="U122" t="s">
        <v>521</v>
      </c>
      <c r="V122" t="s">
        <v>521</v>
      </c>
      <c r="W122" s="3">
        <v>3562</v>
      </c>
      <c r="X122" s="3">
        <v>9740000</v>
      </c>
      <c r="Y122">
        <v>2</v>
      </c>
      <c r="Z122" s="3">
        <v>1368</v>
      </c>
      <c r="AA122" s="3">
        <v>1747</v>
      </c>
      <c r="AB122" s="3">
        <v>2209</v>
      </c>
      <c r="AC122" s="3">
        <v>2761</v>
      </c>
      <c r="AD122" s="3">
        <v>2779</v>
      </c>
      <c r="AE122" s="3">
        <v>2805</v>
      </c>
      <c r="AF122" s="3">
        <v>2836</v>
      </c>
      <c r="AG122" s="3">
        <v>2907</v>
      </c>
      <c r="AH122" s="3">
        <v>3006</v>
      </c>
      <c r="AI122" s="3">
        <v>3100</v>
      </c>
      <c r="AJ122" s="3">
        <v>3172</v>
      </c>
      <c r="AK122" s="3">
        <v>3189</v>
      </c>
      <c r="AL122" s="3">
        <v>3295</v>
      </c>
      <c r="AM122" s="3">
        <v>3353</v>
      </c>
      <c r="AN122" s="3">
        <v>3427</v>
      </c>
      <c r="AO122" s="3">
        <v>3521</v>
      </c>
      <c r="AP122" s="3">
        <v>3562</v>
      </c>
      <c r="AR122" s="4">
        <f t="shared" si="17"/>
        <v>365.65257105722776</v>
      </c>
      <c r="AS122" s="5">
        <f t="shared" si="18"/>
        <v>3.4630847953216373</v>
      </c>
      <c r="AT122" s="5">
        <f t="shared" si="11"/>
        <v>2.9383705399732878</v>
      </c>
      <c r="AU122" s="5">
        <f t="shared" si="12"/>
        <v>2.8383884110457216</v>
      </c>
      <c r="AV122" s="5">
        <f t="shared" si="13"/>
        <v>2.5599435825105781</v>
      </c>
      <c r="AW122" s="5">
        <f t="shared" si="14"/>
        <v>3.6162710698314413</v>
      </c>
      <c r="AX122" s="5">
        <f t="shared" si="15"/>
        <v>3.0624717066545948</v>
      </c>
      <c r="AY122" s="5">
        <f t="shared" si="16"/>
        <v>4.3345977556503872</v>
      </c>
      <c r="AZ122">
        <f t="shared" si="19"/>
        <v>9700000</v>
      </c>
      <c r="BA122">
        <v>0</v>
      </c>
      <c r="BB122">
        <v>1260000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6080000</v>
      </c>
      <c r="BK122">
        <v>0</v>
      </c>
      <c r="BL122">
        <v>0</v>
      </c>
      <c r="BM122">
        <v>290000</v>
      </c>
      <c r="BN122">
        <v>0</v>
      </c>
      <c r="BO122">
        <v>60000</v>
      </c>
      <c r="BP122">
        <v>0</v>
      </c>
      <c r="BQ122">
        <v>1220000</v>
      </c>
      <c r="BR122">
        <v>790000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80</v>
      </c>
      <c r="CC122">
        <v>111</v>
      </c>
      <c r="CD122">
        <v>133</v>
      </c>
      <c r="CE122">
        <v>151</v>
      </c>
      <c r="CF122" s="17">
        <v>8.154943934760448</v>
      </c>
      <c r="CG122" s="17">
        <v>11.314984709480122</v>
      </c>
      <c r="CH122" s="17">
        <v>13.557594291539246</v>
      </c>
      <c r="CI122" s="17">
        <v>15.392456676860347</v>
      </c>
      <c r="CJ122" s="18">
        <v>1</v>
      </c>
      <c r="CK122" s="18">
        <v>1.3875</v>
      </c>
      <c r="CL122" s="18">
        <v>1.6625000000000001</v>
      </c>
      <c r="CM122" s="18">
        <v>1.8875</v>
      </c>
      <c r="CN122" s="18">
        <v>0</v>
      </c>
      <c r="CO122" s="18">
        <v>3.1600407747196737</v>
      </c>
      <c r="CP122" s="18">
        <v>5.4026503567787971</v>
      </c>
      <c r="CQ122" s="18">
        <v>7.2375127420998986</v>
      </c>
      <c r="CR122" s="18">
        <f t="shared" si="20"/>
        <v>2.4510233918128654</v>
      </c>
      <c r="CS122" s="18">
        <f t="shared" si="21"/>
        <v>1.2985554393710546</v>
      </c>
      <c r="CT122">
        <v>2.68041237113402</v>
      </c>
      <c r="CU122">
        <v>75.567010309278373</v>
      </c>
      <c r="CV122">
        <v>21.752577319587601</v>
      </c>
      <c r="CW122">
        <v>0</v>
      </c>
      <c r="CX122">
        <v>0</v>
      </c>
      <c r="CY122">
        <v>11.958762886597899</v>
      </c>
      <c r="CZ122">
        <v>67.010309278350562</v>
      </c>
      <c r="DA122">
        <v>21.0309278350515</v>
      </c>
      <c r="DB122">
        <v>0</v>
      </c>
      <c r="DC122">
        <v>0</v>
      </c>
      <c r="DD122">
        <v>11.958762886597899</v>
      </c>
      <c r="DE122">
        <v>67.010309278350562</v>
      </c>
      <c r="DF122">
        <v>21.0309278350515</v>
      </c>
      <c r="DG122">
        <v>0</v>
      </c>
      <c r="DH122">
        <v>0</v>
      </c>
      <c r="DI122">
        <v>12.989690721649501</v>
      </c>
      <c r="DJ122">
        <v>66.288659793814404</v>
      </c>
      <c r="DK122">
        <v>20.721649484536101</v>
      </c>
      <c r="DL122">
        <v>0</v>
      </c>
      <c r="DM122">
        <v>0</v>
      </c>
      <c r="DN122">
        <v>12.989690721649501</v>
      </c>
      <c r="DO122">
        <v>66.288659793814404</v>
      </c>
      <c r="DP122">
        <v>20.721649484536101</v>
      </c>
      <c r="DQ122">
        <v>0</v>
      </c>
      <c r="DR122">
        <v>0</v>
      </c>
      <c r="DS122" t="s">
        <v>355</v>
      </c>
      <c r="DT122">
        <v>0</v>
      </c>
      <c r="DU122">
        <v>3682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 t="s">
        <v>274</v>
      </c>
      <c r="EE122" t="s">
        <v>274</v>
      </c>
      <c r="EF122" t="s">
        <v>274</v>
      </c>
      <c r="EG122" t="s">
        <v>274</v>
      </c>
    </row>
    <row r="123" spans="1:137" ht="14.55" customHeight="1" x14ac:dyDescent="0.3">
      <c r="A123" t="s">
        <v>523</v>
      </c>
      <c r="B123">
        <v>2323</v>
      </c>
      <c r="C123" t="s">
        <v>524</v>
      </c>
      <c r="D123" t="s">
        <v>269</v>
      </c>
      <c r="E123" t="s">
        <v>269</v>
      </c>
      <c r="F123" t="s">
        <v>270</v>
      </c>
      <c r="G123" t="s">
        <v>522</v>
      </c>
      <c r="H123" s="3">
        <v>4117714.0072300001</v>
      </c>
      <c r="I123">
        <v>410</v>
      </c>
      <c r="J123" s="3">
        <v>411.771400723</v>
      </c>
      <c r="K123">
        <v>641</v>
      </c>
      <c r="L123">
        <v>801</v>
      </c>
      <c r="M123">
        <v>713.75132021123397</v>
      </c>
      <c r="N123">
        <v>24.903492881331999</v>
      </c>
      <c r="O123">
        <v>0</v>
      </c>
      <c r="P123">
        <v>29.370510101318398</v>
      </c>
      <c r="Q123">
        <v>5.5113482475280797</v>
      </c>
      <c r="R123">
        <v>3.7470862865447998</v>
      </c>
      <c r="S123" t="s">
        <v>272</v>
      </c>
      <c r="T123" t="s">
        <v>523</v>
      </c>
      <c r="U123" t="s">
        <v>524</v>
      </c>
      <c r="V123" t="s">
        <v>524</v>
      </c>
      <c r="W123" s="3">
        <v>1512</v>
      </c>
      <c r="X123" s="3">
        <v>4120000</v>
      </c>
      <c r="Y123">
        <v>2</v>
      </c>
      <c r="Z123" s="3">
        <v>530</v>
      </c>
      <c r="AA123" s="3">
        <v>734</v>
      </c>
      <c r="AB123" s="3">
        <v>1076</v>
      </c>
      <c r="AC123" s="3">
        <v>1205</v>
      </c>
      <c r="AD123" s="3">
        <v>1220</v>
      </c>
      <c r="AE123" s="3">
        <v>1260</v>
      </c>
      <c r="AF123" s="3">
        <v>1303</v>
      </c>
      <c r="AG123" s="3">
        <v>1354</v>
      </c>
      <c r="AH123" s="3">
        <v>1372</v>
      </c>
      <c r="AI123" s="3">
        <v>1390</v>
      </c>
      <c r="AJ123" s="3">
        <v>1429</v>
      </c>
      <c r="AK123" s="3">
        <v>1462</v>
      </c>
      <c r="AL123" s="3">
        <v>1494</v>
      </c>
      <c r="AM123" s="3">
        <v>1475</v>
      </c>
      <c r="AN123" s="3">
        <v>1483</v>
      </c>
      <c r="AO123" s="3">
        <v>1505</v>
      </c>
      <c r="AP123" s="3">
        <v>1512</v>
      </c>
      <c r="AR123" s="4">
        <f t="shared" si="17"/>
        <v>367.19402982946053</v>
      </c>
      <c r="AS123" s="5">
        <f t="shared" si="18"/>
        <v>4.8113207547169816</v>
      </c>
      <c r="AT123" s="5">
        <f t="shared" si="11"/>
        <v>5.1771117166212539</v>
      </c>
      <c r="AU123" s="5">
        <f t="shared" si="12"/>
        <v>2.1096654275092939</v>
      </c>
      <c r="AV123" s="5">
        <f t="shared" si="13"/>
        <v>1.6039907904834998</v>
      </c>
      <c r="AW123" s="5">
        <f t="shared" si="14"/>
        <v>6.059933407325194</v>
      </c>
      <c r="AX123" s="5">
        <f t="shared" si="15"/>
        <v>2.0260223048327135</v>
      </c>
      <c r="AY123" s="5">
        <f t="shared" si="16"/>
        <v>5.0076491585925549</v>
      </c>
      <c r="AZ123">
        <f t="shared" si="19"/>
        <v>4110000</v>
      </c>
      <c r="BA123">
        <v>0</v>
      </c>
      <c r="BB123">
        <v>570000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3060000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250000</v>
      </c>
      <c r="BR123">
        <v>230000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29</v>
      </c>
      <c r="CC123">
        <v>42</v>
      </c>
      <c r="CD123">
        <v>51</v>
      </c>
      <c r="CE123">
        <v>64</v>
      </c>
      <c r="CF123" s="17">
        <v>7.0731707317073162</v>
      </c>
      <c r="CG123" s="17">
        <v>10.24390243902439</v>
      </c>
      <c r="CH123" s="17">
        <v>12.439024390243903</v>
      </c>
      <c r="CI123" s="17">
        <v>15.609756097560975</v>
      </c>
      <c r="CJ123" s="18">
        <v>1</v>
      </c>
      <c r="CK123" s="18">
        <v>1.4482758620689655</v>
      </c>
      <c r="CL123" s="18">
        <v>1.7586206896551724</v>
      </c>
      <c r="CM123" s="18">
        <v>2.2068965517241379</v>
      </c>
      <c r="CN123" s="18">
        <v>0</v>
      </c>
      <c r="CO123" s="18">
        <v>3.1707317073170733</v>
      </c>
      <c r="CP123" s="18">
        <v>5.3658536585365857</v>
      </c>
      <c r="CQ123" s="18">
        <v>8.536585365853659</v>
      </c>
      <c r="CR123" s="18">
        <f t="shared" si="20"/>
        <v>2.7830188679245285</v>
      </c>
      <c r="CS123" s="18">
        <f t="shared" si="21"/>
        <v>1.2610554245283019</v>
      </c>
      <c r="CT123">
        <v>0</v>
      </c>
      <c r="CU123">
        <v>92.70072992700733</v>
      </c>
      <c r="CV123">
        <v>7.2992700729926998</v>
      </c>
      <c r="CW123">
        <v>0</v>
      </c>
      <c r="CX123">
        <v>0</v>
      </c>
      <c r="CY123">
        <v>11.435523114355201</v>
      </c>
      <c r="CZ123">
        <v>76.885644768856395</v>
      </c>
      <c r="DA123">
        <v>11.6788321167883</v>
      </c>
      <c r="DB123">
        <v>0</v>
      </c>
      <c r="DC123">
        <v>0</v>
      </c>
      <c r="DD123">
        <v>11.435523114355201</v>
      </c>
      <c r="DE123">
        <v>76.885644768856395</v>
      </c>
      <c r="DF123">
        <v>11.6788321167883</v>
      </c>
      <c r="DG123">
        <v>0</v>
      </c>
      <c r="DH123">
        <v>0</v>
      </c>
      <c r="DI123">
        <v>13.868613138686101</v>
      </c>
      <c r="DJ123">
        <v>74.4525547445256</v>
      </c>
      <c r="DK123">
        <v>11.6788321167883</v>
      </c>
      <c r="DL123">
        <v>0</v>
      </c>
      <c r="DM123">
        <v>0</v>
      </c>
      <c r="DN123">
        <v>13.868613138686101</v>
      </c>
      <c r="DO123">
        <v>74.4525547445256</v>
      </c>
      <c r="DP123">
        <v>11.6788321167883</v>
      </c>
      <c r="DQ123">
        <v>0</v>
      </c>
      <c r="DR123">
        <v>0</v>
      </c>
      <c r="DS123" t="s">
        <v>355</v>
      </c>
      <c r="DT123">
        <v>0</v>
      </c>
      <c r="DU123">
        <v>1575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 t="s">
        <v>274</v>
      </c>
      <c r="EE123" t="s">
        <v>274</v>
      </c>
      <c r="EF123" t="s">
        <v>274</v>
      </c>
      <c r="EG123" t="s">
        <v>274</v>
      </c>
    </row>
    <row r="124" spans="1:137" ht="14.55" customHeight="1" x14ac:dyDescent="0.3">
      <c r="A124" t="s">
        <v>525</v>
      </c>
      <c r="B124">
        <v>2325</v>
      </c>
      <c r="C124" t="s">
        <v>526</v>
      </c>
      <c r="D124" t="s">
        <v>269</v>
      </c>
      <c r="E124" t="s">
        <v>269</v>
      </c>
      <c r="F124" t="s">
        <v>270</v>
      </c>
      <c r="G124" t="s">
        <v>522</v>
      </c>
      <c r="H124" s="3">
        <v>47930501.499399997</v>
      </c>
      <c r="I124">
        <v>4796</v>
      </c>
      <c r="J124" s="3">
        <v>4793.0501499399998</v>
      </c>
      <c r="K124">
        <v>669</v>
      </c>
      <c r="L124">
        <v>1973</v>
      </c>
      <c r="M124">
        <v>1160.7374660036801</v>
      </c>
      <c r="N124">
        <v>250.822441065833</v>
      </c>
      <c r="O124">
        <v>0</v>
      </c>
      <c r="P124">
        <v>61.698570251464801</v>
      </c>
      <c r="Q124">
        <v>13.9526109695435</v>
      </c>
      <c r="R124">
        <v>9.0841331481933594</v>
      </c>
      <c r="S124" t="s">
        <v>272</v>
      </c>
      <c r="T124" t="s">
        <v>525</v>
      </c>
      <c r="U124" t="s">
        <v>526</v>
      </c>
      <c r="V124" t="s">
        <v>526</v>
      </c>
      <c r="W124" s="3">
        <v>7216</v>
      </c>
      <c r="X124" s="3">
        <v>47930000</v>
      </c>
      <c r="Y124">
        <v>2</v>
      </c>
      <c r="Z124" s="3">
        <v>3117</v>
      </c>
      <c r="AA124" s="3">
        <v>3733</v>
      </c>
      <c r="AB124" s="3">
        <v>4154</v>
      </c>
      <c r="AC124" s="3">
        <v>5064</v>
      </c>
      <c r="AD124" s="3">
        <v>5222</v>
      </c>
      <c r="AE124" s="3">
        <v>5521</v>
      </c>
      <c r="AF124" s="3">
        <v>5657</v>
      </c>
      <c r="AG124" s="3">
        <v>5737</v>
      </c>
      <c r="AH124" s="3">
        <v>5943</v>
      </c>
      <c r="AI124" s="3">
        <v>6090</v>
      </c>
      <c r="AJ124" s="3">
        <v>6275</v>
      </c>
      <c r="AK124" s="3">
        <v>6363</v>
      </c>
      <c r="AL124" s="3">
        <v>6455</v>
      </c>
      <c r="AM124" s="3">
        <v>6528</v>
      </c>
      <c r="AN124" s="3">
        <v>6723</v>
      </c>
      <c r="AO124" s="3">
        <v>6971</v>
      </c>
      <c r="AP124" s="3">
        <v>7216</v>
      </c>
      <c r="AR124" s="4">
        <f t="shared" si="17"/>
        <v>150.5513143877773</v>
      </c>
      <c r="AS124" s="5">
        <f t="shared" si="18"/>
        <v>2.47032402951556</v>
      </c>
      <c r="AT124" s="5">
        <f t="shared" si="11"/>
        <v>1.2530880733398815</v>
      </c>
      <c r="AU124" s="5">
        <f t="shared" si="12"/>
        <v>3.6181993259508904</v>
      </c>
      <c r="AV124" s="5">
        <f t="shared" si="13"/>
        <v>2.7558776736786283</v>
      </c>
      <c r="AW124" s="5">
        <f t="shared" si="14"/>
        <v>1.9570099454603787</v>
      </c>
      <c r="AX124" s="5">
        <f t="shared" si="15"/>
        <v>3.6856042368801156</v>
      </c>
      <c r="AY124" s="5">
        <f t="shared" si="16"/>
        <v>3.5541797813212637</v>
      </c>
      <c r="AZ124">
        <f t="shared" si="19"/>
        <v>47950000</v>
      </c>
      <c r="BA124">
        <v>0</v>
      </c>
      <c r="BB124">
        <v>2540000</v>
      </c>
      <c r="BC124">
        <v>560000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7260000</v>
      </c>
      <c r="BK124">
        <v>0</v>
      </c>
      <c r="BL124">
        <v>0</v>
      </c>
      <c r="BM124">
        <v>980000</v>
      </c>
      <c r="BN124">
        <v>0</v>
      </c>
      <c r="BO124">
        <v>5390000</v>
      </c>
      <c r="BP124">
        <v>0</v>
      </c>
      <c r="BQ124">
        <v>10540000</v>
      </c>
      <c r="BR124">
        <v>7460000</v>
      </c>
      <c r="BS124">
        <v>12950000</v>
      </c>
      <c r="BT124">
        <v>0</v>
      </c>
      <c r="BU124">
        <v>260000</v>
      </c>
      <c r="BV124">
        <v>0</v>
      </c>
      <c r="BW124">
        <v>0</v>
      </c>
      <c r="BX124">
        <v>10000</v>
      </c>
      <c r="BY124">
        <v>0</v>
      </c>
      <c r="BZ124">
        <v>0</v>
      </c>
      <c r="CA124">
        <v>0</v>
      </c>
      <c r="CB124">
        <v>284</v>
      </c>
      <c r="CC124">
        <v>298</v>
      </c>
      <c r="CD124">
        <v>336</v>
      </c>
      <c r="CE124">
        <v>386</v>
      </c>
      <c r="CF124" s="17">
        <v>5.9302568385884316</v>
      </c>
      <c r="CG124" s="17">
        <v>6.2225934433075798</v>
      </c>
      <c r="CH124" s="17">
        <v>7.0160785132595533</v>
      </c>
      <c r="CI124" s="17">
        <v>8.0601378158279395</v>
      </c>
      <c r="CJ124" s="18">
        <v>1</v>
      </c>
      <c r="CK124" s="18">
        <v>1.0492957746478873</v>
      </c>
      <c r="CL124" s="18">
        <v>1.1830985915492958</v>
      </c>
      <c r="CM124" s="18">
        <v>1.3591549295774648</v>
      </c>
      <c r="CN124" s="18">
        <v>0</v>
      </c>
      <c r="CO124" s="18">
        <v>0.29233660471914807</v>
      </c>
      <c r="CP124" s="18">
        <v>1.0858216746711213</v>
      </c>
      <c r="CQ124" s="18">
        <v>2.1298809772395075</v>
      </c>
      <c r="CR124" s="18">
        <f t="shared" si="20"/>
        <v>2.0943214629451394</v>
      </c>
      <c r="CS124" s="18">
        <f t="shared" si="21"/>
        <v>1.5408997292135223</v>
      </c>
      <c r="CT124">
        <v>3.5245046923878998</v>
      </c>
      <c r="CU124">
        <v>22.586027111574595</v>
      </c>
      <c r="CV124">
        <v>73.764337851929199</v>
      </c>
      <c r="CW124">
        <v>0.12513034410844601</v>
      </c>
      <c r="CX124">
        <v>0</v>
      </c>
      <c r="CY124">
        <v>5.2971845672575597</v>
      </c>
      <c r="CZ124">
        <v>49.1345151199166</v>
      </c>
      <c r="DA124">
        <v>45.568300312825841</v>
      </c>
      <c r="DB124">
        <v>0</v>
      </c>
      <c r="DC124">
        <v>0</v>
      </c>
      <c r="DD124">
        <v>5.2971845672575597</v>
      </c>
      <c r="DE124">
        <v>49.3639207507821</v>
      </c>
      <c r="DF124">
        <v>45.338894681960362</v>
      </c>
      <c r="DG124">
        <v>0</v>
      </c>
      <c r="DH124">
        <v>0</v>
      </c>
      <c r="DI124">
        <v>6.4650677789363895</v>
      </c>
      <c r="DJ124">
        <v>28.425443169968762</v>
      </c>
      <c r="DK124">
        <v>65.109489051094911</v>
      </c>
      <c r="DL124">
        <v>0</v>
      </c>
      <c r="DM124">
        <v>0</v>
      </c>
      <c r="DN124">
        <v>6.4650677789363895</v>
      </c>
      <c r="DO124">
        <v>28.425443169968762</v>
      </c>
      <c r="DP124">
        <v>65.109489051094911</v>
      </c>
      <c r="DQ124">
        <v>0</v>
      </c>
      <c r="DR124">
        <v>0</v>
      </c>
      <c r="DS124" t="s">
        <v>355</v>
      </c>
      <c r="DT124">
        <v>0</v>
      </c>
      <c r="DU124">
        <v>8163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 t="s">
        <v>274</v>
      </c>
      <c r="EE124" t="s">
        <v>274</v>
      </c>
      <c r="EF124" t="s">
        <v>274</v>
      </c>
      <c r="EG124" t="s">
        <v>274</v>
      </c>
    </row>
    <row r="125" spans="1:137" ht="14.55" customHeight="1" x14ac:dyDescent="0.3">
      <c r="A125" t="s">
        <v>527</v>
      </c>
      <c r="B125">
        <v>2328</v>
      </c>
      <c r="C125" t="s">
        <v>528</v>
      </c>
      <c r="D125" t="s">
        <v>269</v>
      </c>
      <c r="E125" t="s">
        <v>269</v>
      </c>
      <c r="F125" t="s">
        <v>270</v>
      </c>
      <c r="G125" t="s">
        <v>522</v>
      </c>
      <c r="H125" s="3">
        <v>4464117.5760000004</v>
      </c>
      <c r="I125">
        <v>444</v>
      </c>
      <c r="J125" s="3">
        <v>446.41175760000004</v>
      </c>
      <c r="K125">
        <v>616</v>
      </c>
      <c r="L125">
        <v>965</v>
      </c>
      <c r="M125">
        <v>726.755788231824</v>
      </c>
      <c r="N125">
        <v>73.573666754190498</v>
      </c>
      <c r="O125">
        <v>0</v>
      </c>
      <c r="P125">
        <v>40.2287406921387</v>
      </c>
      <c r="Q125">
        <v>8.8878269195556605</v>
      </c>
      <c r="R125">
        <v>6.0501151084899902</v>
      </c>
      <c r="S125" t="s">
        <v>272</v>
      </c>
      <c r="T125" t="s">
        <v>527</v>
      </c>
      <c r="U125" t="s">
        <v>528</v>
      </c>
      <c r="V125" t="s">
        <v>528</v>
      </c>
      <c r="W125" s="3">
        <v>864</v>
      </c>
      <c r="X125" s="3">
        <v>4460000</v>
      </c>
      <c r="Y125">
        <v>2</v>
      </c>
      <c r="Z125" s="3">
        <v>450</v>
      </c>
      <c r="AA125" s="3">
        <v>596</v>
      </c>
      <c r="AB125" s="3">
        <v>659</v>
      </c>
      <c r="AC125" s="3">
        <v>745</v>
      </c>
      <c r="AD125" s="3">
        <v>787</v>
      </c>
      <c r="AE125" s="3">
        <v>786</v>
      </c>
      <c r="AF125" s="3">
        <v>807</v>
      </c>
      <c r="AG125" s="3">
        <v>821</v>
      </c>
      <c r="AH125" s="3">
        <v>818</v>
      </c>
      <c r="AI125" s="3">
        <v>843</v>
      </c>
      <c r="AJ125" s="3">
        <v>829</v>
      </c>
      <c r="AK125" s="3">
        <v>840</v>
      </c>
      <c r="AL125" s="3">
        <v>834</v>
      </c>
      <c r="AM125" s="3">
        <v>847</v>
      </c>
      <c r="AN125" s="3">
        <v>867</v>
      </c>
      <c r="AO125" s="3">
        <v>880</v>
      </c>
      <c r="AP125" s="3">
        <v>864</v>
      </c>
      <c r="AR125" s="4">
        <f t="shared" si="17"/>
        <v>193.54328941626423</v>
      </c>
      <c r="AS125" s="5">
        <f t="shared" si="18"/>
        <v>4.0555555555555554</v>
      </c>
      <c r="AT125" s="5">
        <f t="shared" si="11"/>
        <v>1.174496644295302</v>
      </c>
      <c r="AU125" s="5">
        <f t="shared" si="12"/>
        <v>2.245827010622155</v>
      </c>
      <c r="AV125" s="5">
        <f t="shared" si="13"/>
        <v>0.70631970260223054</v>
      </c>
      <c r="AW125" s="5">
        <f t="shared" si="14"/>
        <v>2.7320261437908497</v>
      </c>
      <c r="AX125" s="5">
        <f t="shared" si="15"/>
        <v>1.5553869499241275</v>
      </c>
      <c r="AY125" s="5">
        <f t="shared" si="16"/>
        <v>2.4864864864864868</v>
      </c>
      <c r="AZ125">
        <f t="shared" si="19"/>
        <v>4450000</v>
      </c>
      <c r="BA125">
        <v>0</v>
      </c>
      <c r="BB125">
        <v>370000</v>
      </c>
      <c r="BC125">
        <v>140000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2900000</v>
      </c>
      <c r="BK125">
        <v>0</v>
      </c>
      <c r="BL125">
        <v>0</v>
      </c>
      <c r="BM125">
        <v>0</v>
      </c>
      <c r="BN125">
        <v>0</v>
      </c>
      <c r="BO125">
        <v>320000</v>
      </c>
      <c r="BP125">
        <v>40000</v>
      </c>
      <c r="BQ125">
        <v>680000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37</v>
      </c>
      <c r="CC125">
        <v>41</v>
      </c>
      <c r="CD125">
        <v>48</v>
      </c>
      <c r="CE125">
        <v>57</v>
      </c>
      <c r="CF125" s="17">
        <v>8.2774049217002243</v>
      </c>
      <c r="CG125" s="17">
        <v>9.1722595078299776</v>
      </c>
      <c r="CH125" s="17">
        <v>10.738255033557047</v>
      </c>
      <c r="CI125" s="17">
        <v>12.751677852348994</v>
      </c>
      <c r="CJ125" s="18">
        <v>1</v>
      </c>
      <c r="CK125" s="18">
        <v>1.1081081081081081</v>
      </c>
      <c r="CL125" s="18">
        <v>1.2972972972972974</v>
      </c>
      <c r="CM125" s="18">
        <v>1.5405405405405406</v>
      </c>
      <c r="CN125" s="18">
        <v>0</v>
      </c>
      <c r="CO125" s="18">
        <v>0.89485458612975388</v>
      </c>
      <c r="CP125" s="18">
        <v>2.4608501118568231</v>
      </c>
      <c r="CQ125" s="18">
        <v>4.4742729306487696</v>
      </c>
      <c r="CR125" s="18">
        <f t="shared" si="20"/>
        <v>1.8822222222222222</v>
      </c>
      <c r="CS125" s="18">
        <f t="shared" si="21"/>
        <v>1.2217933723196881</v>
      </c>
      <c r="CT125">
        <v>2.2471910112359601</v>
      </c>
      <c r="CU125">
        <v>70.786516853932596</v>
      </c>
      <c r="CV125">
        <v>26.966292134831498</v>
      </c>
      <c r="CW125">
        <v>0</v>
      </c>
      <c r="CX125">
        <v>0</v>
      </c>
      <c r="CY125">
        <v>8.31460674157303</v>
      </c>
      <c r="CZ125">
        <v>75.730337078651701</v>
      </c>
      <c r="DA125">
        <v>15.955056179775299</v>
      </c>
      <c r="DB125">
        <v>0</v>
      </c>
      <c r="DC125">
        <v>0</v>
      </c>
      <c r="DD125">
        <v>8.31460674157303</v>
      </c>
      <c r="DE125">
        <v>75.730337078651701</v>
      </c>
      <c r="DF125">
        <v>15.955056179775299</v>
      </c>
      <c r="DG125">
        <v>0</v>
      </c>
      <c r="DH125">
        <v>0</v>
      </c>
      <c r="DI125">
        <v>11.460674157303369</v>
      </c>
      <c r="DJ125">
        <v>72.359550561797761</v>
      </c>
      <c r="DK125">
        <v>16.179775280898902</v>
      </c>
      <c r="DL125">
        <v>0</v>
      </c>
      <c r="DM125">
        <v>0</v>
      </c>
      <c r="DN125">
        <v>11.460674157303369</v>
      </c>
      <c r="DO125">
        <v>72.359550561797761</v>
      </c>
      <c r="DP125">
        <v>16.179775280898902</v>
      </c>
      <c r="DQ125">
        <v>0</v>
      </c>
      <c r="DR125">
        <v>0</v>
      </c>
      <c r="DS125" t="s">
        <v>355</v>
      </c>
      <c r="DT125">
        <v>0</v>
      </c>
      <c r="DU125">
        <v>922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 t="s">
        <v>274</v>
      </c>
      <c r="EE125" t="s">
        <v>274</v>
      </c>
      <c r="EF125" t="s">
        <v>274</v>
      </c>
      <c r="EG125" t="s">
        <v>274</v>
      </c>
    </row>
    <row r="126" spans="1:137" ht="14.55" customHeight="1" x14ac:dyDescent="0.3">
      <c r="A126" t="s">
        <v>529</v>
      </c>
      <c r="B126">
        <v>2333</v>
      </c>
      <c r="C126" t="s">
        <v>530</v>
      </c>
      <c r="D126" t="s">
        <v>269</v>
      </c>
      <c r="E126" t="s">
        <v>269</v>
      </c>
      <c r="F126" t="s">
        <v>270</v>
      </c>
      <c r="G126" t="s">
        <v>522</v>
      </c>
      <c r="H126" s="3">
        <v>5906956.1237300001</v>
      </c>
      <c r="I126">
        <v>588</v>
      </c>
      <c r="J126" s="3">
        <v>590.69561237300002</v>
      </c>
      <c r="K126">
        <v>722</v>
      </c>
      <c r="L126">
        <v>922</v>
      </c>
      <c r="M126">
        <v>817.44329437952103</v>
      </c>
      <c r="N126">
        <v>31.966105029037799</v>
      </c>
      <c r="O126">
        <v>0</v>
      </c>
      <c r="P126">
        <v>38.373664855957003</v>
      </c>
      <c r="Q126">
        <v>8.0672321319580096</v>
      </c>
      <c r="R126">
        <v>5.5281839370727504</v>
      </c>
      <c r="S126" t="s">
        <v>272</v>
      </c>
      <c r="T126" t="s">
        <v>529</v>
      </c>
      <c r="U126" t="s">
        <v>530</v>
      </c>
      <c r="V126" t="s">
        <v>530</v>
      </c>
      <c r="W126" s="3">
        <v>1152</v>
      </c>
      <c r="X126" s="3">
        <v>5910000</v>
      </c>
      <c r="Y126">
        <v>2</v>
      </c>
      <c r="Z126" s="3">
        <v>533</v>
      </c>
      <c r="AA126" s="3">
        <v>623</v>
      </c>
      <c r="AB126" s="3">
        <v>749</v>
      </c>
      <c r="AC126" s="3">
        <v>804</v>
      </c>
      <c r="AD126" s="3">
        <v>837</v>
      </c>
      <c r="AE126" s="3">
        <v>901</v>
      </c>
      <c r="AF126" s="3">
        <v>891</v>
      </c>
      <c r="AG126" s="3">
        <v>910</v>
      </c>
      <c r="AH126" s="3">
        <v>936</v>
      </c>
      <c r="AI126" s="3">
        <v>973</v>
      </c>
      <c r="AJ126" s="3">
        <v>993</v>
      </c>
      <c r="AK126" s="3">
        <v>1042</v>
      </c>
      <c r="AL126" s="3">
        <v>1044</v>
      </c>
      <c r="AM126" s="3">
        <v>1086</v>
      </c>
      <c r="AN126" s="3">
        <v>1072</v>
      </c>
      <c r="AO126" s="3">
        <v>1140</v>
      </c>
      <c r="AP126" s="3">
        <v>1152</v>
      </c>
      <c r="AR126" s="4">
        <f t="shared" si="17"/>
        <v>195.02430285068027</v>
      </c>
      <c r="AS126" s="5">
        <f t="shared" si="18"/>
        <v>2.1106941838649154</v>
      </c>
      <c r="AT126" s="5">
        <f t="shared" si="11"/>
        <v>2.2471910112359552</v>
      </c>
      <c r="AU126" s="5">
        <f t="shared" si="12"/>
        <v>1.8958611481975967</v>
      </c>
      <c r="AV126" s="5">
        <f t="shared" si="13"/>
        <v>2.9292929292929295</v>
      </c>
      <c r="AW126" s="5">
        <f t="shared" si="14"/>
        <v>2.3838428429533165</v>
      </c>
      <c r="AX126" s="5">
        <f t="shared" si="15"/>
        <v>2.6902536715620826</v>
      </c>
      <c r="AY126" s="5">
        <f t="shared" si="16"/>
        <v>3.1387860656153341</v>
      </c>
      <c r="AZ126">
        <f t="shared" si="19"/>
        <v>5880000</v>
      </c>
      <c r="BA126">
        <v>0</v>
      </c>
      <c r="BB126">
        <v>590000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2710000</v>
      </c>
      <c r="BK126">
        <v>0</v>
      </c>
      <c r="BL126">
        <v>0</v>
      </c>
      <c r="BM126">
        <v>30000</v>
      </c>
      <c r="BN126">
        <v>0</v>
      </c>
      <c r="BO126">
        <v>1410000</v>
      </c>
      <c r="BP126">
        <v>0</v>
      </c>
      <c r="BQ126">
        <v>390000</v>
      </c>
      <c r="BR126">
        <v>750000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29</v>
      </c>
      <c r="CC126">
        <v>29</v>
      </c>
      <c r="CD126">
        <v>40</v>
      </c>
      <c r="CE126">
        <v>44</v>
      </c>
      <c r="CF126" s="17">
        <v>4.9069373942470387</v>
      </c>
      <c r="CG126" s="17">
        <v>4.9069373942470387</v>
      </c>
      <c r="CH126" s="17">
        <v>6.7681895093062607</v>
      </c>
      <c r="CI126" s="17">
        <v>7.4450084602368864</v>
      </c>
      <c r="CJ126" s="18">
        <v>1</v>
      </c>
      <c r="CK126" s="18">
        <v>1</v>
      </c>
      <c r="CL126" s="18">
        <v>1.3793103448275863</v>
      </c>
      <c r="CM126" s="18">
        <v>1.5172413793103448</v>
      </c>
      <c r="CN126" s="18">
        <v>0</v>
      </c>
      <c r="CO126" s="18">
        <v>0</v>
      </c>
      <c r="CP126" s="18">
        <v>1.8612521150592216</v>
      </c>
      <c r="CQ126" s="18">
        <v>2.5380710659898478</v>
      </c>
      <c r="CR126" s="18">
        <f t="shared" si="20"/>
        <v>2.0375234521575987</v>
      </c>
      <c r="CS126" s="18">
        <f t="shared" si="21"/>
        <v>1.3429131843765991</v>
      </c>
      <c r="CT126">
        <v>3.9115646258503398</v>
      </c>
      <c r="CU126">
        <v>63.43537414965995</v>
      </c>
      <c r="CV126">
        <v>32.653061224489839</v>
      </c>
      <c r="CW126">
        <v>0</v>
      </c>
      <c r="CX126">
        <v>0</v>
      </c>
      <c r="CY126">
        <v>10.2040816326531</v>
      </c>
      <c r="CZ126">
        <v>69.047619047619108</v>
      </c>
      <c r="DA126">
        <v>20.748299319727899</v>
      </c>
      <c r="DB126">
        <v>0</v>
      </c>
      <c r="DC126">
        <v>0</v>
      </c>
      <c r="DD126">
        <v>10.2040816326531</v>
      </c>
      <c r="DE126">
        <v>69.047619047619108</v>
      </c>
      <c r="DF126">
        <v>20.748299319727899</v>
      </c>
      <c r="DG126">
        <v>0</v>
      </c>
      <c r="DH126">
        <v>0</v>
      </c>
      <c r="DI126">
        <v>10.034013605442199</v>
      </c>
      <c r="DJ126">
        <v>70.578231292517046</v>
      </c>
      <c r="DK126">
        <v>19.387755102040799</v>
      </c>
      <c r="DL126">
        <v>0</v>
      </c>
      <c r="DM126">
        <v>0</v>
      </c>
      <c r="DN126">
        <v>10.034013605442199</v>
      </c>
      <c r="DO126">
        <v>70.578231292517046</v>
      </c>
      <c r="DP126">
        <v>19.387755102040799</v>
      </c>
      <c r="DQ126">
        <v>0</v>
      </c>
      <c r="DR126">
        <v>0</v>
      </c>
      <c r="DS126" t="s">
        <v>355</v>
      </c>
      <c r="DT126">
        <v>0</v>
      </c>
      <c r="DU126">
        <v>1288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 t="s">
        <v>274</v>
      </c>
      <c r="EE126" t="s">
        <v>274</v>
      </c>
      <c r="EF126" t="s">
        <v>274</v>
      </c>
      <c r="EG126" t="s">
        <v>274</v>
      </c>
    </row>
    <row r="127" spans="1:137" ht="14.55" customHeight="1" x14ac:dyDescent="0.3">
      <c r="A127" t="s">
        <v>531</v>
      </c>
      <c r="B127">
        <v>2335</v>
      </c>
      <c r="C127" t="s">
        <v>532</v>
      </c>
      <c r="D127" t="s">
        <v>269</v>
      </c>
      <c r="E127" t="s">
        <v>269</v>
      </c>
      <c r="F127" t="s">
        <v>270</v>
      </c>
      <c r="G127" t="s">
        <v>522</v>
      </c>
      <c r="H127" s="3">
        <v>9783759.6059399992</v>
      </c>
      <c r="I127">
        <v>981</v>
      </c>
      <c r="J127" s="3">
        <v>978.37596059399993</v>
      </c>
      <c r="K127">
        <v>732</v>
      </c>
      <c r="L127">
        <v>945</v>
      </c>
      <c r="M127">
        <v>838.69183742022199</v>
      </c>
      <c r="N127">
        <v>44.5252382324203</v>
      </c>
      <c r="O127">
        <v>0</v>
      </c>
      <c r="P127">
        <v>35.550693511962898</v>
      </c>
      <c r="Q127">
        <v>6.8611254692077601</v>
      </c>
      <c r="R127">
        <v>4.4690856933593803</v>
      </c>
      <c r="S127" t="s">
        <v>272</v>
      </c>
      <c r="T127" t="s">
        <v>531</v>
      </c>
      <c r="U127" t="s">
        <v>532</v>
      </c>
      <c r="V127" t="s">
        <v>532</v>
      </c>
      <c r="W127" s="3">
        <v>1028</v>
      </c>
      <c r="X127" s="3">
        <v>9780000</v>
      </c>
      <c r="Y127">
        <v>3</v>
      </c>
      <c r="Z127" s="3">
        <v>609</v>
      </c>
      <c r="AA127" s="3">
        <v>667</v>
      </c>
      <c r="AB127" s="3">
        <v>813</v>
      </c>
      <c r="AC127" s="3">
        <v>872</v>
      </c>
      <c r="AD127" s="3">
        <v>880</v>
      </c>
      <c r="AE127" s="3">
        <v>905</v>
      </c>
      <c r="AF127" s="3">
        <v>905</v>
      </c>
      <c r="AG127" s="3">
        <v>948</v>
      </c>
      <c r="AH127" s="3">
        <v>965</v>
      </c>
      <c r="AI127" s="3">
        <v>985</v>
      </c>
      <c r="AJ127" s="3">
        <v>1013</v>
      </c>
      <c r="AK127" s="3">
        <v>1042</v>
      </c>
      <c r="AL127" s="3">
        <v>1034</v>
      </c>
      <c r="AM127" s="3">
        <v>1015</v>
      </c>
      <c r="AN127" s="3">
        <v>1007</v>
      </c>
      <c r="AO127" s="3">
        <v>1005</v>
      </c>
      <c r="AP127" s="3">
        <v>1028</v>
      </c>
      <c r="AR127" s="4">
        <f t="shared" si="17"/>
        <v>105.07208286024036</v>
      </c>
      <c r="AS127" s="5">
        <f t="shared" si="18"/>
        <v>1.1904761904761905</v>
      </c>
      <c r="AT127" s="5">
        <f t="shared" si="11"/>
        <v>2.4321172746959854</v>
      </c>
      <c r="AU127" s="5">
        <f t="shared" si="12"/>
        <v>1.1316113161131611</v>
      </c>
      <c r="AV127" s="5">
        <f t="shared" si="13"/>
        <v>1.3591160220994474</v>
      </c>
      <c r="AW127" s="5">
        <f t="shared" si="14"/>
        <v>1.9704433497536946</v>
      </c>
      <c r="AX127" s="5">
        <f t="shared" si="15"/>
        <v>1.3222632226322264</v>
      </c>
      <c r="AY127" s="5">
        <f t="shared" si="16"/>
        <v>1.8594949629432387</v>
      </c>
      <c r="AZ127">
        <f t="shared" si="19"/>
        <v>9840000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7650000</v>
      </c>
      <c r="BK127">
        <v>0</v>
      </c>
      <c r="BL127">
        <v>0</v>
      </c>
      <c r="BM127">
        <v>0</v>
      </c>
      <c r="BN127">
        <v>0</v>
      </c>
      <c r="BO127">
        <v>1300000</v>
      </c>
      <c r="BP127">
        <v>0</v>
      </c>
      <c r="BQ127">
        <v>750000</v>
      </c>
      <c r="BR127">
        <v>140000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42</v>
      </c>
      <c r="CC127">
        <v>48</v>
      </c>
      <c r="CD127">
        <v>56</v>
      </c>
      <c r="CE127">
        <v>61</v>
      </c>
      <c r="CF127" s="17">
        <v>4.3032786885245899</v>
      </c>
      <c r="CG127" s="17">
        <v>4.918032786885246</v>
      </c>
      <c r="CH127" s="17">
        <v>5.7377049180327866</v>
      </c>
      <c r="CI127" s="17">
        <v>6.25</v>
      </c>
      <c r="CJ127" s="18">
        <v>1</v>
      </c>
      <c r="CK127" s="18">
        <v>1.1428571428571428</v>
      </c>
      <c r="CL127" s="18">
        <v>1.3333333333333333</v>
      </c>
      <c r="CM127" s="18">
        <v>1.4523809523809523</v>
      </c>
      <c r="CN127" s="18">
        <v>0</v>
      </c>
      <c r="CO127" s="18">
        <v>0.61475409836065575</v>
      </c>
      <c r="CP127" s="18">
        <v>1.4344262295081966</v>
      </c>
      <c r="CQ127" s="18">
        <v>1.9467213114754098</v>
      </c>
      <c r="CR127" s="18">
        <f t="shared" si="20"/>
        <v>1.6666666666666667</v>
      </c>
      <c r="CS127" s="18">
        <f t="shared" si="21"/>
        <v>1.1475409836065575</v>
      </c>
      <c r="CT127">
        <v>0.71138211382113803</v>
      </c>
      <c r="CU127">
        <v>85.060975609756198</v>
      </c>
      <c r="CV127">
        <v>14.126016260162588</v>
      </c>
      <c r="CW127">
        <v>0.101626016260163</v>
      </c>
      <c r="CX127">
        <v>0</v>
      </c>
      <c r="CY127">
        <v>0</v>
      </c>
      <c r="CZ127">
        <v>90.447154471544707</v>
      </c>
      <c r="DA127">
        <v>9.5528455284552791</v>
      </c>
      <c r="DB127">
        <v>0</v>
      </c>
      <c r="DC127">
        <v>0</v>
      </c>
      <c r="DD127">
        <v>0</v>
      </c>
      <c r="DE127">
        <v>90.447154471544707</v>
      </c>
      <c r="DF127">
        <v>9.5528455284552791</v>
      </c>
      <c r="DG127">
        <v>0</v>
      </c>
      <c r="DH127">
        <v>0</v>
      </c>
      <c r="DI127">
        <v>0</v>
      </c>
      <c r="DJ127">
        <v>90.955284552845498</v>
      </c>
      <c r="DK127">
        <v>9.04471544715447</v>
      </c>
      <c r="DL127">
        <v>0</v>
      </c>
      <c r="DM127">
        <v>0</v>
      </c>
      <c r="DN127">
        <v>0</v>
      </c>
      <c r="DO127">
        <v>90.955284552845498</v>
      </c>
      <c r="DP127">
        <v>9.04471544715447</v>
      </c>
      <c r="DQ127">
        <v>0</v>
      </c>
      <c r="DR127">
        <v>0</v>
      </c>
      <c r="DS127" t="s">
        <v>273</v>
      </c>
      <c r="DT127" t="s">
        <v>273</v>
      </c>
      <c r="DU127" t="s">
        <v>273</v>
      </c>
      <c r="DV127" t="s">
        <v>273</v>
      </c>
      <c r="DW127" t="s">
        <v>273</v>
      </c>
      <c r="DX127" t="s">
        <v>273</v>
      </c>
      <c r="DY127" t="s">
        <v>273</v>
      </c>
      <c r="DZ127" t="s">
        <v>273</v>
      </c>
      <c r="EA127" t="s">
        <v>273</v>
      </c>
      <c r="EB127" t="s">
        <v>273</v>
      </c>
      <c r="EC127" t="s">
        <v>273</v>
      </c>
      <c r="ED127" t="s">
        <v>274</v>
      </c>
      <c r="EE127" t="s">
        <v>274</v>
      </c>
      <c r="EF127" t="s">
        <v>274</v>
      </c>
      <c r="EG127" t="s">
        <v>274</v>
      </c>
    </row>
    <row r="128" spans="1:137" ht="14.55" customHeight="1" x14ac:dyDescent="0.3">
      <c r="A128" t="s">
        <v>533</v>
      </c>
      <c r="B128">
        <v>2336</v>
      </c>
      <c r="C128" t="s">
        <v>534</v>
      </c>
      <c r="D128" t="s">
        <v>269</v>
      </c>
      <c r="E128" t="s">
        <v>269</v>
      </c>
      <c r="F128" t="s">
        <v>270</v>
      </c>
      <c r="G128" t="s">
        <v>522</v>
      </c>
      <c r="H128" s="3">
        <v>29358937.6116</v>
      </c>
      <c r="I128">
        <v>2939</v>
      </c>
      <c r="J128" s="3">
        <v>2935.8937611599999</v>
      </c>
      <c r="K128">
        <v>801</v>
      </c>
      <c r="L128">
        <v>1918</v>
      </c>
      <c r="M128">
        <v>1136.7442829305401</v>
      </c>
      <c r="N128">
        <v>237.55516385801201</v>
      </c>
      <c r="O128">
        <v>0</v>
      </c>
      <c r="P128">
        <v>55.202671051025398</v>
      </c>
      <c r="Q128">
        <v>10.773907661438001</v>
      </c>
      <c r="R128">
        <v>7.1565504074096697</v>
      </c>
      <c r="S128" t="s">
        <v>272</v>
      </c>
      <c r="T128" t="s">
        <v>533</v>
      </c>
      <c r="U128" t="s">
        <v>534</v>
      </c>
      <c r="V128" t="s">
        <v>534</v>
      </c>
      <c r="W128" s="3">
        <v>1435</v>
      </c>
      <c r="X128" s="3">
        <v>29360000</v>
      </c>
      <c r="Y128">
        <v>3</v>
      </c>
      <c r="Z128" s="3">
        <v>858</v>
      </c>
      <c r="AA128" s="3">
        <v>931</v>
      </c>
      <c r="AB128" s="3">
        <v>1005</v>
      </c>
      <c r="AC128" s="3">
        <v>1056</v>
      </c>
      <c r="AD128" s="3">
        <v>1098</v>
      </c>
      <c r="AE128" s="3">
        <v>1116</v>
      </c>
      <c r="AF128" s="3">
        <v>1136</v>
      </c>
      <c r="AG128" s="3">
        <v>1206</v>
      </c>
      <c r="AH128" s="3">
        <v>1304</v>
      </c>
      <c r="AI128" s="3">
        <v>1344</v>
      </c>
      <c r="AJ128" s="3">
        <v>1347</v>
      </c>
      <c r="AK128" s="3">
        <v>1398</v>
      </c>
      <c r="AL128" s="3">
        <v>1414</v>
      </c>
      <c r="AM128" s="3">
        <v>1435</v>
      </c>
      <c r="AN128" s="3">
        <v>1431</v>
      </c>
      <c r="AO128" s="3">
        <v>1413</v>
      </c>
      <c r="AP128" s="3">
        <v>1435</v>
      </c>
      <c r="AR128" s="4">
        <f t="shared" si="17"/>
        <v>48.877790435884769</v>
      </c>
      <c r="AS128" s="5">
        <f t="shared" si="18"/>
        <v>1.0635198135198136</v>
      </c>
      <c r="AT128" s="5">
        <f t="shared" si="11"/>
        <v>0.88316028165652227</v>
      </c>
      <c r="AU128" s="5">
        <f t="shared" si="12"/>
        <v>1.3034825870646767</v>
      </c>
      <c r="AV128" s="5">
        <f t="shared" si="13"/>
        <v>2.6320422535211265</v>
      </c>
      <c r="AW128" s="5">
        <f t="shared" si="14"/>
        <v>1.0078157136980668</v>
      </c>
      <c r="AX128" s="5">
        <f t="shared" si="15"/>
        <v>2.1393034825870649</v>
      </c>
      <c r="AY128" s="5">
        <f t="shared" si="16"/>
        <v>1.8175518175518177</v>
      </c>
      <c r="AZ128">
        <f t="shared" si="19"/>
        <v>29360000</v>
      </c>
      <c r="BA128">
        <v>0</v>
      </c>
      <c r="BB128">
        <v>500000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6320000</v>
      </c>
      <c r="BK128">
        <v>0</v>
      </c>
      <c r="BL128">
        <v>0</v>
      </c>
      <c r="BM128">
        <v>1210000</v>
      </c>
      <c r="BN128">
        <v>0</v>
      </c>
      <c r="BO128">
        <v>3440000</v>
      </c>
      <c r="BP128">
        <v>0</v>
      </c>
      <c r="BQ128">
        <v>12260000</v>
      </c>
      <c r="BR128">
        <v>2010000</v>
      </c>
      <c r="BS128">
        <v>3260000</v>
      </c>
      <c r="BT128">
        <v>0</v>
      </c>
      <c r="BU128">
        <v>360000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81</v>
      </c>
      <c r="CC128">
        <v>97</v>
      </c>
      <c r="CD128">
        <v>99</v>
      </c>
      <c r="CE128">
        <v>108</v>
      </c>
      <c r="CF128" s="17">
        <v>2.7560394692072134</v>
      </c>
      <c r="CG128" s="17">
        <v>3.3004423273222185</v>
      </c>
      <c r="CH128" s="17">
        <v>3.3684926845865943</v>
      </c>
      <c r="CI128" s="17">
        <v>3.6747192922762841</v>
      </c>
      <c r="CJ128" s="18">
        <v>1</v>
      </c>
      <c r="CK128" s="18">
        <v>1.1975308641975309</v>
      </c>
      <c r="CL128" s="18">
        <v>1.2222222222222223</v>
      </c>
      <c r="CM128" s="18">
        <v>1.3333333333333333</v>
      </c>
      <c r="CN128" s="18">
        <v>0</v>
      </c>
      <c r="CO128" s="18">
        <v>0.54440285811500511</v>
      </c>
      <c r="CP128" s="18">
        <v>0.6124532153793808</v>
      </c>
      <c r="CQ128" s="18">
        <v>0.91867982306907103</v>
      </c>
      <c r="CR128" s="18">
        <f t="shared" si="20"/>
        <v>1.6724941724941724</v>
      </c>
      <c r="CS128" s="18">
        <f t="shared" si="21"/>
        <v>1.2543706293706294</v>
      </c>
      <c r="CT128">
        <v>0.85149863760218003</v>
      </c>
      <c r="CU128">
        <v>28.201634877384251</v>
      </c>
      <c r="CV128">
        <v>70.946866485013658</v>
      </c>
      <c r="CW128">
        <v>0</v>
      </c>
      <c r="CX128">
        <v>0</v>
      </c>
      <c r="CY128">
        <v>1.5667574931880099</v>
      </c>
      <c r="CZ128">
        <v>44.720708446866475</v>
      </c>
      <c r="DA128">
        <v>53.712534059945462</v>
      </c>
      <c r="DB128">
        <v>0</v>
      </c>
      <c r="DC128">
        <v>0</v>
      </c>
      <c r="DD128">
        <v>1.5667574931880099</v>
      </c>
      <c r="DE128">
        <v>44.720708446866475</v>
      </c>
      <c r="DF128">
        <v>53.712534059945462</v>
      </c>
      <c r="DG128">
        <v>0</v>
      </c>
      <c r="DH128">
        <v>0</v>
      </c>
      <c r="DI128">
        <v>1.7029972752043601</v>
      </c>
      <c r="DJ128">
        <v>37.363760217983653</v>
      </c>
      <c r="DK128">
        <v>60.933242506812</v>
      </c>
      <c r="DL128">
        <v>0</v>
      </c>
      <c r="DM128">
        <v>0</v>
      </c>
      <c r="DN128">
        <v>1.7029972752043601</v>
      </c>
      <c r="DO128">
        <v>37.363760217983653</v>
      </c>
      <c r="DP128">
        <v>60.933242506812</v>
      </c>
      <c r="DQ128">
        <v>0</v>
      </c>
      <c r="DR128">
        <v>0</v>
      </c>
      <c r="DS128" t="s">
        <v>355</v>
      </c>
      <c r="DT128">
        <v>0</v>
      </c>
      <c r="DU128">
        <v>1551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 t="s">
        <v>274</v>
      </c>
      <c r="EE128" t="s">
        <v>274</v>
      </c>
      <c r="EF128" t="s">
        <v>274</v>
      </c>
      <c r="EG128" t="s">
        <v>274</v>
      </c>
    </row>
    <row r="129" spans="1:137" ht="14.55" customHeight="1" x14ac:dyDescent="0.3">
      <c r="A129" t="s">
        <v>535</v>
      </c>
      <c r="B129">
        <v>2337</v>
      </c>
      <c r="C129" t="s">
        <v>536</v>
      </c>
      <c r="D129" t="s">
        <v>269</v>
      </c>
      <c r="E129" t="s">
        <v>269</v>
      </c>
      <c r="F129" t="s">
        <v>270</v>
      </c>
      <c r="G129" t="s">
        <v>522</v>
      </c>
      <c r="H129" s="3">
        <v>9568840.1046799999</v>
      </c>
      <c r="I129">
        <v>953</v>
      </c>
      <c r="J129" s="3">
        <v>956.88401046900003</v>
      </c>
      <c r="K129">
        <v>708</v>
      </c>
      <c r="L129">
        <v>952</v>
      </c>
      <c r="M129">
        <v>831.64482000549594</v>
      </c>
      <c r="N129">
        <v>49.5323442529575</v>
      </c>
      <c r="O129">
        <v>0</v>
      </c>
      <c r="P129">
        <v>35.669120788574197</v>
      </c>
      <c r="Q129">
        <v>6.68902492523193</v>
      </c>
      <c r="R129">
        <v>4.6787648200988796</v>
      </c>
      <c r="S129" t="s">
        <v>272</v>
      </c>
      <c r="T129" t="s">
        <v>535</v>
      </c>
      <c r="U129" t="s">
        <v>536</v>
      </c>
      <c r="V129" t="s">
        <v>536</v>
      </c>
      <c r="W129" s="3">
        <v>1201</v>
      </c>
      <c r="X129" s="3">
        <v>9570000</v>
      </c>
      <c r="Y129">
        <v>3</v>
      </c>
      <c r="Z129" s="3">
        <v>625</v>
      </c>
      <c r="AA129" s="3">
        <v>682</v>
      </c>
      <c r="AB129" s="3">
        <v>824</v>
      </c>
      <c r="AC129" s="3">
        <v>962</v>
      </c>
      <c r="AD129" s="3">
        <v>964</v>
      </c>
      <c r="AE129" s="3">
        <v>1005</v>
      </c>
      <c r="AF129" s="3">
        <v>1040</v>
      </c>
      <c r="AG129" s="3">
        <v>1022</v>
      </c>
      <c r="AH129" s="3">
        <v>1041</v>
      </c>
      <c r="AI129" s="3">
        <v>1091</v>
      </c>
      <c r="AJ129" s="3">
        <v>1153</v>
      </c>
      <c r="AK129" s="3">
        <v>1171</v>
      </c>
      <c r="AL129" s="3">
        <v>1175</v>
      </c>
      <c r="AM129" s="3">
        <v>1186</v>
      </c>
      <c r="AN129" s="3">
        <v>1211</v>
      </c>
      <c r="AO129" s="3">
        <v>1208</v>
      </c>
      <c r="AP129" s="3">
        <v>1201</v>
      </c>
      <c r="AR129" s="4">
        <f t="shared" si="17"/>
        <v>125.51155488650612</v>
      </c>
      <c r="AS129" s="5">
        <f t="shared" si="18"/>
        <v>1.1400000000000001</v>
      </c>
      <c r="AT129" s="5">
        <f t="shared" si="11"/>
        <v>2.3134571521668299</v>
      </c>
      <c r="AU129" s="5">
        <f t="shared" si="12"/>
        <v>2.621359223300971</v>
      </c>
      <c r="AV129" s="5">
        <f t="shared" si="13"/>
        <v>1.5480769230769231</v>
      </c>
      <c r="AW129" s="5">
        <f t="shared" si="14"/>
        <v>1.8729411764705883</v>
      </c>
      <c r="AX129" s="5">
        <f t="shared" si="15"/>
        <v>2.287621359223301</v>
      </c>
      <c r="AY129" s="5">
        <f t="shared" si="16"/>
        <v>2.4908108108108107</v>
      </c>
      <c r="AZ129">
        <f t="shared" si="19"/>
        <v>9510000</v>
      </c>
      <c r="BA129">
        <v>0</v>
      </c>
      <c r="BB129">
        <v>270000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7340000</v>
      </c>
      <c r="BK129">
        <v>0</v>
      </c>
      <c r="BL129">
        <v>0</v>
      </c>
      <c r="BM129">
        <v>0</v>
      </c>
      <c r="BN129">
        <v>0</v>
      </c>
      <c r="BO129">
        <v>200000</v>
      </c>
      <c r="BP129">
        <v>0</v>
      </c>
      <c r="BQ129">
        <v>1330000</v>
      </c>
      <c r="BR129">
        <v>370000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39</v>
      </c>
      <c r="CC129">
        <v>48</v>
      </c>
      <c r="CD129">
        <v>54</v>
      </c>
      <c r="CE129">
        <v>67</v>
      </c>
      <c r="CF129" s="17">
        <v>4.0709812108559502</v>
      </c>
      <c r="CG129" s="17">
        <v>5.010438413361169</v>
      </c>
      <c r="CH129" s="17">
        <v>5.6367432150313155</v>
      </c>
      <c r="CI129" s="17">
        <v>6.9937369519832977</v>
      </c>
      <c r="CJ129" s="18">
        <v>1</v>
      </c>
      <c r="CK129" s="18">
        <v>1.2307692307692308</v>
      </c>
      <c r="CL129" s="18">
        <v>1.3846153846153846</v>
      </c>
      <c r="CM129" s="18">
        <v>1.7179487179487178</v>
      </c>
      <c r="CN129" s="18">
        <v>0</v>
      </c>
      <c r="CO129" s="18">
        <v>0.93945720250521914</v>
      </c>
      <c r="CP129" s="18">
        <v>1.5657620041753653</v>
      </c>
      <c r="CQ129" s="18">
        <v>2.9227557411273484</v>
      </c>
      <c r="CR129" s="18">
        <f t="shared" si="20"/>
        <v>1.8976</v>
      </c>
      <c r="CS129" s="18">
        <f t="shared" si="21"/>
        <v>1.1045731343283582</v>
      </c>
      <c r="CT129">
        <v>0</v>
      </c>
      <c r="CU129">
        <v>88.328075709779199</v>
      </c>
      <c r="CV129">
        <v>11.1461619348055</v>
      </c>
      <c r="CW129">
        <v>0.52576235541535199</v>
      </c>
      <c r="CX129">
        <v>0</v>
      </c>
      <c r="CY129">
        <v>2.6288117770767601</v>
      </c>
      <c r="CZ129">
        <v>80.021030494216603</v>
      </c>
      <c r="DA129">
        <v>17.350157728706598</v>
      </c>
      <c r="DB129">
        <v>0</v>
      </c>
      <c r="DC129">
        <v>0</v>
      </c>
      <c r="DD129">
        <v>2.6288117770767601</v>
      </c>
      <c r="DE129">
        <v>80.021030494216603</v>
      </c>
      <c r="DF129">
        <v>17.350157728706598</v>
      </c>
      <c r="DG129">
        <v>0</v>
      </c>
      <c r="DH129">
        <v>0</v>
      </c>
      <c r="DI129">
        <v>2.8391167192429001</v>
      </c>
      <c r="DJ129">
        <v>79.284963196635104</v>
      </c>
      <c r="DK129">
        <v>17.875920084122001</v>
      </c>
      <c r="DL129">
        <v>0</v>
      </c>
      <c r="DM129">
        <v>0</v>
      </c>
      <c r="DN129">
        <v>2.8391167192429001</v>
      </c>
      <c r="DO129">
        <v>79.284963196635104</v>
      </c>
      <c r="DP129">
        <v>17.875920084122001</v>
      </c>
      <c r="DQ129">
        <v>0</v>
      </c>
      <c r="DR129">
        <v>0</v>
      </c>
      <c r="DS129" t="s">
        <v>273</v>
      </c>
      <c r="DT129" t="s">
        <v>273</v>
      </c>
      <c r="DU129" t="s">
        <v>273</v>
      </c>
      <c r="DV129" t="s">
        <v>273</v>
      </c>
      <c r="DW129" t="s">
        <v>273</v>
      </c>
      <c r="DX129" t="s">
        <v>273</v>
      </c>
      <c r="DY129" t="s">
        <v>273</v>
      </c>
      <c r="DZ129" t="s">
        <v>273</v>
      </c>
      <c r="EA129" t="s">
        <v>273</v>
      </c>
      <c r="EB129" t="s">
        <v>273</v>
      </c>
      <c r="EC129" t="s">
        <v>273</v>
      </c>
      <c r="ED129" t="s">
        <v>274</v>
      </c>
      <c r="EE129" t="s">
        <v>274</v>
      </c>
      <c r="EF129" t="s">
        <v>274</v>
      </c>
      <c r="EG129" t="s">
        <v>274</v>
      </c>
    </row>
    <row r="130" spans="1:137" ht="14.55" customHeight="1" x14ac:dyDescent="0.3">
      <c r="A130" t="s">
        <v>537</v>
      </c>
      <c r="B130">
        <v>2338</v>
      </c>
      <c r="C130" t="s">
        <v>538</v>
      </c>
      <c r="D130" t="s">
        <v>269</v>
      </c>
      <c r="E130" t="s">
        <v>269</v>
      </c>
      <c r="F130" t="s">
        <v>270</v>
      </c>
      <c r="G130" t="s">
        <v>522</v>
      </c>
      <c r="H130" s="3">
        <v>13432346.972200001</v>
      </c>
      <c r="I130">
        <v>1340</v>
      </c>
      <c r="J130" s="3">
        <v>1343.23469722</v>
      </c>
      <c r="K130">
        <v>767</v>
      </c>
      <c r="L130">
        <v>941</v>
      </c>
      <c r="M130">
        <v>865.21161561796703</v>
      </c>
      <c r="N130">
        <v>34.148219263605</v>
      </c>
      <c r="O130">
        <v>0</v>
      </c>
      <c r="P130">
        <v>37.765254974365199</v>
      </c>
      <c r="Q130">
        <v>6.5037002563476598</v>
      </c>
      <c r="R130">
        <v>4.4388599395751998</v>
      </c>
      <c r="S130" t="s">
        <v>272</v>
      </c>
      <c r="T130" t="s">
        <v>537</v>
      </c>
      <c r="U130" t="s">
        <v>538</v>
      </c>
      <c r="V130" t="s">
        <v>538</v>
      </c>
      <c r="W130" s="3">
        <v>1254</v>
      </c>
      <c r="X130" s="3">
        <v>13430000</v>
      </c>
      <c r="Y130">
        <v>3</v>
      </c>
      <c r="Z130" s="3">
        <v>714</v>
      </c>
      <c r="AA130" s="3">
        <v>760</v>
      </c>
      <c r="AB130" s="3">
        <v>875</v>
      </c>
      <c r="AC130" s="3">
        <v>976</v>
      </c>
      <c r="AD130" s="3">
        <v>1002</v>
      </c>
      <c r="AE130" s="3">
        <v>1040</v>
      </c>
      <c r="AF130" s="3">
        <v>1072</v>
      </c>
      <c r="AG130" s="3">
        <v>1097</v>
      </c>
      <c r="AH130" s="3">
        <v>1117</v>
      </c>
      <c r="AI130" s="3">
        <v>1136</v>
      </c>
      <c r="AJ130" s="3">
        <v>1154</v>
      </c>
      <c r="AK130" s="3">
        <v>1157</v>
      </c>
      <c r="AL130" s="3">
        <v>1155</v>
      </c>
      <c r="AM130" s="3">
        <v>1158</v>
      </c>
      <c r="AN130" s="3">
        <v>1177</v>
      </c>
      <c r="AO130" s="3">
        <v>1188</v>
      </c>
      <c r="AP130" s="3">
        <v>1254</v>
      </c>
      <c r="AR130" s="4">
        <f t="shared" si="17"/>
        <v>93.356730777973269</v>
      </c>
      <c r="AS130" s="5">
        <f t="shared" si="18"/>
        <v>0.80532212885154053</v>
      </c>
      <c r="AT130" s="5">
        <f t="shared" si="11"/>
        <v>1.6812865497076022</v>
      </c>
      <c r="AU130" s="5">
        <f t="shared" si="12"/>
        <v>2.2514285714285718</v>
      </c>
      <c r="AV130" s="5">
        <f t="shared" si="13"/>
        <v>1.6977611940298505</v>
      </c>
      <c r="AW130" s="5">
        <f t="shared" si="14"/>
        <v>1.3264129181084199</v>
      </c>
      <c r="AX130" s="5">
        <f t="shared" si="15"/>
        <v>2.1657142857142859</v>
      </c>
      <c r="AY130" s="5">
        <f t="shared" si="16"/>
        <v>2.0440608675902796</v>
      </c>
      <c r="AZ130">
        <f t="shared" si="19"/>
        <v>13440000</v>
      </c>
      <c r="BA130">
        <v>0</v>
      </c>
      <c r="BB130">
        <v>390000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10130000</v>
      </c>
      <c r="BK130">
        <v>0</v>
      </c>
      <c r="BL130">
        <v>0</v>
      </c>
      <c r="BM130">
        <v>0</v>
      </c>
      <c r="BN130">
        <v>0</v>
      </c>
      <c r="BO130">
        <v>1710000</v>
      </c>
      <c r="BP130">
        <v>0</v>
      </c>
      <c r="BQ130">
        <v>1210000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80</v>
      </c>
      <c r="CC130">
        <v>79</v>
      </c>
      <c r="CD130">
        <v>88</v>
      </c>
      <c r="CE130">
        <v>102</v>
      </c>
      <c r="CF130" s="17">
        <v>5.9479553903345721</v>
      </c>
      <c r="CG130" s="17">
        <v>5.8736059479553901</v>
      </c>
      <c r="CH130" s="17">
        <v>6.5427509293680295</v>
      </c>
      <c r="CI130" s="17">
        <v>7.5836431226765795</v>
      </c>
      <c r="CJ130" s="18">
        <v>1</v>
      </c>
      <c r="CK130" s="18">
        <v>0.98750000000000004</v>
      </c>
      <c r="CL130" s="18">
        <v>1.1000000000000001</v>
      </c>
      <c r="CM130" s="18">
        <v>1.2749999999999999</v>
      </c>
      <c r="CN130" s="18">
        <v>0</v>
      </c>
      <c r="CO130" s="18">
        <v>-7.434944237918216E-2</v>
      </c>
      <c r="CP130" s="18">
        <v>0.59479553903345728</v>
      </c>
      <c r="CQ130" s="18">
        <v>1.6356877323420074</v>
      </c>
      <c r="CR130" s="18">
        <f t="shared" si="20"/>
        <v>1.6218487394957983</v>
      </c>
      <c r="CS130" s="18">
        <f t="shared" si="21"/>
        <v>1.2720382270555282</v>
      </c>
      <c r="CT130">
        <v>0.74404761904761896</v>
      </c>
      <c r="CU130">
        <v>83.556547619047592</v>
      </c>
      <c r="CV130">
        <v>15.25297619047619</v>
      </c>
      <c r="CW130">
        <v>0.44642857142857101</v>
      </c>
      <c r="CX130">
        <v>0</v>
      </c>
      <c r="CY130">
        <v>0</v>
      </c>
      <c r="CZ130">
        <v>89.806547619047606</v>
      </c>
      <c r="DA130">
        <v>10.193452380952399</v>
      </c>
      <c r="DB130">
        <v>0</v>
      </c>
      <c r="DC130">
        <v>0</v>
      </c>
      <c r="DD130">
        <v>0</v>
      </c>
      <c r="DE130">
        <v>89.5833333333333</v>
      </c>
      <c r="DF130">
        <v>10.4166666666667</v>
      </c>
      <c r="DG130">
        <v>0</v>
      </c>
      <c r="DH130">
        <v>0</v>
      </c>
      <c r="DI130">
        <v>2.90178571428571</v>
      </c>
      <c r="DJ130">
        <v>88.095238095238102</v>
      </c>
      <c r="DK130">
        <v>9.0029761904761898</v>
      </c>
      <c r="DL130">
        <v>0</v>
      </c>
      <c r="DM130">
        <v>0</v>
      </c>
      <c r="DN130">
        <v>2.90178571428571</v>
      </c>
      <c r="DO130">
        <v>88.095238095238102</v>
      </c>
      <c r="DP130">
        <v>9.0029761904761898</v>
      </c>
      <c r="DQ130">
        <v>0</v>
      </c>
      <c r="DR130">
        <v>0</v>
      </c>
      <c r="DS130" t="s">
        <v>273</v>
      </c>
      <c r="DT130" t="s">
        <v>273</v>
      </c>
      <c r="DU130" t="s">
        <v>273</v>
      </c>
      <c r="DV130" t="s">
        <v>273</v>
      </c>
      <c r="DW130" t="s">
        <v>273</v>
      </c>
      <c r="DX130" t="s">
        <v>273</v>
      </c>
      <c r="DY130" t="s">
        <v>273</v>
      </c>
      <c r="DZ130" t="s">
        <v>273</v>
      </c>
      <c r="EA130" t="s">
        <v>273</v>
      </c>
      <c r="EB130" t="s">
        <v>273</v>
      </c>
      <c r="EC130" t="s">
        <v>273</v>
      </c>
      <c r="ED130" t="s">
        <v>274</v>
      </c>
      <c r="EE130" t="s">
        <v>274</v>
      </c>
      <c r="EF130" t="s">
        <v>274</v>
      </c>
      <c r="EG130" t="s">
        <v>274</v>
      </c>
    </row>
    <row r="131" spans="1:137" ht="14.55" customHeight="1" x14ac:dyDescent="0.3">
      <c r="A131" t="s">
        <v>539</v>
      </c>
      <c r="B131">
        <v>2391</v>
      </c>
      <c r="C131" t="s">
        <v>540</v>
      </c>
      <c r="D131" t="s">
        <v>269</v>
      </c>
      <c r="E131" t="s">
        <v>269</v>
      </c>
      <c r="F131" t="s">
        <v>270</v>
      </c>
      <c r="G131" t="s">
        <v>458</v>
      </c>
      <c r="H131" s="3">
        <v>2572741.2054499998</v>
      </c>
      <c r="I131">
        <v>256</v>
      </c>
      <c r="J131" s="3">
        <v>257.27412054499996</v>
      </c>
      <c r="K131">
        <v>519</v>
      </c>
      <c r="L131">
        <v>621</v>
      </c>
      <c r="M131">
        <v>578.63486005089101</v>
      </c>
      <c r="N131">
        <v>16.9171835805633</v>
      </c>
      <c r="O131">
        <v>0</v>
      </c>
      <c r="P131">
        <v>25.943832397460898</v>
      </c>
      <c r="Q131">
        <v>7.2900085449218803</v>
      </c>
      <c r="R131">
        <v>4.5875091552734402</v>
      </c>
      <c r="S131" t="s">
        <v>272</v>
      </c>
      <c r="T131" t="s">
        <v>539</v>
      </c>
      <c r="U131" t="s">
        <v>540</v>
      </c>
      <c r="V131" t="s">
        <v>540</v>
      </c>
      <c r="W131" s="3">
        <v>0</v>
      </c>
      <c r="X131" s="3">
        <v>2570000</v>
      </c>
      <c r="Y131">
        <v>3</v>
      </c>
      <c r="AZ131">
        <f t="shared" si="19"/>
        <v>2570000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20000</v>
      </c>
      <c r="BK131">
        <v>0</v>
      </c>
      <c r="BL131">
        <v>0</v>
      </c>
      <c r="BM131">
        <v>10000</v>
      </c>
      <c r="BN131">
        <v>0</v>
      </c>
      <c r="BO131">
        <v>0</v>
      </c>
      <c r="BP131">
        <v>0</v>
      </c>
      <c r="BQ131">
        <v>0</v>
      </c>
      <c r="BR131">
        <v>1890000</v>
      </c>
      <c r="BS131">
        <v>0</v>
      </c>
      <c r="BT131">
        <v>0</v>
      </c>
      <c r="BU131">
        <v>650000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1</v>
      </c>
      <c r="CE131">
        <v>1</v>
      </c>
      <c r="CF131" s="17" t="e">
        <v>#DIV/0!</v>
      </c>
      <c r="CG131" s="17" t="e">
        <v>#DIV/0!</v>
      </c>
      <c r="CH131" s="17" t="e">
        <v>#DIV/0!</v>
      </c>
      <c r="CI131" s="17" t="e">
        <v>#DIV/0!</v>
      </c>
      <c r="CJ131" s="18" t="e">
        <v>#DIV/0!</v>
      </c>
      <c r="CK131" s="18" t="e">
        <v>#DIV/0!</v>
      </c>
      <c r="CL131" s="18" t="e">
        <v>#DIV/0!</v>
      </c>
      <c r="CM131" s="18" t="e">
        <v>#DIV/0!</v>
      </c>
      <c r="CN131" s="18" t="e">
        <v>#DIV/0!</v>
      </c>
      <c r="CO131" s="18" t="e">
        <v>#DIV/0!</v>
      </c>
      <c r="CP131" s="18" t="e">
        <v>#DIV/0!</v>
      </c>
      <c r="CQ131" s="18" t="e">
        <v>#DIV/0!</v>
      </c>
      <c r="CR131" s="18" t="e">
        <f t="shared" si="20"/>
        <v>#DIV/0!</v>
      </c>
      <c r="CS131" s="18" t="e">
        <f t="shared" si="21"/>
        <v>#DIV/0!</v>
      </c>
      <c r="CT131">
        <v>0</v>
      </c>
      <c r="CU131">
        <v>12.06225680933853</v>
      </c>
      <c r="CV131">
        <v>87.937743190661493</v>
      </c>
      <c r="CW131">
        <v>0</v>
      </c>
      <c r="CX131">
        <v>0</v>
      </c>
      <c r="CY131">
        <v>0</v>
      </c>
      <c r="CZ131">
        <v>0.77821011673151796</v>
      </c>
      <c r="DA131">
        <v>99.2217898832684</v>
      </c>
      <c r="DB131">
        <v>0</v>
      </c>
      <c r="DC131">
        <v>0</v>
      </c>
      <c r="DD131">
        <v>0</v>
      </c>
      <c r="DE131">
        <v>0.77821011673151796</v>
      </c>
      <c r="DF131">
        <v>99.2217898832684</v>
      </c>
      <c r="DG131">
        <v>0</v>
      </c>
      <c r="DH131">
        <v>0</v>
      </c>
      <c r="DI131">
        <v>0</v>
      </c>
      <c r="DJ131">
        <v>1.167315175097277</v>
      </c>
      <c r="DK131">
        <v>98.832684824902699</v>
      </c>
      <c r="DL131">
        <v>0</v>
      </c>
      <c r="DM131">
        <v>0</v>
      </c>
      <c r="DN131">
        <v>0</v>
      </c>
      <c r="DO131">
        <v>1.167315175097277</v>
      </c>
      <c r="DP131">
        <v>98.832684824902699</v>
      </c>
      <c r="DQ131">
        <v>0</v>
      </c>
      <c r="DR131">
        <v>0</v>
      </c>
      <c r="DS131" t="s">
        <v>273</v>
      </c>
      <c r="DT131" t="s">
        <v>273</v>
      </c>
      <c r="DU131" t="s">
        <v>273</v>
      </c>
      <c r="DV131" t="s">
        <v>273</v>
      </c>
      <c r="DW131" t="s">
        <v>273</v>
      </c>
      <c r="DX131" t="s">
        <v>273</v>
      </c>
      <c r="DY131" t="s">
        <v>273</v>
      </c>
      <c r="DZ131" t="s">
        <v>273</v>
      </c>
      <c r="EA131" t="s">
        <v>273</v>
      </c>
      <c r="EB131" t="s">
        <v>273</v>
      </c>
      <c r="EC131" t="s">
        <v>273</v>
      </c>
      <c r="ED131" t="s">
        <v>274</v>
      </c>
      <c r="EE131" t="s">
        <v>274</v>
      </c>
      <c r="EF131" t="s">
        <v>274</v>
      </c>
      <c r="EG131" t="s">
        <v>274</v>
      </c>
    </row>
    <row r="132" spans="1:137" ht="14.55" customHeight="1" x14ac:dyDescent="0.3">
      <c r="A132" t="s">
        <v>541</v>
      </c>
      <c r="B132">
        <v>5429</v>
      </c>
      <c r="C132" t="s">
        <v>542</v>
      </c>
      <c r="D132" t="s">
        <v>543</v>
      </c>
      <c r="E132" t="s">
        <v>544</v>
      </c>
      <c r="F132" t="s">
        <v>270</v>
      </c>
      <c r="G132" t="s">
        <v>545</v>
      </c>
      <c r="H132" s="3">
        <v>9451889.6903000008</v>
      </c>
      <c r="I132">
        <v>946</v>
      </c>
      <c r="J132" s="3">
        <v>945.18896903000007</v>
      </c>
      <c r="K132">
        <v>733</v>
      </c>
      <c r="L132">
        <v>1494</v>
      </c>
      <c r="M132">
        <v>1037.8606740008399</v>
      </c>
      <c r="N132">
        <v>219.535561691049</v>
      </c>
      <c r="O132">
        <v>0</v>
      </c>
      <c r="P132">
        <v>32.2800483703613</v>
      </c>
      <c r="Q132">
        <v>8.6857481002807599</v>
      </c>
      <c r="R132">
        <v>5.4609260559081996</v>
      </c>
      <c r="S132" t="s">
        <v>546</v>
      </c>
      <c r="T132" t="s">
        <v>541</v>
      </c>
      <c r="U132" t="s">
        <v>542</v>
      </c>
      <c r="V132" t="s">
        <v>542</v>
      </c>
      <c r="W132" s="3">
        <v>481</v>
      </c>
      <c r="X132" s="3">
        <v>9450000</v>
      </c>
      <c r="Y132">
        <v>3</v>
      </c>
      <c r="Z132" s="3">
        <v>204</v>
      </c>
      <c r="AA132" s="3">
        <v>318</v>
      </c>
      <c r="AB132" s="3">
        <v>356</v>
      </c>
      <c r="AC132" s="3">
        <v>381</v>
      </c>
      <c r="AD132" s="3">
        <v>390</v>
      </c>
      <c r="AE132" s="3">
        <v>403</v>
      </c>
      <c r="AF132" s="3">
        <v>428</v>
      </c>
      <c r="AG132" s="3">
        <v>423</v>
      </c>
      <c r="AH132" s="3">
        <v>423</v>
      </c>
      <c r="AI132" s="3">
        <v>414</v>
      </c>
      <c r="AJ132" s="3">
        <v>426</v>
      </c>
      <c r="AK132" s="3">
        <v>439</v>
      </c>
      <c r="AL132" s="3">
        <v>464</v>
      </c>
      <c r="AM132" s="3">
        <v>458</v>
      </c>
      <c r="AN132" s="3">
        <v>469</v>
      </c>
      <c r="AO132" s="3">
        <v>478</v>
      </c>
      <c r="AP132" s="3">
        <v>481</v>
      </c>
      <c r="AQ132" s="3">
        <v>495</v>
      </c>
      <c r="AR132" s="4">
        <v>50.899470899470899</v>
      </c>
      <c r="AS132" s="5">
        <f t="shared" ref="AS132:AS195" si="22">(AA132-Z132)/Z132/8*100</f>
        <v>6.9852941176470589</v>
      </c>
      <c r="AT132" s="5">
        <f t="shared" ref="AT132:AT195" si="23">(AB132-AA132)/AA132/9*100</f>
        <v>1.3277428371767994</v>
      </c>
      <c r="AU132" s="5">
        <f t="shared" ref="AU132:AU195" si="24">(AF132-AB132)/AB132/10*100</f>
        <v>2.0224719101123596</v>
      </c>
      <c r="AV132" s="5">
        <f t="shared" ref="AV132:AV195" si="25">(AP132-AF132)/AF132/10*100</f>
        <v>1.2383177570093458</v>
      </c>
      <c r="AW132" s="5">
        <f t="shared" ref="AW132:AW195" si="26">(AB132-Z132)/Z132/17*100</f>
        <v>4.3829296424452133</v>
      </c>
      <c r="AX132" s="5">
        <f t="shared" ref="AX132:AX195" si="27">(AP132-AB132)/AB132/20*100</f>
        <v>1.75561797752809</v>
      </c>
      <c r="AY132" s="5">
        <f t="shared" ref="AY132:AY195" si="28">(AP132-Z132)/Z132/37*100</f>
        <v>3.6698463169051405</v>
      </c>
      <c r="AZ132">
        <f t="shared" si="19"/>
        <v>9480000</v>
      </c>
      <c r="BA132">
        <v>0</v>
      </c>
      <c r="BB132">
        <v>250000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3550000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140000</v>
      </c>
      <c r="BQ132">
        <v>1340000</v>
      </c>
      <c r="BR132">
        <v>4200000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25</v>
      </c>
      <c r="CC132">
        <v>27</v>
      </c>
      <c r="CD132">
        <v>30</v>
      </c>
      <c r="CE132">
        <v>31</v>
      </c>
      <c r="CF132" s="17">
        <v>2.6371308016877637</v>
      </c>
      <c r="CG132" s="17">
        <v>2.8481012658227849</v>
      </c>
      <c r="CH132" s="17">
        <v>3.1645569620253164</v>
      </c>
      <c r="CI132" s="17">
        <v>3.2700421940928273</v>
      </c>
      <c r="CJ132" s="18">
        <v>1</v>
      </c>
      <c r="CK132" s="18">
        <v>1.08</v>
      </c>
      <c r="CL132" s="18">
        <v>1.2</v>
      </c>
      <c r="CM132" s="18">
        <v>1.24</v>
      </c>
      <c r="CN132" s="18">
        <v>0</v>
      </c>
      <c r="CO132" s="18">
        <v>0.21097046413502107</v>
      </c>
      <c r="CP132" s="18">
        <v>0.52742616033755274</v>
      </c>
      <c r="CQ132" s="18">
        <v>0.63291139240506333</v>
      </c>
      <c r="CR132" s="18">
        <f t="shared" si="20"/>
        <v>2.2450980392156863</v>
      </c>
      <c r="CS132" s="18">
        <f t="shared" si="21"/>
        <v>1.8105629348513599</v>
      </c>
      <c r="CT132">
        <v>0</v>
      </c>
      <c r="CU132">
        <v>41.772151898734201</v>
      </c>
      <c r="CV132">
        <v>58.227848101265785</v>
      </c>
      <c r="CW132">
        <v>0</v>
      </c>
      <c r="CX132">
        <v>0</v>
      </c>
      <c r="CY132">
        <v>2.6371308016877602</v>
      </c>
      <c r="CZ132">
        <v>37.1308016877637</v>
      </c>
      <c r="DA132">
        <v>60.232067510548497</v>
      </c>
      <c r="DB132">
        <v>0</v>
      </c>
      <c r="DC132">
        <v>0</v>
      </c>
      <c r="DD132">
        <v>2.6371308016877602</v>
      </c>
      <c r="DE132">
        <v>37.1308016877637</v>
      </c>
      <c r="DF132">
        <v>60.232067510548497</v>
      </c>
      <c r="DG132">
        <v>0</v>
      </c>
      <c r="DH132">
        <v>0</v>
      </c>
      <c r="DI132">
        <v>2.6371308016877602</v>
      </c>
      <c r="DJ132">
        <v>37.447257383966203</v>
      </c>
      <c r="DK132">
        <v>59.915611814346001</v>
      </c>
      <c r="DL132">
        <v>0</v>
      </c>
      <c r="DM132">
        <v>0</v>
      </c>
      <c r="DN132">
        <v>2.6371308016877602</v>
      </c>
      <c r="DO132">
        <v>37.447257383966203</v>
      </c>
      <c r="DP132">
        <v>59.915611814346001</v>
      </c>
      <c r="DQ132">
        <v>0</v>
      </c>
      <c r="DR132">
        <v>0</v>
      </c>
      <c r="DS132" t="s">
        <v>312</v>
      </c>
      <c r="DT132" t="s">
        <v>313</v>
      </c>
      <c r="DU132">
        <v>538</v>
      </c>
      <c r="DV132" t="s">
        <v>547</v>
      </c>
      <c r="DW132" t="s">
        <v>548</v>
      </c>
      <c r="DX132">
        <v>86</v>
      </c>
      <c r="DY132">
        <v>130</v>
      </c>
      <c r="DZ132">
        <v>216</v>
      </c>
      <c r="EA132">
        <v>606779</v>
      </c>
      <c r="EB132">
        <v>388178</v>
      </c>
      <c r="EC132">
        <v>994957</v>
      </c>
      <c r="ED132" t="s">
        <v>274</v>
      </c>
      <c r="EE132" t="s">
        <v>274</v>
      </c>
      <c r="EF132" t="s">
        <v>274</v>
      </c>
      <c r="EG132" t="s">
        <v>274</v>
      </c>
    </row>
    <row r="133" spans="1:137" ht="14.55" customHeight="1" x14ac:dyDescent="0.3">
      <c r="A133" t="s">
        <v>549</v>
      </c>
      <c r="B133">
        <v>5430</v>
      </c>
      <c r="C133" t="s">
        <v>550</v>
      </c>
      <c r="D133" t="s">
        <v>543</v>
      </c>
      <c r="E133" t="s">
        <v>544</v>
      </c>
      <c r="F133" t="s">
        <v>270</v>
      </c>
      <c r="G133" t="s">
        <v>545</v>
      </c>
      <c r="H133" s="3">
        <v>11983438.083900001</v>
      </c>
      <c r="I133">
        <v>1197</v>
      </c>
      <c r="J133" s="3">
        <v>1198.34380839</v>
      </c>
      <c r="K133">
        <v>716</v>
      </c>
      <c r="L133">
        <v>1497</v>
      </c>
      <c r="M133">
        <v>1113.31225948323</v>
      </c>
      <c r="N133">
        <v>228.05679326586099</v>
      </c>
      <c r="O133">
        <v>0</v>
      </c>
      <c r="P133">
        <v>34.378810882568402</v>
      </c>
      <c r="Q133">
        <v>9.4004364013671893</v>
      </c>
      <c r="R133">
        <v>5.35772609710693</v>
      </c>
      <c r="S133" t="s">
        <v>546</v>
      </c>
      <c r="T133" t="s">
        <v>549</v>
      </c>
      <c r="U133" t="s">
        <v>550</v>
      </c>
      <c r="V133" t="s">
        <v>550</v>
      </c>
      <c r="W133" s="3">
        <v>472</v>
      </c>
      <c r="X133" s="3">
        <v>11980000</v>
      </c>
      <c r="Y133">
        <v>3</v>
      </c>
      <c r="Z133" s="3">
        <v>197</v>
      </c>
      <c r="AA133" s="3">
        <v>276</v>
      </c>
      <c r="AB133" s="3">
        <v>324</v>
      </c>
      <c r="AC133" s="3">
        <v>380</v>
      </c>
      <c r="AD133" s="3">
        <v>399</v>
      </c>
      <c r="AE133" s="3">
        <v>395</v>
      </c>
      <c r="AF133" s="3">
        <v>403</v>
      </c>
      <c r="AG133" s="3">
        <v>419</v>
      </c>
      <c r="AH133" s="3">
        <v>409</v>
      </c>
      <c r="AI133" s="3">
        <v>448</v>
      </c>
      <c r="AJ133" s="3">
        <v>445</v>
      </c>
      <c r="AK133" s="3">
        <v>445</v>
      </c>
      <c r="AL133" s="3">
        <v>454</v>
      </c>
      <c r="AM133" s="3">
        <v>435</v>
      </c>
      <c r="AN133" s="3">
        <v>454</v>
      </c>
      <c r="AO133" s="3">
        <v>463</v>
      </c>
      <c r="AP133" s="3">
        <v>472</v>
      </c>
      <c r="AQ133" s="3">
        <v>483</v>
      </c>
      <c r="AR133" s="4">
        <v>39.398998330550917</v>
      </c>
      <c r="AS133" s="5">
        <f t="shared" si="22"/>
        <v>5.0126903553299487</v>
      </c>
      <c r="AT133" s="5">
        <f t="shared" si="23"/>
        <v>1.932367149758454</v>
      </c>
      <c r="AU133" s="5">
        <f t="shared" si="24"/>
        <v>2.4382716049382713</v>
      </c>
      <c r="AV133" s="5">
        <f t="shared" si="25"/>
        <v>1.7121588089330027</v>
      </c>
      <c r="AW133" s="5">
        <f t="shared" si="26"/>
        <v>3.7921767691848318</v>
      </c>
      <c r="AX133" s="5">
        <f t="shared" si="27"/>
        <v>2.2839506172839505</v>
      </c>
      <c r="AY133" s="5">
        <f t="shared" si="28"/>
        <v>3.7728083413362605</v>
      </c>
      <c r="AZ133">
        <f t="shared" si="19"/>
        <v>11970000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2670000</v>
      </c>
      <c r="BK133">
        <v>0</v>
      </c>
      <c r="BL133">
        <v>0</v>
      </c>
      <c r="BM133">
        <v>0</v>
      </c>
      <c r="BN133">
        <v>0</v>
      </c>
      <c r="BO133">
        <v>290000</v>
      </c>
      <c r="BP133">
        <v>0</v>
      </c>
      <c r="BQ133">
        <v>1050000</v>
      </c>
      <c r="BR133">
        <v>6830000</v>
      </c>
      <c r="BS133">
        <v>420000</v>
      </c>
      <c r="BT133">
        <v>0</v>
      </c>
      <c r="BU133">
        <v>710000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24</v>
      </c>
      <c r="CC133">
        <v>32</v>
      </c>
      <c r="CD133">
        <v>34</v>
      </c>
      <c r="CE133">
        <v>37</v>
      </c>
      <c r="CF133" s="17">
        <v>2.0100502512562812</v>
      </c>
      <c r="CG133" s="17">
        <v>2.6800670016750421</v>
      </c>
      <c r="CH133" s="17">
        <v>2.8475711892797317</v>
      </c>
      <c r="CI133" s="17">
        <v>3.0988274706867673</v>
      </c>
      <c r="CJ133" s="18">
        <v>1</v>
      </c>
      <c r="CK133" s="18">
        <v>1.3333333333333333</v>
      </c>
      <c r="CL133" s="18">
        <v>1.4166666666666667</v>
      </c>
      <c r="CM133" s="18">
        <v>1.5416666666666667</v>
      </c>
      <c r="CN133" s="18">
        <v>0</v>
      </c>
      <c r="CO133" s="18">
        <v>0.67001675041876052</v>
      </c>
      <c r="CP133" s="18">
        <v>0.83752093802345051</v>
      </c>
      <c r="CQ133" s="18">
        <v>1.0887772194304857</v>
      </c>
      <c r="CR133" s="18">
        <f t="shared" si="20"/>
        <v>2.2081218274111674</v>
      </c>
      <c r="CS133" s="18">
        <f t="shared" si="21"/>
        <v>1.4322952394018382</v>
      </c>
      <c r="CT133">
        <v>0.91896407685881398</v>
      </c>
      <c r="CU133">
        <v>22.974101921470368</v>
      </c>
      <c r="CV133">
        <v>76.106934001670908</v>
      </c>
      <c r="CW133">
        <v>0</v>
      </c>
      <c r="CX133">
        <v>0</v>
      </c>
      <c r="CY133">
        <v>0</v>
      </c>
      <c r="CZ133">
        <v>28.487886382623199</v>
      </c>
      <c r="DA133">
        <v>71.512113617376826</v>
      </c>
      <c r="DB133">
        <v>0</v>
      </c>
      <c r="DC133">
        <v>0</v>
      </c>
      <c r="DD133">
        <v>0</v>
      </c>
      <c r="DE133">
        <v>28.90559732665</v>
      </c>
      <c r="DF133">
        <v>71.094402673350103</v>
      </c>
      <c r="DG133">
        <v>0</v>
      </c>
      <c r="DH133">
        <v>0</v>
      </c>
      <c r="DI133">
        <v>0</v>
      </c>
      <c r="DJ133">
        <v>24.728487886382648</v>
      </c>
      <c r="DK133">
        <v>75.271512113617376</v>
      </c>
      <c r="DL133">
        <v>0</v>
      </c>
      <c r="DM133">
        <v>0</v>
      </c>
      <c r="DN133">
        <v>0</v>
      </c>
      <c r="DO133">
        <v>24.728487886382648</v>
      </c>
      <c r="DP133">
        <v>75.271512113617376</v>
      </c>
      <c r="DQ133">
        <v>0</v>
      </c>
      <c r="DR133">
        <v>0</v>
      </c>
      <c r="DS133" t="s">
        <v>312</v>
      </c>
      <c r="DT133" t="s">
        <v>313</v>
      </c>
      <c r="DU133">
        <v>499</v>
      </c>
      <c r="DV133" t="s">
        <v>547</v>
      </c>
      <c r="DW133" t="s">
        <v>548</v>
      </c>
      <c r="DX133">
        <v>86</v>
      </c>
      <c r="DY133">
        <v>130</v>
      </c>
      <c r="DZ133">
        <v>216</v>
      </c>
      <c r="EA133">
        <v>606779</v>
      </c>
      <c r="EB133">
        <v>388178</v>
      </c>
      <c r="EC133">
        <v>994957</v>
      </c>
      <c r="ED133" t="s">
        <v>274</v>
      </c>
      <c r="EE133" t="s">
        <v>274</v>
      </c>
      <c r="EF133" t="s">
        <v>274</v>
      </c>
      <c r="EG133" t="s">
        <v>274</v>
      </c>
    </row>
    <row r="134" spans="1:137" ht="14.55" customHeight="1" x14ac:dyDescent="0.3">
      <c r="A134" t="s">
        <v>551</v>
      </c>
      <c r="B134">
        <v>5434</v>
      </c>
      <c r="C134" t="s">
        <v>552</v>
      </c>
      <c r="D134" t="s">
        <v>543</v>
      </c>
      <c r="E134" t="s">
        <v>544</v>
      </c>
      <c r="F134" t="s">
        <v>270</v>
      </c>
      <c r="G134" t="s">
        <v>545</v>
      </c>
      <c r="H134" s="3">
        <v>12315142.1866</v>
      </c>
      <c r="I134">
        <v>1230</v>
      </c>
      <c r="J134" s="3">
        <v>1231.5142186599999</v>
      </c>
      <c r="K134">
        <v>784</v>
      </c>
      <c r="L134">
        <v>1458</v>
      </c>
      <c r="M134">
        <v>1106.5203868968099</v>
      </c>
      <c r="N134">
        <v>152.41848147460601</v>
      </c>
      <c r="O134">
        <v>0</v>
      </c>
      <c r="P134">
        <v>43.2942924499512</v>
      </c>
      <c r="Q134">
        <v>10.7869157791138</v>
      </c>
      <c r="R134">
        <v>6.2954216003418004</v>
      </c>
      <c r="S134" t="s">
        <v>546</v>
      </c>
      <c r="T134" t="s">
        <v>551</v>
      </c>
      <c r="U134" t="s">
        <v>552</v>
      </c>
      <c r="V134" t="s">
        <v>552</v>
      </c>
      <c r="W134" s="3">
        <v>1063</v>
      </c>
      <c r="X134" s="3">
        <v>12320000</v>
      </c>
      <c r="Y134">
        <v>3</v>
      </c>
      <c r="Z134" s="3">
        <v>346</v>
      </c>
      <c r="AA134" s="3">
        <v>442</v>
      </c>
      <c r="AB134" s="3">
        <v>637</v>
      </c>
      <c r="AC134" s="3">
        <v>793</v>
      </c>
      <c r="AD134" s="3">
        <v>816</v>
      </c>
      <c r="AE134" s="3">
        <v>843</v>
      </c>
      <c r="AF134" s="3">
        <v>923</v>
      </c>
      <c r="AG134" s="3">
        <v>949</v>
      </c>
      <c r="AH134" s="3">
        <v>951</v>
      </c>
      <c r="AI134" s="3">
        <v>941</v>
      </c>
      <c r="AJ134" s="3">
        <v>960</v>
      </c>
      <c r="AK134" s="3">
        <v>957</v>
      </c>
      <c r="AL134" s="3">
        <v>956</v>
      </c>
      <c r="AM134" s="3">
        <v>992</v>
      </c>
      <c r="AN134" s="3">
        <v>1028</v>
      </c>
      <c r="AO134" s="3">
        <v>1032</v>
      </c>
      <c r="AP134" s="3">
        <v>1063</v>
      </c>
      <c r="AQ134" s="3">
        <v>1073</v>
      </c>
      <c r="AR134" s="4">
        <v>86.282467532467535</v>
      </c>
      <c r="AS134" s="5">
        <f t="shared" si="22"/>
        <v>3.4682080924855487</v>
      </c>
      <c r="AT134" s="5">
        <f t="shared" si="23"/>
        <v>4.9019607843137258</v>
      </c>
      <c r="AU134" s="5">
        <f t="shared" si="24"/>
        <v>4.4897959183673466</v>
      </c>
      <c r="AV134" s="5">
        <f t="shared" si="25"/>
        <v>1.5167930660888407</v>
      </c>
      <c r="AW134" s="5">
        <f t="shared" si="26"/>
        <v>4.9472968378102689</v>
      </c>
      <c r="AX134" s="5">
        <f t="shared" si="27"/>
        <v>3.3437990580847723</v>
      </c>
      <c r="AY134" s="5">
        <f t="shared" si="28"/>
        <v>5.6006873925949074</v>
      </c>
      <c r="AZ134">
        <f t="shared" ref="AZ134:AZ197" si="29">SUM(BA134:CA134)</f>
        <v>12320000</v>
      </c>
      <c r="BA134">
        <v>0</v>
      </c>
      <c r="BB134">
        <v>630000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1510000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630000</v>
      </c>
      <c r="BQ134">
        <v>1560000</v>
      </c>
      <c r="BR134">
        <v>7730000</v>
      </c>
      <c r="BS134">
        <v>260000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53</v>
      </c>
      <c r="CC134">
        <v>61</v>
      </c>
      <c r="CD134">
        <v>70</v>
      </c>
      <c r="CE134">
        <v>79</v>
      </c>
      <c r="CF134" s="17">
        <v>4.3019480519480524</v>
      </c>
      <c r="CG134" s="17">
        <v>4.9512987012987013</v>
      </c>
      <c r="CH134" s="17">
        <v>5.6818181818181817</v>
      </c>
      <c r="CI134" s="17">
        <v>6.412337662337662</v>
      </c>
      <c r="CJ134" s="18">
        <v>1</v>
      </c>
      <c r="CK134" s="18">
        <v>1.1509433962264151</v>
      </c>
      <c r="CL134" s="18">
        <v>1.320754716981132</v>
      </c>
      <c r="CM134" s="18">
        <v>1.4905660377358489</v>
      </c>
      <c r="CN134" s="18">
        <v>0</v>
      </c>
      <c r="CO134" s="18">
        <v>0.64935064935064934</v>
      </c>
      <c r="CP134" s="18">
        <v>1.3798701298701299</v>
      </c>
      <c r="CQ134" s="18">
        <v>2.1103896103896105</v>
      </c>
      <c r="CR134" s="18">
        <f t="shared" ref="CR134:CR197" si="30">AM134/Z134</f>
        <v>2.8670520231213872</v>
      </c>
      <c r="CS134" s="18">
        <f t="shared" ref="CS134:CS197" si="31">CR134/CM134</f>
        <v>1.9234652813346016</v>
      </c>
      <c r="CT134">
        <v>0</v>
      </c>
      <c r="CU134">
        <v>17.207792207792163</v>
      </c>
      <c r="CV134">
        <v>82.792207792207833</v>
      </c>
      <c r="CW134">
        <v>0</v>
      </c>
      <c r="CX134">
        <v>0</v>
      </c>
      <c r="CY134">
        <v>5.0324675324675301</v>
      </c>
      <c r="CZ134">
        <v>15.25974025974028</v>
      </c>
      <c r="DA134">
        <v>79.707792207792195</v>
      </c>
      <c r="DB134">
        <v>0</v>
      </c>
      <c r="DC134">
        <v>0</v>
      </c>
      <c r="DD134">
        <v>5.1136363636363598</v>
      </c>
      <c r="DE134">
        <v>15.25974025974028</v>
      </c>
      <c r="DF134">
        <v>79.6266233766234</v>
      </c>
      <c r="DG134">
        <v>0</v>
      </c>
      <c r="DH134">
        <v>0</v>
      </c>
      <c r="DI134">
        <v>5.1136363636363598</v>
      </c>
      <c r="DJ134">
        <v>12.2564935064935</v>
      </c>
      <c r="DK134">
        <v>82.629870129870099</v>
      </c>
      <c r="DL134">
        <v>0</v>
      </c>
      <c r="DM134">
        <v>0</v>
      </c>
      <c r="DN134">
        <v>5.1136363636363598</v>
      </c>
      <c r="DO134">
        <v>12.2564935064935</v>
      </c>
      <c r="DP134">
        <v>82.629870129870099</v>
      </c>
      <c r="DQ134">
        <v>0</v>
      </c>
      <c r="DR134">
        <v>0</v>
      </c>
      <c r="DS134" t="s">
        <v>355</v>
      </c>
      <c r="DT134">
        <v>0</v>
      </c>
      <c r="DU134">
        <v>1066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 t="s">
        <v>274</v>
      </c>
      <c r="EE134" t="s">
        <v>274</v>
      </c>
      <c r="EF134" t="s">
        <v>274</v>
      </c>
      <c r="EG134" t="s">
        <v>274</v>
      </c>
    </row>
    <row r="135" spans="1:137" ht="14.55" customHeight="1" x14ac:dyDescent="0.3">
      <c r="A135" t="s">
        <v>553</v>
      </c>
      <c r="B135">
        <v>5701</v>
      </c>
      <c r="C135" t="s">
        <v>554</v>
      </c>
      <c r="D135" t="s">
        <v>543</v>
      </c>
      <c r="E135" t="s">
        <v>544</v>
      </c>
      <c r="F135" t="s">
        <v>270</v>
      </c>
      <c r="G135" t="s">
        <v>545</v>
      </c>
      <c r="H135" s="3">
        <v>2044162.31235</v>
      </c>
      <c r="I135">
        <v>204</v>
      </c>
      <c r="J135" s="3">
        <v>204.416231235</v>
      </c>
      <c r="K135">
        <v>421</v>
      </c>
      <c r="L135">
        <v>494</v>
      </c>
      <c r="M135">
        <v>452.16655886157798</v>
      </c>
      <c r="N135">
        <v>12.956804819629999</v>
      </c>
      <c r="O135">
        <v>0</v>
      </c>
      <c r="P135">
        <v>16.6138000488281</v>
      </c>
      <c r="Q135">
        <v>4.1862130165100098</v>
      </c>
      <c r="R135">
        <v>2.5972368717193599</v>
      </c>
      <c r="S135" t="s">
        <v>546</v>
      </c>
      <c r="T135" t="s">
        <v>553</v>
      </c>
      <c r="U135" t="s">
        <v>554</v>
      </c>
      <c r="V135" t="s">
        <v>554</v>
      </c>
      <c r="W135" s="3">
        <v>230</v>
      </c>
      <c r="X135" s="3">
        <v>2040000</v>
      </c>
      <c r="Y135">
        <v>3</v>
      </c>
      <c r="Z135" s="3">
        <v>60</v>
      </c>
      <c r="AA135" s="3">
        <v>114</v>
      </c>
      <c r="AB135" s="3">
        <v>122</v>
      </c>
      <c r="AC135" s="3">
        <v>122</v>
      </c>
      <c r="AD135" s="3">
        <v>128</v>
      </c>
      <c r="AE135" s="3">
        <v>124</v>
      </c>
      <c r="AF135" s="3">
        <v>139</v>
      </c>
      <c r="AG135" s="3">
        <v>140</v>
      </c>
      <c r="AH135" s="3">
        <v>187</v>
      </c>
      <c r="AI135" s="3">
        <v>197</v>
      </c>
      <c r="AJ135" s="3">
        <v>199</v>
      </c>
      <c r="AK135" s="3">
        <v>196</v>
      </c>
      <c r="AL135" s="3">
        <v>219</v>
      </c>
      <c r="AM135" s="3">
        <v>223</v>
      </c>
      <c r="AN135" s="3">
        <v>224</v>
      </c>
      <c r="AO135" s="3">
        <v>235</v>
      </c>
      <c r="AP135" s="3">
        <v>230</v>
      </c>
      <c r="AQ135" s="3">
        <v>242</v>
      </c>
      <c r="AR135" s="4">
        <v>112.74509803921569</v>
      </c>
      <c r="AS135" s="5">
        <f t="shared" si="22"/>
        <v>11.25</v>
      </c>
      <c r="AT135" s="5">
        <f t="shared" si="23"/>
        <v>0.77972709551656916</v>
      </c>
      <c r="AU135" s="5">
        <f t="shared" si="24"/>
        <v>1.3934426229508194</v>
      </c>
      <c r="AV135" s="5">
        <f t="shared" si="25"/>
        <v>6.5467625899280586</v>
      </c>
      <c r="AW135" s="5">
        <f t="shared" si="26"/>
        <v>6.0784313725490202</v>
      </c>
      <c r="AX135" s="5">
        <f t="shared" si="27"/>
        <v>4.4262295081967213</v>
      </c>
      <c r="AY135" s="5">
        <f t="shared" si="28"/>
        <v>7.6576576576576585</v>
      </c>
      <c r="AZ135">
        <f t="shared" si="29"/>
        <v>2070000</v>
      </c>
      <c r="BA135">
        <v>0</v>
      </c>
      <c r="BB135">
        <v>20000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1790000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260000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12</v>
      </c>
      <c r="CC135">
        <v>18</v>
      </c>
      <c r="CD135">
        <v>18</v>
      </c>
      <c r="CE135">
        <v>20</v>
      </c>
      <c r="CF135" s="17">
        <v>5.741626794258373</v>
      </c>
      <c r="CG135" s="17">
        <v>8.6124401913875595</v>
      </c>
      <c r="CH135" s="17">
        <v>8.6124401913875595</v>
      </c>
      <c r="CI135" s="17">
        <v>9.5693779904306222</v>
      </c>
      <c r="CJ135" s="18">
        <v>1</v>
      </c>
      <c r="CK135" s="18">
        <v>1.5</v>
      </c>
      <c r="CL135" s="18">
        <v>1.5</v>
      </c>
      <c r="CM135" s="18">
        <v>1.6666666666666667</v>
      </c>
      <c r="CN135" s="18">
        <v>0</v>
      </c>
      <c r="CO135" s="18">
        <v>2.8708133971291865</v>
      </c>
      <c r="CP135" s="18">
        <v>2.8708133971291865</v>
      </c>
      <c r="CQ135" s="18">
        <v>3.8277511961722488</v>
      </c>
      <c r="CR135" s="18">
        <f t="shared" si="30"/>
        <v>3.7166666666666668</v>
      </c>
      <c r="CS135" s="18">
        <f t="shared" si="31"/>
        <v>2.23</v>
      </c>
      <c r="CT135">
        <v>3.3816425120772902</v>
      </c>
      <c r="CU135">
        <v>84.057971014492793</v>
      </c>
      <c r="CV135">
        <v>12.56038647343</v>
      </c>
      <c r="CW135">
        <v>0</v>
      </c>
      <c r="CX135">
        <v>0</v>
      </c>
      <c r="CY135">
        <v>3.3816425120772902</v>
      </c>
      <c r="CZ135">
        <v>84.057971014492793</v>
      </c>
      <c r="DA135">
        <v>12.56038647343</v>
      </c>
      <c r="DB135">
        <v>0</v>
      </c>
      <c r="DC135">
        <v>0</v>
      </c>
      <c r="DD135">
        <v>0.96618357487922701</v>
      </c>
      <c r="DE135">
        <v>86.473429951690804</v>
      </c>
      <c r="DF135">
        <v>12.56038647343</v>
      </c>
      <c r="DG135">
        <v>0</v>
      </c>
      <c r="DH135">
        <v>0</v>
      </c>
      <c r="DI135">
        <v>0.96618357487922701</v>
      </c>
      <c r="DJ135">
        <v>86.473429951690804</v>
      </c>
      <c r="DK135">
        <v>12.56038647343</v>
      </c>
      <c r="DL135">
        <v>0</v>
      </c>
      <c r="DM135">
        <v>0</v>
      </c>
      <c r="DN135">
        <v>0.96618357487922701</v>
      </c>
      <c r="DO135">
        <v>86.473429951690804</v>
      </c>
      <c r="DP135">
        <v>12.56038647343</v>
      </c>
      <c r="DQ135">
        <v>0</v>
      </c>
      <c r="DR135">
        <v>0</v>
      </c>
      <c r="DS135" t="s">
        <v>312</v>
      </c>
      <c r="DT135" t="s">
        <v>313</v>
      </c>
      <c r="DU135">
        <v>243</v>
      </c>
      <c r="DV135" t="s">
        <v>547</v>
      </c>
      <c r="DW135" t="s">
        <v>548</v>
      </c>
      <c r="DX135">
        <v>86</v>
      </c>
      <c r="DY135">
        <v>130</v>
      </c>
      <c r="DZ135">
        <v>216</v>
      </c>
      <c r="EA135">
        <v>606779</v>
      </c>
      <c r="EB135">
        <v>388178</v>
      </c>
      <c r="EC135">
        <v>994957</v>
      </c>
      <c r="ED135" t="s">
        <v>274</v>
      </c>
      <c r="EE135" t="s">
        <v>274</v>
      </c>
      <c r="EF135" t="s">
        <v>274</v>
      </c>
      <c r="EG135" t="s">
        <v>274</v>
      </c>
    </row>
    <row r="136" spans="1:137" ht="14.55" customHeight="1" x14ac:dyDescent="0.3">
      <c r="A136" t="s">
        <v>555</v>
      </c>
      <c r="B136">
        <v>5702</v>
      </c>
      <c r="C136" t="s">
        <v>556</v>
      </c>
      <c r="D136" t="s">
        <v>543</v>
      </c>
      <c r="E136" t="s">
        <v>544</v>
      </c>
      <c r="F136" t="s">
        <v>270</v>
      </c>
      <c r="G136" t="s">
        <v>545</v>
      </c>
      <c r="H136" s="3">
        <v>51899012.7619</v>
      </c>
      <c r="I136">
        <v>5187</v>
      </c>
      <c r="J136" s="3">
        <v>5189.9012761900003</v>
      </c>
      <c r="K136">
        <v>553</v>
      </c>
      <c r="L136">
        <v>1578</v>
      </c>
      <c r="M136">
        <v>1249.3786218095099</v>
      </c>
      <c r="N136">
        <v>241.51462580507999</v>
      </c>
      <c r="O136">
        <v>0</v>
      </c>
      <c r="P136">
        <v>50.826824188232401</v>
      </c>
      <c r="Q136">
        <v>10.827527999877899</v>
      </c>
      <c r="R136">
        <v>6.3373484611511204</v>
      </c>
      <c r="S136" t="s">
        <v>546</v>
      </c>
      <c r="T136" t="s">
        <v>555</v>
      </c>
      <c r="U136" t="s">
        <v>557</v>
      </c>
      <c r="V136" t="s">
        <v>557</v>
      </c>
      <c r="W136" s="3">
        <v>2807</v>
      </c>
      <c r="X136" s="3">
        <v>51900000</v>
      </c>
      <c r="Y136">
        <v>3</v>
      </c>
      <c r="Z136" s="3">
        <v>923</v>
      </c>
      <c r="AA136" s="3">
        <v>1346</v>
      </c>
      <c r="AB136" s="3">
        <v>1804</v>
      </c>
      <c r="AC136" s="3">
        <v>2126</v>
      </c>
      <c r="AD136" s="3">
        <v>2111</v>
      </c>
      <c r="AE136" s="3">
        <v>2180</v>
      </c>
      <c r="AF136" s="3">
        <v>2245</v>
      </c>
      <c r="AG136" s="3">
        <v>2275</v>
      </c>
      <c r="AH136" s="3">
        <v>2348</v>
      </c>
      <c r="AI136" s="3">
        <v>2392</v>
      </c>
      <c r="AJ136" s="3">
        <v>2443</v>
      </c>
      <c r="AK136" s="3">
        <v>2493</v>
      </c>
      <c r="AL136" s="3">
        <v>2571</v>
      </c>
      <c r="AM136" s="3">
        <v>2629</v>
      </c>
      <c r="AN136" s="3">
        <v>2656</v>
      </c>
      <c r="AO136" s="3">
        <v>2698</v>
      </c>
      <c r="AP136" s="3">
        <v>2807</v>
      </c>
      <c r="AQ136" s="3">
        <v>2916</v>
      </c>
      <c r="AR136" s="4">
        <v>54.084778420038539</v>
      </c>
      <c r="AS136" s="5">
        <f t="shared" si="22"/>
        <v>5.7286023835319613</v>
      </c>
      <c r="AT136" s="5">
        <f t="shared" si="23"/>
        <v>3.7807495459798584</v>
      </c>
      <c r="AU136" s="5">
        <f t="shared" si="24"/>
        <v>2.4445676274944566</v>
      </c>
      <c r="AV136" s="5">
        <f t="shared" si="25"/>
        <v>2.5033407572383077</v>
      </c>
      <c r="AW136" s="5">
        <f t="shared" si="26"/>
        <v>5.614683576572558</v>
      </c>
      <c r="AX136" s="5">
        <f t="shared" si="27"/>
        <v>2.7799334811529937</v>
      </c>
      <c r="AY136" s="5">
        <f t="shared" si="28"/>
        <v>5.5166759392111508</v>
      </c>
      <c r="AZ136">
        <f t="shared" si="29"/>
        <v>51920000</v>
      </c>
      <c r="BA136">
        <v>0</v>
      </c>
      <c r="BB136">
        <v>1420000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1550000</v>
      </c>
      <c r="BK136">
        <v>0</v>
      </c>
      <c r="BL136">
        <v>0</v>
      </c>
      <c r="BM136">
        <v>2440000</v>
      </c>
      <c r="BN136">
        <v>640000</v>
      </c>
      <c r="BO136">
        <v>760000</v>
      </c>
      <c r="BP136">
        <v>1110000</v>
      </c>
      <c r="BQ136">
        <v>26940000</v>
      </c>
      <c r="BR136">
        <v>9500000</v>
      </c>
      <c r="BS136">
        <v>7300000</v>
      </c>
      <c r="BT136">
        <v>0</v>
      </c>
      <c r="BU136">
        <v>260000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129</v>
      </c>
      <c r="CC136">
        <v>154</v>
      </c>
      <c r="CD136">
        <v>164</v>
      </c>
      <c r="CE136">
        <v>175</v>
      </c>
      <c r="CF136" s="17">
        <v>2.4865073245952196</v>
      </c>
      <c r="CG136" s="17">
        <v>2.9683885890516577</v>
      </c>
      <c r="CH136" s="17">
        <v>3.1611410948342327</v>
      </c>
      <c r="CI136" s="17">
        <v>3.3731688511950657</v>
      </c>
      <c r="CJ136" s="18">
        <v>1</v>
      </c>
      <c r="CK136" s="18">
        <v>1.193798449612403</v>
      </c>
      <c r="CL136" s="18">
        <v>1.2713178294573644</v>
      </c>
      <c r="CM136" s="18">
        <v>1.3565891472868217</v>
      </c>
      <c r="CN136" s="18">
        <v>0</v>
      </c>
      <c r="CO136" s="18">
        <v>0.48188126445643797</v>
      </c>
      <c r="CP136" s="18">
        <v>0.67463377023901316</v>
      </c>
      <c r="CQ136" s="18">
        <v>0.88666152659984576</v>
      </c>
      <c r="CR136" s="18">
        <f t="shared" si="30"/>
        <v>2.8483206933911158</v>
      </c>
      <c r="CS136" s="18">
        <f t="shared" si="31"/>
        <v>2.099619253985451</v>
      </c>
      <c r="CT136">
        <v>1.57935285053929</v>
      </c>
      <c r="CU136">
        <v>5.7395993836671808</v>
      </c>
      <c r="CV136">
        <v>92.681047765793494</v>
      </c>
      <c r="CW136">
        <v>0</v>
      </c>
      <c r="CX136">
        <v>0</v>
      </c>
      <c r="CY136">
        <v>2.6001540832049299</v>
      </c>
      <c r="CZ136">
        <v>8.6864406779661003</v>
      </c>
      <c r="DA136">
        <v>88.713405238828997</v>
      </c>
      <c r="DB136">
        <v>0</v>
      </c>
      <c r="DC136">
        <v>0</v>
      </c>
      <c r="DD136">
        <v>2.6001540832049299</v>
      </c>
      <c r="DE136">
        <v>20.685670261941478</v>
      </c>
      <c r="DF136">
        <v>76.714175654853591</v>
      </c>
      <c r="DG136">
        <v>0</v>
      </c>
      <c r="DH136">
        <v>0</v>
      </c>
      <c r="DI136">
        <v>2.7349768875192599</v>
      </c>
      <c r="DJ136">
        <v>10.381355932203391</v>
      </c>
      <c r="DK136">
        <v>86.8836671802773</v>
      </c>
      <c r="DL136">
        <v>0</v>
      </c>
      <c r="DM136">
        <v>0</v>
      </c>
      <c r="DN136">
        <v>2.7349768875192599</v>
      </c>
      <c r="DO136">
        <v>10.381355932203391</v>
      </c>
      <c r="DP136">
        <v>86.8836671802773</v>
      </c>
      <c r="DQ136">
        <v>0</v>
      </c>
      <c r="DR136">
        <v>0</v>
      </c>
      <c r="DS136" t="s">
        <v>312</v>
      </c>
      <c r="DT136" t="s">
        <v>313</v>
      </c>
      <c r="DU136">
        <v>2960</v>
      </c>
      <c r="DV136" t="s">
        <v>547</v>
      </c>
      <c r="DW136" t="s">
        <v>548</v>
      </c>
      <c r="DX136">
        <v>86</v>
      </c>
      <c r="DY136">
        <v>130</v>
      </c>
      <c r="DZ136">
        <v>216</v>
      </c>
      <c r="EA136">
        <v>606779</v>
      </c>
      <c r="EB136">
        <v>388178</v>
      </c>
      <c r="EC136">
        <v>994957</v>
      </c>
      <c r="ED136" t="s">
        <v>274</v>
      </c>
      <c r="EE136" t="s">
        <v>274</v>
      </c>
      <c r="EF136" t="s">
        <v>274</v>
      </c>
      <c r="EG136" t="s">
        <v>274</v>
      </c>
    </row>
    <row r="137" spans="1:137" ht="14.55" customHeight="1" x14ac:dyDescent="0.3">
      <c r="A137" t="s">
        <v>558</v>
      </c>
      <c r="B137">
        <v>5703</v>
      </c>
      <c r="C137" t="s">
        <v>559</v>
      </c>
      <c r="D137" t="s">
        <v>543</v>
      </c>
      <c r="E137" t="s">
        <v>544</v>
      </c>
      <c r="F137" t="s">
        <v>270</v>
      </c>
      <c r="G137" t="s">
        <v>545</v>
      </c>
      <c r="H137" s="3">
        <v>20772481.523800001</v>
      </c>
      <c r="I137">
        <v>2077</v>
      </c>
      <c r="J137" s="3">
        <v>2077.2481523899996</v>
      </c>
      <c r="K137">
        <v>529</v>
      </c>
      <c r="L137">
        <v>1442</v>
      </c>
      <c r="M137">
        <v>1117.4162042175401</v>
      </c>
      <c r="N137">
        <v>239.367618603447</v>
      </c>
      <c r="O137">
        <v>0</v>
      </c>
      <c r="P137">
        <v>45.973133087158203</v>
      </c>
      <c r="Q137">
        <v>9.6487512588500994</v>
      </c>
      <c r="R137">
        <v>6.1522531509399396</v>
      </c>
      <c r="S137" t="s">
        <v>546</v>
      </c>
      <c r="T137" t="s">
        <v>558</v>
      </c>
      <c r="U137" t="s">
        <v>559</v>
      </c>
      <c r="V137" t="s">
        <v>559</v>
      </c>
      <c r="W137" s="3">
        <v>1386</v>
      </c>
      <c r="X137" s="3">
        <v>20770000</v>
      </c>
      <c r="Y137">
        <v>3</v>
      </c>
      <c r="Z137" s="3">
        <v>473</v>
      </c>
      <c r="AA137" s="3">
        <v>693</v>
      </c>
      <c r="AB137" s="3">
        <v>786</v>
      </c>
      <c r="AC137" s="3">
        <v>1064</v>
      </c>
      <c r="AD137" s="3">
        <v>1113</v>
      </c>
      <c r="AE137" s="3">
        <v>1122</v>
      </c>
      <c r="AF137" s="3">
        <v>1124</v>
      </c>
      <c r="AG137" s="3">
        <v>1137</v>
      </c>
      <c r="AH137" s="3">
        <v>1211</v>
      </c>
      <c r="AI137" s="3">
        <v>1256</v>
      </c>
      <c r="AJ137" s="3">
        <v>1303</v>
      </c>
      <c r="AK137" s="3">
        <v>1324</v>
      </c>
      <c r="AL137" s="3">
        <v>1323</v>
      </c>
      <c r="AM137" s="3">
        <v>1317</v>
      </c>
      <c r="AN137" s="3">
        <v>1351</v>
      </c>
      <c r="AO137" s="3">
        <v>1344</v>
      </c>
      <c r="AP137" s="3">
        <v>1386</v>
      </c>
      <c r="AQ137" s="3">
        <v>1464</v>
      </c>
      <c r="AR137" s="4">
        <v>66.730861819932599</v>
      </c>
      <c r="AS137" s="5">
        <f t="shared" si="22"/>
        <v>5.8139534883720927</v>
      </c>
      <c r="AT137" s="5">
        <f t="shared" si="23"/>
        <v>1.491101491101491</v>
      </c>
      <c r="AU137" s="5">
        <f t="shared" si="24"/>
        <v>4.3002544529262092</v>
      </c>
      <c r="AV137" s="5">
        <f t="shared" si="25"/>
        <v>2.3309608540925266</v>
      </c>
      <c r="AW137" s="5">
        <f t="shared" si="26"/>
        <v>3.8925506777763963</v>
      </c>
      <c r="AX137" s="5">
        <f t="shared" si="27"/>
        <v>3.8167938931297711</v>
      </c>
      <c r="AY137" s="5">
        <f t="shared" si="28"/>
        <v>5.2168447517284733</v>
      </c>
      <c r="AZ137">
        <f t="shared" si="29"/>
        <v>20760000</v>
      </c>
      <c r="BA137">
        <v>0</v>
      </c>
      <c r="BB137">
        <v>610000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2190000</v>
      </c>
      <c r="BK137">
        <v>0</v>
      </c>
      <c r="BL137">
        <v>0</v>
      </c>
      <c r="BM137">
        <v>430000</v>
      </c>
      <c r="BN137">
        <v>250000</v>
      </c>
      <c r="BO137">
        <v>0</v>
      </c>
      <c r="BP137">
        <v>460000</v>
      </c>
      <c r="BQ137">
        <v>7800000</v>
      </c>
      <c r="BR137">
        <v>4480000</v>
      </c>
      <c r="BS137">
        <v>3620000</v>
      </c>
      <c r="BT137">
        <v>0</v>
      </c>
      <c r="BU137">
        <v>920000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56</v>
      </c>
      <c r="CC137">
        <v>65</v>
      </c>
      <c r="CD137">
        <v>72</v>
      </c>
      <c r="CE137">
        <v>88</v>
      </c>
      <c r="CF137" s="17">
        <v>2.6897214217098941</v>
      </c>
      <c r="CG137" s="17">
        <v>3.1219980787704129</v>
      </c>
      <c r="CH137" s="17">
        <v>3.4582132564841501</v>
      </c>
      <c r="CI137" s="17">
        <v>4.2267050912584052</v>
      </c>
      <c r="CJ137" s="18">
        <v>1</v>
      </c>
      <c r="CK137" s="18">
        <v>1.1607142857142858</v>
      </c>
      <c r="CL137" s="18">
        <v>1.2857142857142858</v>
      </c>
      <c r="CM137" s="18">
        <v>1.5714285714285714</v>
      </c>
      <c r="CN137" s="18">
        <v>0</v>
      </c>
      <c r="CO137" s="18">
        <v>0.43227665706051877</v>
      </c>
      <c r="CP137" s="18">
        <v>0.76849183477425553</v>
      </c>
      <c r="CQ137" s="18">
        <v>1.5369836695485111</v>
      </c>
      <c r="CR137" s="18">
        <f t="shared" si="30"/>
        <v>2.7843551797040167</v>
      </c>
      <c r="CS137" s="18">
        <f t="shared" si="31"/>
        <v>1.7718623870843744</v>
      </c>
      <c r="CT137">
        <v>1.4932562620423888</v>
      </c>
      <c r="CU137">
        <v>13.631984585741812</v>
      </c>
      <c r="CV137">
        <v>84.874759152215802</v>
      </c>
      <c r="CW137">
        <v>0</v>
      </c>
      <c r="CX137">
        <v>0</v>
      </c>
      <c r="CY137">
        <v>2.6011560693641602</v>
      </c>
      <c r="CZ137">
        <v>18.4489402697495</v>
      </c>
      <c r="DA137">
        <v>78.949903660886406</v>
      </c>
      <c r="DB137">
        <v>0</v>
      </c>
      <c r="DC137">
        <v>0</v>
      </c>
      <c r="DD137">
        <v>2.6011560693641602</v>
      </c>
      <c r="DE137">
        <v>31.695568400770696</v>
      </c>
      <c r="DF137">
        <v>65.703275529865167</v>
      </c>
      <c r="DG137">
        <v>0</v>
      </c>
      <c r="DH137">
        <v>0</v>
      </c>
      <c r="DI137">
        <v>2.9383429672446999</v>
      </c>
      <c r="DJ137">
        <v>13.82466281310214</v>
      </c>
      <c r="DK137">
        <v>83.236994219653198</v>
      </c>
      <c r="DL137">
        <v>0</v>
      </c>
      <c r="DM137">
        <v>0</v>
      </c>
      <c r="DN137">
        <v>2.9383429672446999</v>
      </c>
      <c r="DO137">
        <v>13.82466281310214</v>
      </c>
      <c r="DP137">
        <v>83.236994219653198</v>
      </c>
      <c r="DQ137">
        <v>0</v>
      </c>
      <c r="DR137">
        <v>0</v>
      </c>
      <c r="DS137" t="s">
        <v>312</v>
      </c>
      <c r="DT137" t="s">
        <v>313</v>
      </c>
      <c r="DU137">
        <v>1486</v>
      </c>
      <c r="DV137" t="s">
        <v>547</v>
      </c>
      <c r="DW137" t="s">
        <v>548</v>
      </c>
      <c r="DX137">
        <v>86</v>
      </c>
      <c r="DY137">
        <v>130</v>
      </c>
      <c r="DZ137">
        <v>216</v>
      </c>
      <c r="EA137">
        <v>606779</v>
      </c>
      <c r="EB137">
        <v>388178</v>
      </c>
      <c r="EC137">
        <v>994957</v>
      </c>
      <c r="ED137" t="s">
        <v>274</v>
      </c>
      <c r="EE137" t="s">
        <v>274</v>
      </c>
      <c r="EF137" t="s">
        <v>274</v>
      </c>
      <c r="EG137" t="s">
        <v>274</v>
      </c>
    </row>
    <row r="138" spans="1:137" ht="14.55" customHeight="1" x14ac:dyDescent="0.3">
      <c r="A138" t="s">
        <v>560</v>
      </c>
      <c r="B138">
        <v>5704</v>
      </c>
      <c r="C138" t="s">
        <v>561</v>
      </c>
      <c r="D138" t="s">
        <v>543</v>
      </c>
      <c r="E138" t="s">
        <v>544</v>
      </c>
      <c r="F138" t="s">
        <v>270</v>
      </c>
      <c r="G138" t="s">
        <v>545</v>
      </c>
      <c r="H138" s="3">
        <v>4786079.3720000004</v>
      </c>
      <c r="I138">
        <v>479</v>
      </c>
      <c r="J138" s="3">
        <v>478.60793720000004</v>
      </c>
      <c r="K138">
        <v>440</v>
      </c>
      <c r="L138">
        <v>723</v>
      </c>
      <c r="M138">
        <v>595.26339716214397</v>
      </c>
      <c r="N138">
        <v>80.9391870622037</v>
      </c>
      <c r="O138">
        <v>0</v>
      </c>
      <c r="P138">
        <v>28.7607307434082</v>
      </c>
      <c r="Q138">
        <v>7.5099844932556197</v>
      </c>
      <c r="R138">
        <v>4.8672943115234402</v>
      </c>
      <c r="S138" t="s">
        <v>546</v>
      </c>
      <c r="T138" t="s">
        <v>560</v>
      </c>
      <c r="U138" t="s">
        <v>561</v>
      </c>
      <c r="V138" t="s">
        <v>561</v>
      </c>
      <c r="W138" s="3">
        <v>1931</v>
      </c>
      <c r="X138" s="3">
        <v>4790000</v>
      </c>
      <c r="Y138">
        <v>2</v>
      </c>
      <c r="Z138" s="3">
        <v>1024</v>
      </c>
      <c r="AA138" s="3">
        <v>1225</v>
      </c>
      <c r="AB138" s="3">
        <v>1307</v>
      </c>
      <c r="AC138" s="3">
        <v>1372</v>
      </c>
      <c r="AD138" s="3">
        <v>1513</v>
      </c>
      <c r="AE138" s="3">
        <v>1608</v>
      </c>
      <c r="AF138" s="3">
        <v>1662</v>
      </c>
      <c r="AG138" s="3">
        <v>1660</v>
      </c>
      <c r="AH138" s="3">
        <v>1661</v>
      </c>
      <c r="AI138" s="3">
        <v>1617</v>
      </c>
      <c r="AJ138" s="3">
        <v>1657</v>
      </c>
      <c r="AK138" s="3">
        <v>1720</v>
      </c>
      <c r="AL138" s="3">
        <v>1824</v>
      </c>
      <c r="AM138" s="3">
        <v>1884</v>
      </c>
      <c r="AN138" s="3">
        <v>1910</v>
      </c>
      <c r="AO138" s="3">
        <v>1952</v>
      </c>
      <c r="AP138" s="3">
        <v>1931</v>
      </c>
      <c r="AQ138" s="3">
        <v>1928</v>
      </c>
      <c r="AR138" s="4">
        <v>403.13152400835071</v>
      </c>
      <c r="AS138" s="5">
        <f t="shared" si="22"/>
        <v>2.45361328125</v>
      </c>
      <c r="AT138" s="5">
        <f t="shared" si="23"/>
        <v>0.74376417233560088</v>
      </c>
      <c r="AU138" s="5">
        <f t="shared" si="24"/>
        <v>2.7161438408569243</v>
      </c>
      <c r="AV138" s="5">
        <f t="shared" si="25"/>
        <v>1.6185318892900118</v>
      </c>
      <c r="AW138" s="5">
        <f t="shared" si="26"/>
        <v>1.6256893382352942</v>
      </c>
      <c r="AX138" s="5">
        <f t="shared" si="27"/>
        <v>2.3871461361897475</v>
      </c>
      <c r="AY138" s="5">
        <f t="shared" si="28"/>
        <v>2.3938978040540539</v>
      </c>
      <c r="AZ138">
        <f t="shared" si="29"/>
        <v>4790000</v>
      </c>
      <c r="BA138">
        <v>0</v>
      </c>
      <c r="BB138">
        <v>560000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2130000</v>
      </c>
      <c r="BK138">
        <v>1280000</v>
      </c>
      <c r="BL138">
        <v>130000</v>
      </c>
      <c r="BM138">
        <v>0</v>
      </c>
      <c r="BN138">
        <v>0</v>
      </c>
      <c r="BO138">
        <v>0</v>
      </c>
      <c r="BP138">
        <v>690000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57</v>
      </c>
      <c r="CC138">
        <v>65</v>
      </c>
      <c r="CD138">
        <v>67</v>
      </c>
      <c r="CE138">
        <v>71</v>
      </c>
      <c r="CF138" s="17">
        <v>11.875</v>
      </c>
      <c r="CG138" s="17">
        <v>13.541666666666666</v>
      </c>
      <c r="CH138" s="17">
        <v>13.958333333333334</v>
      </c>
      <c r="CI138" s="17">
        <v>14.791666666666666</v>
      </c>
      <c r="CJ138" s="18">
        <v>1</v>
      </c>
      <c r="CK138" s="18">
        <v>1.1403508771929824</v>
      </c>
      <c r="CL138" s="18">
        <v>1.1754385964912282</v>
      </c>
      <c r="CM138" s="18">
        <v>1.2456140350877194</v>
      </c>
      <c r="CN138" s="18">
        <v>0</v>
      </c>
      <c r="CO138" s="18">
        <v>1.6666666666666667</v>
      </c>
      <c r="CP138" s="18">
        <v>2.083333333333333</v>
      </c>
      <c r="CQ138" s="18">
        <v>2.9166666666666665</v>
      </c>
      <c r="CR138" s="18">
        <f t="shared" si="30"/>
        <v>1.83984375</v>
      </c>
      <c r="CS138" s="18">
        <f t="shared" si="31"/>
        <v>1.477057658450704</v>
      </c>
      <c r="CT138">
        <v>9.3945720250521898</v>
      </c>
      <c r="CU138">
        <v>73.068893528183779</v>
      </c>
      <c r="CV138">
        <v>17.536534446764101</v>
      </c>
      <c r="CW138">
        <v>0</v>
      </c>
      <c r="CX138">
        <v>0</v>
      </c>
      <c r="CY138">
        <v>12.526096033402901</v>
      </c>
      <c r="CZ138">
        <v>73.068893528183708</v>
      </c>
      <c r="DA138">
        <v>14.405010438413401</v>
      </c>
      <c r="DB138">
        <v>0</v>
      </c>
      <c r="DC138">
        <v>0</v>
      </c>
      <c r="DD138">
        <v>12.526096033402901</v>
      </c>
      <c r="DE138">
        <v>73.068893528183693</v>
      </c>
      <c r="DF138">
        <v>14.405010438413401</v>
      </c>
      <c r="DG138">
        <v>0</v>
      </c>
      <c r="DH138">
        <v>0</v>
      </c>
      <c r="DI138">
        <v>11.691022964509401</v>
      </c>
      <c r="DJ138">
        <v>73.9039665970773</v>
      </c>
      <c r="DK138">
        <v>14.405010438413401</v>
      </c>
      <c r="DL138">
        <v>0</v>
      </c>
      <c r="DM138">
        <v>0</v>
      </c>
      <c r="DN138">
        <v>11.691022964509401</v>
      </c>
      <c r="DO138">
        <v>73.9039665970773</v>
      </c>
      <c r="DP138">
        <v>14.405010438413401</v>
      </c>
      <c r="DQ138">
        <v>0</v>
      </c>
      <c r="DR138">
        <v>0</v>
      </c>
      <c r="DS138" t="s">
        <v>312</v>
      </c>
      <c r="DT138" t="s">
        <v>313</v>
      </c>
      <c r="DU138">
        <v>1941</v>
      </c>
      <c r="DV138" t="s">
        <v>547</v>
      </c>
      <c r="DW138" t="s">
        <v>548</v>
      </c>
      <c r="DX138">
        <v>86</v>
      </c>
      <c r="DY138">
        <v>130</v>
      </c>
      <c r="DZ138">
        <v>216</v>
      </c>
      <c r="EA138">
        <v>606779</v>
      </c>
      <c r="EB138">
        <v>388178</v>
      </c>
      <c r="EC138">
        <v>994957</v>
      </c>
      <c r="ED138" t="s">
        <v>274</v>
      </c>
      <c r="EE138" t="s">
        <v>274</v>
      </c>
      <c r="EF138" t="s">
        <v>274</v>
      </c>
      <c r="EG138" t="s">
        <v>274</v>
      </c>
    </row>
    <row r="139" spans="1:137" ht="14.55" customHeight="1" x14ac:dyDescent="0.3">
      <c r="A139" t="s">
        <v>562</v>
      </c>
      <c r="B139">
        <v>5705</v>
      </c>
      <c r="C139" t="s">
        <v>563</v>
      </c>
      <c r="D139" t="s">
        <v>543</v>
      </c>
      <c r="E139" t="s">
        <v>544</v>
      </c>
      <c r="F139" t="s">
        <v>270</v>
      </c>
      <c r="G139" t="s">
        <v>545</v>
      </c>
      <c r="H139" s="3">
        <v>2454094.8212000001</v>
      </c>
      <c r="I139">
        <v>244</v>
      </c>
      <c r="J139" s="3">
        <v>245.40950114699999</v>
      </c>
      <c r="K139">
        <v>404</v>
      </c>
      <c r="L139">
        <v>493</v>
      </c>
      <c r="M139">
        <v>462.67956989247301</v>
      </c>
      <c r="N139">
        <v>16.716436822183798</v>
      </c>
      <c r="O139">
        <v>0</v>
      </c>
      <c r="P139">
        <v>16.493879318237301</v>
      </c>
      <c r="Q139">
        <v>4.2798128128051802</v>
      </c>
      <c r="R139">
        <v>2.57862329483032</v>
      </c>
      <c r="S139" t="s">
        <v>546</v>
      </c>
      <c r="T139" t="s">
        <v>562</v>
      </c>
      <c r="U139" t="s">
        <v>563</v>
      </c>
      <c r="V139" t="s">
        <v>563</v>
      </c>
      <c r="W139" s="3">
        <v>843</v>
      </c>
      <c r="X139" s="3">
        <v>2450000</v>
      </c>
      <c r="Y139">
        <v>2</v>
      </c>
      <c r="Z139" s="3">
        <v>359</v>
      </c>
      <c r="AA139" s="3">
        <v>722</v>
      </c>
      <c r="AB139" s="3">
        <v>854</v>
      </c>
      <c r="AC139" s="3">
        <v>856</v>
      </c>
      <c r="AD139" s="3">
        <v>894</v>
      </c>
      <c r="AE139" s="3">
        <v>937</v>
      </c>
      <c r="AF139" s="3">
        <v>932</v>
      </c>
      <c r="AG139" s="3">
        <v>947</v>
      </c>
      <c r="AH139" s="3">
        <v>912</v>
      </c>
      <c r="AI139" s="3">
        <v>875</v>
      </c>
      <c r="AJ139" s="3">
        <v>884</v>
      </c>
      <c r="AK139" s="3">
        <v>881</v>
      </c>
      <c r="AL139" s="3">
        <v>905</v>
      </c>
      <c r="AM139" s="3">
        <v>900</v>
      </c>
      <c r="AN139" s="3">
        <v>910</v>
      </c>
      <c r="AO139" s="3">
        <v>888</v>
      </c>
      <c r="AP139" s="3">
        <v>843</v>
      </c>
      <c r="AQ139" s="3">
        <v>847</v>
      </c>
      <c r="AR139" s="4">
        <v>344.08163265306121</v>
      </c>
      <c r="AS139" s="5">
        <f t="shared" si="22"/>
        <v>12.639275766016715</v>
      </c>
      <c r="AT139" s="5">
        <f t="shared" si="23"/>
        <v>2.0313942751615883</v>
      </c>
      <c r="AU139" s="5">
        <f t="shared" si="24"/>
        <v>0.9133489461358314</v>
      </c>
      <c r="AV139" s="5">
        <f t="shared" si="25"/>
        <v>-0.95493562231759654</v>
      </c>
      <c r="AW139" s="5">
        <f t="shared" si="26"/>
        <v>8.1107651974438806</v>
      </c>
      <c r="AX139" s="5">
        <f t="shared" si="27"/>
        <v>-6.4402810304449651E-2</v>
      </c>
      <c r="AY139" s="5">
        <f t="shared" si="28"/>
        <v>3.6437551757886024</v>
      </c>
      <c r="AZ139">
        <f t="shared" si="29"/>
        <v>2440000</v>
      </c>
      <c r="BA139">
        <v>0</v>
      </c>
      <c r="BB139">
        <v>260000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1060000</v>
      </c>
      <c r="BK139">
        <v>0</v>
      </c>
      <c r="BL139">
        <v>0</v>
      </c>
      <c r="BM139">
        <v>0</v>
      </c>
      <c r="BN139">
        <v>0</v>
      </c>
      <c r="BO139">
        <v>390000</v>
      </c>
      <c r="BP139">
        <v>720000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10000</v>
      </c>
      <c r="BZ139">
        <v>0</v>
      </c>
      <c r="CA139">
        <v>0</v>
      </c>
      <c r="CB139">
        <v>24</v>
      </c>
      <c r="CC139">
        <v>32</v>
      </c>
      <c r="CD139">
        <v>34</v>
      </c>
      <c r="CE139">
        <v>34</v>
      </c>
      <c r="CF139" s="17">
        <v>9.8765432098765427</v>
      </c>
      <c r="CG139" s="17">
        <v>13.168724279835391</v>
      </c>
      <c r="CH139" s="17">
        <v>13.991769547325102</v>
      </c>
      <c r="CI139" s="17">
        <v>13.991769547325102</v>
      </c>
      <c r="CJ139" s="18">
        <v>1</v>
      </c>
      <c r="CK139" s="18">
        <v>1.3333333333333333</v>
      </c>
      <c r="CL139" s="18">
        <v>1.4166666666666667</v>
      </c>
      <c r="CM139" s="18">
        <v>1.4166666666666667</v>
      </c>
      <c r="CN139" s="18">
        <v>0</v>
      </c>
      <c r="CO139" s="18">
        <v>3.2921810699588478</v>
      </c>
      <c r="CP139" s="18">
        <v>4.1152263374485596</v>
      </c>
      <c r="CQ139" s="18">
        <v>4.1152263374485596</v>
      </c>
      <c r="CR139" s="18">
        <f t="shared" si="30"/>
        <v>2.5069637883008355</v>
      </c>
      <c r="CS139" s="18">
        <f t="shared" si="31"/>
        <v>1.7696214976241191</v>
      </c>
      <c r="CT139">
        <v>8.1967213114754092</v>
      </c>
      <c r="CU139">
        <v>77.049180327868797</v>
      </c>
      <c r="CV139">
        <v>14.7540983606557</v>
      </c>
      <c r="CW139">
        <v>0</v>
      </c>
      <c r="CX139">
        <v>0</v>
      </c>
      <c r="CY139">
        <v>8.1967213114754092</v>
      </c>
      <c r="CZ139">
        <v>77.049180327868797</v>
      </c>
      <c r="DA139">
        <v>14.7540983606557</v>
      </c>
      <c r="DB139">
        <v>0</v>
      </c>
      <c r="DC139">
        <v>0</v>
      </c>
      <c r="DD139">
        <v>10.655737704918</v>
      </c>
      <c r="DE139">
        <v>61.065573770491802</v>
      </c>
      <c r="DF139">
        <v>28.278688524590201</v>
      </c>
      <c r="DG139">
        <v>0</v>
      </c>
      <c r="DH139">
        <v>0</v>
      </c>
      <c r="DI139">
        <v>10.655737704918</v>
      </c>
      <c r="DJ139">
        <v>59.426229508196798</v>
      </c>
      <c r="DK139">
        <v>29.508196721311499</v>
      </c>
      <c r="DL139">
        <v>0.409836065573771</v>
      </c>
      <c r="DM139">
        <v>0</v>
      </c>
      <c r="DN139">
        <v>10.655737704918</v>
      </c>
      <c r="DO139">
        <v>59.426229508196798</v>
      </c>
      <c r="DP139">
        <v>29.508196721311499</v>
      </c>
      <c r="DQ139">
        <v>0.409836065573771</v>
      </c>
      <c r="DR139">
        <v>0</v>
      </c>
      <c r="DS139" t="s">
        <v>564</v>
      </c>
      <c r="DT139" t="s">
        <v>313</v>
      </c>
      <c r="DU139">
        <v>932</v>
      </c>
      <c r="DV139" t="s">
        <v>547</v>
      </c>
      <c r="DW139" t="s">
        <v>548</v>
      </c>
      <c r="DX139">
        <v>86</v>
      </c>
      <c r="DY139">
        <v>130</v>
      </c>
      <c r="DZ139">
        <v>216</v>
      </c>
      <c r="EA139">
        <v>606779</v>
      </c>
      <c r="EB139">
        <v>388178</v>
      </c>
      <c r="EC139">
        <v>994957</v>
      </c>
      <c r="ED139" t="s">
        <v>274</v>
      </c>
      <c r="EE139" t="s">
        <v>274</v>
      </c>
      <c r="EF139" t="s">
        <v>274</v>
      </c>
      <c r="EG139" t="s">
        <v>274</v>
      </c>
    </row>
    <row r="140" spans="1:137" ht="14.55" customHeight="1" x14ac:dyDescent="0.3">
      <c r="A140" t="s">
        <v>565</v>
      </c>
      <c r="B140">
        <v>5706</v>
      </c>
      <c r="C140" t="s">
        <v>566</v>
      </c>
      <c r="D140" t="s">
        <v>543</v>
      </c>
      <c r="E140" t="s">
        <v>544</v>
      </c>
      <c r="F140" t="s">
        <v>270</v>
      </c>
      <c r="G140" t="s">
        <v>545</v>
      </c>
      <c r="H140" s="3">
        <v>1985316.8490500001</v>
      </c>
      <c r="I140">
        <v>200</v>
      </c>
      <c r="J140" s="3">
        <v>198.53168490500002</v>
      </c>
      <c r="K140">
        <v>442</v>
      </c>
      <c r="L140">
        <v>508</v>
      </c>
      <c r="M140">
        <v>472.64276228419698</v>
      </c>
      <c r="N140">
        <v>16.571103309066199</v>
      </c>
      <c r="O140">
        <v>0</v>
      </c>
      <c r="P140">
        <v>13.409671783447299</v>
      </c>
      <c r="Q140">
        <v>3.4541890621185298</v>
      </c>
      <c r="R140">
        <v>2.0261259078979501</v>
      </c>
      <c r="S140" t="s">
        <v>546</v>
      </c>
      <c r="T140" t="s">
        <v>565</v>
      </c>
      <c r="U140" t="s">
        <v>566</v>
      </c>
      <c r="V140" t="s">
        <v>566</v>
      </c>
      <c r="W140" s="3">
        <v>1128</v>
      </c>
      <c r="X140" s="3">
        <v>1990000</v>
      </c>
      <c r="Y140">
        <v>2</v>
      </c>
      <c r="Z140" s="3">
        <v>574</v>
      </c>
      <c r="AA140" s="3">
        <v>759</v>
      </c>
      <c r="AB140" s="3">
        <v>882</v>
      </c>
      <c r="AC140" s="3">
        <v>894</v>
      </c>
      <c r="AD140" s="3">
        <v>884</v>
      </c>
      <c r="AE140" s="3">
        <v>904</v>
      </c>
      <c r="AF140" s="3">
        <v>857</v>
      </c>
      <c r="AG140" s="3">
        <v>873</v>
      </c>
      <c r="AH140" s="3">
        <v>893</v>
      </c>
      <c r="AI140" s="3">
        <v>879</v>
      </c>
      <c r="AJ140" s="3">
        <v>891</v>
      </c>
      <c r="AK140" s="3">
        <v>939</v>
      </c>
      <c r="AL140" s="3">
        <v>1075</v>
      </c>
      <c r="AM140" s="3">
        <v>1121</v>
      </c>
      <c r="AN140" s="3">
        <v>1129</v>
      </c>
      <c r="AO140" s="3">
        <v>1132</v>
      </c>
      <c r="AP140" s="3">
        <v>1128</v>
      </c>
      <c r="AQ140" s="3">
        <v>1153</v>
      </c>
      <c r="AR140" s="4">
        <v>566.83417085427141</v>
      </c>
      <c r="AS140" s="5">
        <f t="shared" si="22"/>
        <v>4.0287456445993035</v>
      </c>
      <c r="AT140" s="5">
        <f t="shared" si="23"/>
        <v>1.8006148440931051</v>
      </c>
      <c r="AU140" s="5">
        <f t="shared" si="24"/>
        <v>-0.28344671201814059</v>
      </c>
      <c r="AV140" s="5">
        <f t="shared" si="25"/>
        <v>3.1621936989498249</v>
      </c>
      <c r="AW140" s="5">
        <f t="shared" si="26"/>
        <v>3.1563845050215207</v>
      </c>
      <c r="AX140" s="5">
        <f t="shared" si="27"/>
        <v>1.3945578231292517</v>
      </c>
      <c r="AY140" s="5">
        <f t="shared" si="28"/>
        <v>2.6085318768245593</v>
      </c>
      <c r="AZ140">
        <f t="shared" si="29"/>
        <v>1980000</v>
      </c>
      <c r="BA140">
        <v>0</v>
      </c>
      <c r="BB140">
        <v>440000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1540000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28</v>
      </c>
      <c r="CC140">
        <v>36</v>
      </c>
      <c r="CD140">
        <v>43</v>
      </c>
      <c r="CE140">
        <v>44</v>
      </c>
      <c r="CF140" s="17">
        <v>14.285714285714285</v>
      </c>
      <c r="CG140" s="17">
        <v>18.367346938775512</v>
      </c>
      <c r="CH140" s="17">
        <v>21.938775510204081</v>
      </c>
      <c r="CI140" s="17">
        <v>22.448979591836736</v>
      </c>
      <c r="CJ140" s="18">
        <v>1</v>
      </c>
      <c r="CK140" s="18">
        <v>1.2857142857142858</v>
      </c>
      <c r="CL140" s="18">
        <v>1.5357142857142858</v>
      </c>
      <c r="CM140" s="18">
        <v>1.5714285714285714</v>
      </c>
      <c r="CN140" s="18">
        <v>0</v>
      </c>
      <c r="CO140" s="18">
        <v>4.0816326530612246</v>
      </c>
      <c r="CP140" s="18">
        <v>7.6530612244897958</v>
      </c>
      <c r="CQ140" s="18">
        <v>8.1632653061224492</v>
      </c>
      <c r="CR140" s="18">
        <f t="shared" si="30"/>
        <v>1.9529616724738676</v>
      </c>
      <c r="CS140" s="18">
        <f t="shared" si="31"/>
        <v>1.2427937915742795</v>
      </c>
      <c r="CT140">
        <v>31.313131313131301</v>
      </c>
      <c r="CU140">
        <v>68.686868686868706</v>
      </c>
      <c r="CV140">
        <v>0</v>
      </c>
      <c r="CW140">
        <v>0</v>
      </c>
      <c r="CX140">
        <v>0</v>
      </c>
      <c r="CY140">
        <v>31.313131313131301</v>
      </c>
      <c r="CZ140">
        <v>68.686868686868706</v>
      </c>
      <c r="DA140">
        <v>0</v>
      </c>
      <c r="DB140">
        <v>0</v>
      </c>
      <c r="DC140">
        <v>0</v>
      </c>
      <c r="DD140">
        <v>20.202020202020201</v>
      </c>
      <c r="DE140">
        <v>79.797979797979806</v>
      </c>
      <c r="DF140">
        <v>0</v>
      </c>
      <c r="DG140">
        <v>0</v>
      </c>
      <c r="DH140">
        <v>0</v>
      </c>
      <c r="DI140">
        <v>22.2222222222222</v>
      </c>
      <c r="DJ140">
        <v>77.7777777777778</v>
      </c>
      <c r="DK140">
        <v>0</v>
      </c>
      <c r="DL140">
        <v>0</v>
      </c>
      <c r="DM140">
        <v>0</v>
      </c>
      <c r="DN140">
        <v>22.2222222222222</v>
      </c>
      <c r="DO140">
        <v>77.7777777777778</v>
      </c>
      <c r="DP140">
        <v>0</v>
      </c>
      <c r="DQ140">
        <v>0</v>
      </c>
      <c r="DR140">
        <v>0</v>
      </c>
      <c r="DS140" t="s">
        <v>312</v>
      </c>
      <c r="DT140" t="s">
        <v>313</v>
      </c>
      <c r="DU140">
        <v>1139</v>
      </c>
      <c r="DV140" t="s">
        <v>547</v>
      </c>
      <c r="DW140" t="s">
        <v>548</v>
      </c>
      <c r="DX140">
        <v>86</v>
      </c>
      <c r="DY140">
        <v>130</v>
      </c>
      <c r="DZ140">
        <v>216</v>
      </c>
      <c r="EA140">
        <v>606779</v>
      </c>
      <c r="EB140">
        <v>388178</v>
      </c>
      <c r="EC140">
        <v>994957</v>
      </c>
      <c r="ED140" t="s">
        <v>274</v>
      </c>
      <c r="EE140" t="s">
        <v>274</v>
      </c>
      <c r="EF140" t="s">
        <v>274</v>
      </c>
      <c r="EG140" t="s">
        <v>274</v>
      </c>
    </row>
    <row r="141" spans="1:137" ht="14.55" customHeight="1" x14ac:dyDescent="0.3">
      <c r="A141" t="s">
        <v>567</v>
      </c>
      <c r="B141">
        <v>5707</v>
      </c>
      <c r="C141" t="s">
        <v>568</v>
      </c>
      <c r="D141" t="s">
        <v>543</v>
      </c>
      <c r="E141" t="s">
        <v>544</v>
      </c>
      <c r="F141" t="s">
        <v>270</v>
      </c>
      <c r="G141" t="s">
        <v>545</v>
      </c>
      <c r="H141" s="3">
        <v>2860325.9649499999</v>
      </c>
      <c r="I141">
        <v>281</v>
      </c>
      <c r="J141" s="3">
        <v>286.03259898499999</v>
      </c>
      <c r="K141">
        <v>457</v>
      </c>
      <c r="L141">
        <v>493</v>
      </c>
      <c r="M141">
        <v>470.27085740697999</v>
      </c>
      <c r="N141">
        <v>6.3722908637756301</v>
      </c>
      <c r="O141">
        <v>0</v>
      </c>
      <c r="P141">
        <v>15.731151580810501</v>
      </c>
      <c r="Q141">
        <v>3.4572908878326398</v>
      </c>
      <c r="R141">
        <v>2.21164870262146</v>
      </c>
      <c r="S141" t="s">
        <v>546</v>
      </c>
      <c r="T141" t="s">
        <v>567</v>
      </c>
      <c r="U141" t="s">
        <v>568</v>
      </c>
      <c r="V141" t="s">
        <v>568</v>
      </c>
      <c r="W141" s="3">
        <v>1366</v>
      </c>
      <c r="X141" s="3">
        <v>2860000</v>
      </c>
      <c r="Y141">
        <v>2</v>
      </c>
      <c r="Z141" s="3">
        <v>374</v>
      </c>
      <c r="AA141" s="3">
        <v>1100</v>
      </c>
      <c r="AB141" s="3">
        <v>1114</v>
      </c>
      <c r="AC141" s="3">
        <v>1061</v>
      </c>
      <c r="AD141" s="3">
        <v>1095</v>
      </c>
      <c r="AE141" s="3">
        <v>1036</v>
      </c>
      <c r="AF141" s="3">
        <v>1019</v>
      </c>
      <c r="AG141" s="3">
        <v>1060</v>
      </c>
      <c r="AH141" s="3">
        <v>1080</v>
      </c>
      <c r="AI141" s="3">
        <v>1097</v>
      </c>
      <c r="AJ141" s="3">
        <v>1210</v>
      </c>
      <c r="AK141" s="3">
        <v>1272</v>
      </c>
      <c r="AL141" s="3">
        <v>1318</v>
      </c>
      <c r="AM141" s="3">
        <v>1305</v>
      </c>
      <c r="AN141" s="3">
        <v>1306</v>
      </c>
      <c r="AO141" s="3">
        <v>1285</v>
      </c>
      <c r="AP141" s="3">
        <v>1366</v>
      </c>
      <c r="AQ141" s="3">
        <v>1341</v>
      </c>
      <c r="AR141" s="4">
        <v>477.6223776223776</v>
      </c>
      <c r="AS141" s="5">
        <f t="shared" si="22"/>
        <v>24.264705882352942</v>
      </c>
      <c r="AT141" s="5">
        <f t="shared" si="23"/>
        <v>0.14141414141414141</v>
      </c>
      <c r="AU141" s="5">
        <f t="shared" si="24"/>
        <v>-0.85278276481149007</v>
      </c>
      <c r="AV141" s="5">
        <f t="shared" si="25"/>
        <v>3.4052993130520113</v>
      </c>
      <c r="AW141" s="5">
        <f t="shared" si="26"/>
        <v>11.638880150990877</v>
      </c>
      <c r="AX141" s="5">
        <f t="shared" si="27"/>
        <v>1.1310592459605027</v>
      </c>
      <c r="AY141" s="5">
        <f t="shared" si="28"/>
        <v>7.1686659921954039</v>
      </c>
      <c r="AZ141">
        <f t="shared" si="29"/>
        <v>2820000</v>
      </c>
      <c r="BA141">
        <v>0</v>
      </c>
      <c r="BB141">
        <v>550000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1730000</v>
      </c>
      <c r="BK141">
        <v>40000</v>
      </c>
      <c r="BL141">
        <v>0</v>
      </c>
      <c r="BM141">
        <v>0</v>
      </c>
      <c r="BN141">
        <v>0</v>
      </c>
      <c r="BO141">
        <v>0</v>
      </c>
      <c r="BP141">
        <v>20000</v>
      </c>
      <c r="BQ141">
        <v>0</v>
      </c>
      <c r="BR141">
        <v>200000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280000</v>
      </c>
      <c r="BZ141">
        <v>0</v>
      </c>
      <c r="CA141">
        <v>0</v>
      </c>
      <c r="CB141">
        <v>46</v>
      </c>
      <c r="CC141">
        <v>67</v>
      </c>
      <c r="CD141">
        <v>68</v>
      </c>
      <c r="CE141">
        <v>72</v>
      </c>
      <c r="CF141" s="17">
        <v>16.083916083916083</v>
      </c>
      <c r="CG141" s="17">
        <v>23.426573426573427</v>
      </c>
      <c r="CH141" s="17">
        <v>23.776223776223777</v>
      </c>
      <c r="CI141" s="17">
        <v>25.174825174825177</v>
      </c>
      <c r="CJ141" s="18">
        <v>1</v>
      </c>
      <c r="CK141" s="18">
        <v>1.4565217391304348</v>
      </c>
      <c r="CL141" s="18">
        <v>1.4782608695652173</v>
      </c>
      <c r="CM141" s="18">
        <v>1.5652173913043479</v>
      </c>
      <c r="CN141" s="18">
        <v>0</v>
      </c>
      <c r="CO141" s="18">
        <v>7.3426573426573425</v>
      </c>
      <c r="CP141" s="18">
        <v>7.6923076923076925</v>
      </c>
      <c r="CQ141" s="18">
        <v>9.0909090909090917</v>
      </c>
      <c r="CR141" s="18">
        <f t="shared" si="30"/>
        <v>3.4893048128342246</v>
      </c>
      <c r="CS141" s="18">
        <f t="shared" si="31"/>
        <v>2.2292780748663099</v>
      </c>
      <c r="CT141">
        <v>15.248226950354599</v>
      </c>
      <c r="CU141">
        <v>66.312056737588676</v>
      </c>
      <c r="CV141">
        <v>18.085106382978701</v>
      </c>
      <c r="CW141">
        <v>0.35460992907801397</v>
      </c>
      <c r="CX141">
        <v>0</v>
      </c>
      <c r="CY141">
        <v>15.602836879432614</v>
      </c>
      <c r="CZ141">
        <v>66.312056737588676</v>
      </c>
      <c r="DA141">
        <v>18.085106382978701</v>
      </c>
      <c r="DB141">
        <v>0</v>
      </c>
      <c r="DC141">
        <v>0</v>
      </c>
      <c r="DD141">
        <v>18.794326241134801</v>
      </c>
      <c r="DE141">
        <v>63.475177304964561</v>
      </c>
      <c r="DF141">
        <v>7.8014184397163104</v>
      </c>
      <c r="DG141">
        <v>9.9290780141843999</v>
      </c>
      <c r="DH141">
        <v>0</v>
      </c>
      <c r="DI141">
        <v>19.503546099290801</v>
      </c>
      <c r="DJ141">
        <v>62.765957446808557</v>
      </c>
      <c r="DK141">
        <v>7.8014184397163104</v>
      </c>
      <c r="DL141">
        <v>9.9290780141843999</v>
      </c>
      <c r="DM141">
        <v>0</v>
      </c>
      <c r="DN141">
        <v>19.503546099290801</v>
      </c>
      <c r="DO141">
        <v>62.765957446808557</v>
      </c>
      <c r="DP141">
        <v>7.8014184397163104</v>
      </c>
      <c r="DQ141">
        <v>9.9290780141843999</v>
      </c>
      <c r="DR141">
        <v>0</v>
      </c>
      <c r="DS141" t="s">
        <v>564</v>
      </c>
      <c r="DT141" t="s">
        <v>313</v>
      </c>
      <c r="DU141">
        <v>1340</v>
      </c>
      <c r="DV141" t="s">
        <v>547</v>
      </c>
      <c r="DW141" t="s">
        <v>548</v>
      </c>
      <c r="DX141">
        <v>86</v>
      </c>
      <c r="DY141">
        <v>130</v>
      </c>
      <c r="DZ141">
        <v>216</v>
      </c>
      <c r="EA141">
        <v>606779</v>
      </c>
      <c r="EB141">
        <v>388178</v>
      </c>
      <c r="EC141">
        <v>994957</v>
      </c>
      <c r="ED141" t="s">
        <v>274</v>
      </c>
      <c r="EE141" t="s">
        <v>274</v>
      </c>
      <c r="EF141" t="s">
        <v>274</v>
      </c>
      <c r="EG141" t="s">
        <v>274</v>
      </c>
    </row>
    <row r="142" spans="1:137" ht="14.55" customHeight="1" x14ac:dyDescent="0.3">
      <c r="A142" t="s">
        <v>569</v>
      </c>
      <c r="B142">
        <v>5708</v>
      </c>
      <c r="C142" t="s">
        <v>570</v>
      </c>
      <c r="D142" t="s">
        <v>543</v>
      </c>
      <c r="E142" t="s">
        <v>544</v>
      </c>
      <c r="F142" t="s">
        <v>270</v>
      </c>
      <c r="G142" t="s">
        <v>545</v>
      </c>
      <c r="H142" s="3">
        <v>2124291.32913</v>
      </c>
      <c r="I142">
        <v>213</v>
      </c>
      <c r="J142" s="3">
        <v>212.42913365999999</v>
      </c>
      <c r="K142">
        <v>442</v>
      </c>
      <c r="L142">
        <v>497</v>
      </c>
      <c r="M142">
        <v>465.74463452566101</v>
      </c>
      <c r="N142">
        <v>9.4181807726065294</v>
      </c>
      <c r="O142">
        <v>0</v>
      </c>
      <c r="P142">
        <v>15.155778884887701</v>
      </c>
      <c r="Q142">
        <v>3.81185722351074</v>
      </c>
      <c r="R142">
        <v>2.3478868007659899</v>
      </c>
      <c r="S142" t="s">
        <v>546</v>
      </c>
      <c r="T142" t="s">
        <v>569</v>
      </c>
      <c r="U142" t="s">
        <v>570</v>
      </c>
      <c r="V142" t="s">
        <v>570</v>
      </c>
      <c r="W142" s="3">
        <v>966</v>
      </c>
      <c r="X142" s="3">
        <v>2120000</v>
      </c>
      <c r="Y142">
        <v>3</v>
      </c>
      <c r="Z142" s="3">
        <v>218</v>
      </c>
      <c r="AA142" s="3">
        <v>311</v>
      </c>
      <c r="AB142" s="3">
        <v>437</v>
      </c>
      <c r="AC142" s="3">
        <v>396</v>
      </c>
      <c r="AD142" s="3">
        <v>422</v>
      </c>
      <c r="AE142" s="3">
        <v>458</v>
      </c>
      <c r="AF142" s="3">
        <v>518</v>
      </c>
      <c r="AG142" s="3">
        <v>566</v>
      </c>
      <c r="AH142" s="3">
        <v>761</v>
      </c>
      <c r="AI142" s="3">
        <v>797</v>
      </c>
      <c r="AJ142" s="3">
        <v>823</v>
      </c>
      <c r="AK142" s="3">
        <v>876</v>
      </c>
      <c r="AL142" s="3">
        <v>885</v>
      </c>
      <c r="AM142" s="3">
        <v>938</v>
      </c>
      <c r="AN142" s="3">
        <v>962</v>
      </c>
      <c r="AO142" s="3">
        <v>982</v>
      </c>
      <c r="AP142" s="3">
        <v>966</v>
      </c>
      <c r="AQ142" s="3">
        <v>1002</v>
      </c>
      <c r="AR142" s="4">
        <v>455.66037735849056</v>
      </c>
      <c r="AS142" s="5">
        <f t="shared" si="22"/>
        <v>5.3325688073394497</v>
      </c>
      <c r="AT142" s="5">
        <f t="shared" si="23"/>
        <v>4.501607717041801</v>
      </c>
      <c r="AU142" s="5">
        <f t="shared" si="24"/>
        <v>1.8535469107551488</v>
      </c>
      <c r="AV142" s="5">
        <f t="shared" si="25"/>
        <v>8.6486486486486491</v>
      </c>
      <c r="AW142" s="5">
        <f t="shared" si="26"/>
        <v>5.9093362115488404</v>
      </c>
      <c r="AX142" s="5">
        <f t="shared" si="27"/>
        <v>6.0526315789473681</v>
      </c>
      <c r="AY142" s="5">
        <f t="shared" si="28"/>
        <v>9.2734936771634011</v>
      </c>
      <c r="AZ142">
        <f t="shared" si="29"/>
        <v>2160000</v>
      </c>
      <c r="BA142">
        <v>0</v>
      </c>
      <c r="BB142">
        <v>310000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1070000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180000</v>
      </c>
      <c r="BR142">
        <v>600000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19</v>
      </c>
      <c r="CC142">
        <v>22</v>
      </c>
      <c r="CD142">
        <v>25</v>
      </c>
      <c r="CE142">
        <v>29</v>
      </c>
      <c r="CF142" s="17">
        <v>8.92018779342723</v>
      </c>
      <c r="CG142" s="17">
        <v>10.328638497652582</v>
      </c>
      <c r="CH142" s="17">
        <v>11.737089201877934</v>
      </c>
      <c r="CI142" s="17">
        <v>13.615023474178404</v>
      </c>
      <c r="CJ142" s="18">
        <v>1</v>
      </c>
      <c r="CK142" s="18">
        <v>1.1578947368421053</v>
      </c>
      <c r="CL142" s="18">
        <v>1.3157894736842106</v>
      </c>
      <c r="CM142" s="18">
        <v>1.5263157894736843</v>
      </c>
      <c r="CN142" s="18">
        <v>0</v>
      </c>
      <c r="CO142" s="18">
        <v>1.4084507042253522</v>
      </c>
      <c r="CP142" s="18">
        <v>2.8169014084507045</v>
      </c>
      <c r="CQ142" s="18">
        <v>4.6948356807511731</v>
      </c>
      <c r="CR142" s="18">
        <f t="shared" si="30"/>
        <v>4.3027522935779814</v>
      </c>
      <c r="CS142" s="18">
        <f t="shared" si="31"/>
        <v>2.819044606137298</v>
      </c>
      <c r="CT142">
        <v>0</v>
      </c>
      <c r="CU142">
        <v>68.0555555555556</v>
      </c>
      <c r="CV142">
        <v>31.9444444444444</v>
      </c>
      <c r="CW142">
        <v>0</v>
      </c>
      <c r="CX142">
        <v>0</v>
      </c>
      <c r="CY142">
        <v>0</v>
      </c>
      <c r="CZ142">
        <v>68.0555555555556</v>
      </c>
      <c r="DA142">
        <v>31.9444444444444</v>
      </c>
      <c r="DB142">
        <v>0</v>
      </c>
      <c r="DC142">
        <v>0</v>
      </c>
      <c r="DD142">
        <v>0</v>
      </c>
      <c r="DE142">
        <v>64.351851851851904</v>
      </c>
      <c r="DF142">
        <v>35.648148148148202</v>
      </c>
      <c r="DG142">
        <v>0</v>
      </c>
      <c r="DH142">
        <v>0</v>
      </c>
      <c r="DI142">
        <v>14.351851851851899</v>
      </c>
      <c r="DJ142">
        <v>49.537037037037003</v>
      </c>
      <c r="DK142">
        <v>36.1111111111111</v>
      </c>
      <c r="DL142">
        <v>0</v>
      </c>
      <c r="DM142">
        <v>0</v>
      </c>
      <c r="DN142">
        <v>14.351851851851899</v>
      </c>
      <c r="DO142">
        <v>49.537037037037003</v>
      </c>
      <c r="DP142">
        <v>36.1111111111111</v>
      </c>
      <c r="DQ142">
        <v>0</v>
      </c>
      <c r="DR142">
        <v>0</v>
      </c>
      <c r="DS142" t="s">
        <v>312</v>
      </c>
      <c r="DT142" t="s">
        <v>313</v>
      </c>
      <c r="DU142">
        <v>1014</v>
      </c>
      <c r="DV142" t="s">
        <v>547</v>
      </c>
      <c r="DW142" t="s">
        <v>548</v>
      </c>
      <c r="DX142">
        <v>86</v>
      </c>
      <c r="DY142">
        <v>130</v>
      </c>
      <c r="DZ142">
        <v>216</v>
      </c>
      <c r="EA142">
        <v>606779</v>
      </c>
      <c r="EB142">
        <v>388178</v>
      </c>
      <c r="EC142">
        <v>994957</v>
      </c>
      <c r="ED142" t="s">
        <v>274</v>
      </c>
      <c r="EE142" t="s">
        <v>274</v>
      </c>
      <c r="EF142" t="s">
        <v>274</v>
      </c>
      <c r="EG142" t="s">
        <v>274</v>
      </c>
    </row>
    <row r="143" spans="1:137" ht="14.55" customHeight="1" x14ac:dyDescent="0.3">
      <c r="A143" t="s">
        <v>571</v>
      </c>
      <c r="B143">
        <v>5709</v>
      </c>
      <c r="C143" t="s">
        <v>572</v>
      </c>
      <c r="D143" t="s">
        <v>543</v>
      </c>
      <c r="E143" t="s">
        <v>544</v>
      </c>
      <c r="F143" t="s">
        <v>270</v>
      </c>
      <c r="G143" t="s">
        <v>545</v>
      </c>
      <c r="H143" s="3">
        <v>10571107.149</v>
      </c>
      <c r="I143">
        <v>1057</v>
      </c>
      <c r="J143" s="3">
        <v>1057.1107148999999</v>
      </c>
      <c r="K143">
        <v>494</v>
      </c>
      <c r="L143">
        <v>1679</v>
      </c>
      <c r="M143">
        <v>846.42699432420602</v>
      </c>
      <c r="N143">
        <v>347.66496069091198</v>
      </c>
      <c r="O143">
        <v>0</v>
      </c>
      <c r="P143">
        <v>44.676582336425803</v>
      </c>
      <c r="Q143">
        <v>10.2120409011841</v>
      </c>
      <c r="R143">
        <v>8.0037374496459996</v>
      </c>
      <c r="S143" t="s">
        <v>546</v>
      </c>
      <c r="T143" t="s">
        <v>571</v>
      </c>
      <c r="U143" t="s">
        <v>572</v>
      </c>
      <c r="V143" t="s">
        <v>572</v>
      </c>
      <c r="W143" s="3">
        <v>1238</v>
      </c>
      <c r="X143" s="3">
        <v>10580000</v>
      </c>
      <c r="Y143">
        <v>2</v>
      </c>
      <c r="Z143" s="3">
        <v>490</v>
      </c>
      <c r="AA143" s="3">
        <v>750</v>
      </c>
      <c r="AB143" s="3">
        <v>1016</v>
      </c>
      <c r="AC143" s="3">
        <v>1181</v>
      </c>
      <c r="AD143" s="3">
        <v>1214</v>
      </c>
      <c r="AE143" s="3">
        <v>1222</v>
      </c>
      <c r="AF143" s="3">
        <v>1235</v>
      </c>
      <c r="AG143" s="3">
        <v>1231</v>
      </c>
      <c r="AH143" s="3">
        <v>1238</v>
      </c>
      <c r="AI143" s="3">
        <v>1211</v>
      </c>
      <c r="AJ143" s="3">
        <v>1227</v>
      </c>
      <c r="AK143" s="3">
        <v>1243</v>
      </c>
      <c r="AL143" s="3">
        <v>1195</v>
      </c>
      <c r="AM143" s="3">
        <v>1237</v>
      </c>
      <c r="AN143" s="3">
        <v>1220</v>
      </c>
      <c r="AO143" s="3">
        <v>1222</v>
      </c>
      <c r="AP143" s="3">
        <v>1238</v>
      </c>
      <c r="AQ143" s="3">
        <v>1249</v>
      </c>
      <c r="AR143" s="4">
        <v>117.01323251417769</v>
      </c>
      <c r="AS143" s="5">
        <f t="shared" si="22"/>
        <v>6.6326530612244898</v>
      </c>
      <c r="AT143" s="5">
        <f t="shared" si="23"/>
        <v>3.9407407407407411</v>
      </c>
      <c r="AU143" s="5">
        <f t="shared" si="24"/>
        <v>2.1555118110236222</v>
      </c>
      <c r="AV143" s="5">
        <f t="shared" si="25"/>
        <v>2.4291497975708502E-2</v>
      </c>
      <c r="AW143" s="5">
        <f t="shared" si="26"/>
        <v>6.3145258103241302</v>
      </c>
      <c r="AX143" s="5">
        <f t="shared" si="27"/>
        <v>1.0925196850393701</v>
      </c>
      <c r="AY143" s="5">
        <f t="shared" si="28"/>
        <v>4.125758411472698</v>
      </c>
      <c r="AZ143">
        <f t="shared" si="29"/>
        <v>10580000</v>
      </c>
      <c r="BA143">
        <v>0</v>
      </c>
      <c r="BB143">
        <v>470000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690000</v>
      </c>
      <c r="BJ143">
        <v>3330000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2140000</v>
      </c>
      <c r="BQ143">
        <v>790000</v>
      </c>
      <c r="BR143">
        <v>2240000</v>
      </c>
      <c r="BS143">
        <v>690000</v>
      </c>
      <c r="BT143">
        <v>0</v>
      </c>
      <c r="BU143">
        <v>230000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54</v>
      </c>
      <c r="CC143">
        <v>115</v>
      </c>
      <c r="CD143">
        <v>133</v>
      </c>
      <c r="CE143">
        <v>140</v>
      </c>
      <c r="CF143" s="17">
        <v>5.1136363636363642</v>
      </c>
      <c r="CG143" s="17">
        <v>10.890151515151516</v>
      </c>
      <c r="CH143" s="17">
        <v>12.594696969696969</v>
      </c>
      <c r="CI143" s="17">
        <v>13.257575757575758</v>
      </c>
      <c r="CJ143" s="18">
        <v>1</v>
      </c>
      <c r="CK143" s="18">
        <v>2.1296296296296298</v>
      </c>
      <c r="CL143" s="18">
        <v>2.4629629629629628</v>
      </c>
      <c r="CM143" s="18">
        <v>2.5925925925925926</v>
      </c>
      <c r="CN143" s="18">
        <v>0</v>
      </c>
      <c r="CO143" s="18">
        <v>5.7765151515151514</v>
      </c>
      <c r="CP143" s="18">
        <v>7.4810606060606064</v>
      </c>
      <c r="CQ143" s="18">
        <v>8.1439393939393945</v>
      </c>
      <c r="CR143" s="18">
        <f t="shared" si="30"/>
        <v>2.5244897959183672</v>
      </c>
      <c r="CS143" s="18">
        <f t="shared" si="31"/>
        <v>0.97373177842565595</v>
      </c>
      <c r="CT143">
        <v>8.0340264650283597</v>
      </c>
      <c r="CU143">
        <v>34.971644612476403</v>
      </c>
      <c r="CV143">
        <v>56.994328922495249</v>
      </c>
      <c r="CW143">
        <v>0</v>
      </c>
      <c r="CX143">
        <v>0</v>
      </c>
      <c r="CY143">
        <v>8.0340264650283597</v>
      </c>
      <c r="CZ143">
        <v>34.971644612476403</v>
      </c>
      <c r="DA143">
        <v>56.994328922495249</v>
      </c>
      <c r="DB143">
        <v>0</v>
      </c>
      <c r="DC143">
        <v>0</v>
      </c>
      <c r="DD143">
        <v>10.7750472589792</v>
      </c>
      <c r="DE143">
        <v>39.224952741020758</v>
      </c>
      <c r="DF143">
        <v>50</v>
      </c>
      <c r="DG143">
        <v>0</v>
      </c>
      <c r="DH143">
        <v>0</v>
      </c>
      <c r="DI143">
        <v>10.964083175803399</v>
      </c>
      <c r="DJ143">
        <v>31.4744801512287</v>
      </c>
      <c r="DK143">
        <v>57.561436672967837</v>
      </c>
      <c r="DL143">
        <v>0</v>
      </c>
      <c r="DM143">
        <v>0</v>
      </c>
      <c r="DN143">
        <v>10.964083175803399</v>
      </c>
      <c r="DO143">
        <v>31.4744801512287</v>
      </c>
      <c r="DP143">
        <v>57.561436672967837</v>
      </c>
      <c r="DQ143">
        <v>0</v>
      </c>
      <c r="DR143">
        <v>0</v>
      </c>
      <c r="DS143" t="s">
        <v>312</v>
      </c>
      <c r="DT143" t="s">
        <v>313</v>
      </c>
      <c r="DU143">
        <v>1245</v>
      </c>
      <c r="DV143" t="s">
        <v>547</v>
      </c>
      <c r="DW143" t="s">
        <v>548</v>
      </c>
      <c r="DX143">
        <v>86</v>
      </c>
      <c r="DY143">
        <v>130</v>
      </c>
      <c r="DZ143">
        <v>216</v>
      </c>
      <c r="EA143">
        <v>606779</v>
      </c>
      <c r="EB143">
        <v>388178</v>
      </c>
      <c r="EC143">
        <v>994957</v>
      </c>
      <c r="ED143" t="s">
        <v>274</v>
      </c>
      <c r="EE143" t="s">
        <v>274</v>
      </c>
      <c r="EF143" t="s">
        <v>274</v>
      </c>
      <c r="EG143" t="s">
        <v>274</v>
      </c>
    </row>
    <row r="144" spans="1:137" ht="14.55" customHeight="1" x14ac:dyDescent="0.3">
      <c r="A144" t="s">
        <v>573</v>
      </c>
      <c r="B144">
        <v>5710</v>
      </c>
      <c r="C144" t="s">
        <v>574</v>
      </c>
      <c r="D144" t="s">
        <v>543</v>
      </c>
      <c r="E144" t="s">
        <v>544</v>
      </c>
      <c r="F144" t="s">
        <v>270</v>
      </c>
      <c r="G144" t="s">
        <v>545</v>
      </c>
      <c r="H144" s="3">
        <v>2905167.2437499999</v>
      </c>
      <c r="I144">
        <v>288</v>
      </c>
      <c r="J144" s="3">
        <v>290.51672437499997</v>
      </c>
      <c r="K144">
        <v>417</v>
      </c>
      <c r="L144">
        <v>516</v>
      </c>
      <c r="M144">
        <v>459.61178075960902</v>
      </c>
      <c r="N144">
        <v>23.190611948511201</v>
      </c>
      <c r="O144">
        <v>0</v>
      </c>
      <c r="P144">
        <v>20.523452758789102</v>
      </c>
      <c r="Q144">
        <v>4.8013768196106001</v>
      </c>
      <c r="R144">
        <v>3.2667603492736799</v>
      </c>
      <c r="S144" t="s">
        <v>546</v>
      </c>
      <c r="T144" t="s">
        <v>573</v>
      </c>
      <c r="U144" t="s">
        <v>574</v>
      </c>
      <c r="V144" t="s">
        <v>574</v>
      </c>
      <c r="W144" s="3">
        <v>493</v>
      </c>
      <c r="X144" s="3">
        <v>2910000</v>
      </c>
      <c r="Y144">
        <v>3</v>
      </c>
      <c r="Z144" s="3">
        <v>235</v>
      </c>
      <c r="AA144" s="3">
        <v>328</v>
      </c>
      <c r="AB144" s="3">
        <v>369</v>
      </c>
      <c r="AC144" s="3">
        <v>392</v>
      </c>
      <c r="AD144" s="3">
        <v>401</v>
      </c>
      <c r="AE144" s="3">
        <v>396</v>
      </c>
      <c r="AF144" s="3">
        <v>400</v>
      </c>
      <c r="AG144" s="3">
        <v>391</v>
      </c>
      <c r="AH144" s="3">
        <v>399</v>
      </c>
      <c r="AI144" s="3">
        <v>397</v>
      </c>
      <c r="AJ144" s="3">
        <v>398</v>
      </c>
      <c r="AK144" s="3">
        <v>425</v>
      </c>
      <c r="AL144" s="3">
        <v>435</v>
      </c>
      <c r="AM144" s="3">
        <v>491</v>
      </c>
      <c r="AN144" s="3">
        <v>483</v>
      </c>
      <c r="AO144" s="3">
        <v>497</v>
      </c>
      <c r="AP144" s="3">
        <v>493</v>
      </c>
      <c r="AQ144" s="3">
        <v>509</v>
      </c>
      <c r="AR144" s="4">
        <v>169.41580756013747</v>
      </c>
      <c r="AS144" s="5">
        <f t="shared" si="22"/>
        <v>4.9468085106382977</v>
      </c>
      <c r="AT144" s="5">
        <f t="shared" si="23"/>
        <v>1.3888888888888888</v>
      </c>
      <c r="AU144" s="5">
        <f t="shared" si="24"/>
        <v>0.84010840108401075</v>
      </c>
      <c r="AV144" s="5">
        <f t="shared" si="25"/>
        <v>2.3250000000000002</v>
      </c>
      <c r="AW144" s="5">
        <f t="shared" si="26"/>
        <v>3.354192740926158</v>
      </c>
      <c r="AX144" s="5">
        <f t="shared" si="27"/>
        <v>1.6802168021680215</v>
      </c>
      <c r="AY144" s="5">
        <f t="shared" si="28"/>
        <v>2.967222541690627</v>
      </c>
      <c r="AZ144">
        <f t="shared" si="29"/>
        <v>2910000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2300000</v>
      </c>
      <c r="BK144">
        <v>390000</v>
      </c>
      <c r="BL144">
        <v>0</v>
      </c>
      <c r="BM144">
        <v>0</v>
      </c>
      <c r="BN144">
        <v>0</v>
      </c>
      <c r="BO144">
        <v>10000</v>
      </c>
      <c r="BP144">
        <v>210000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36</v>
      </c>
      <c r="CC144">
        <v>39</v>
      </c>
      <c r="CD144">
        <v>42</v>
      </c>
      <c r="CE144">
        <v>41</v>
      </c>
      <c r="CF144" s="17">
        <v>12.162162162162163</v>
      </c>
      <c r="CG144" s="17">
        <v>13.175675675675674</v>
      </c>
      <c r="CH144" s="17">
        <v>14.189189189189189</v>
      </c>
      <c r="CI144" s="17">
        <v>13.851351351351351</v>
      </c>
      <c r="CJ144" s="18">
        <v>1</v>
      </c>
      <c r="CK144" s="18">
        <v>1.0833333333333333</v>
      </c>
      <c r="CL144" s="18">
        <v>1.1666666666666667</v>
      </c>
      <c r="CM144" s="18">
        <v>1.1388888888888888</v>
      </c>
      <c r="CN144" s="18">
        <v>0</v>
      </c>
      <c r="CO144" s="18">
        <v>1.0135135135135136</v>
      </c>
      <c r="CP144" s="18">
        <v>2.0270270270270272</v>
      </c>
      <c r="CQ144" s="18">
        <v>1.6891891891891893</v>
      </c>
      <c r="CR144" s="18">
        <f t="shared" si="30"/>
        <v>2.0893617021276594</v>
      </c>
      <c r="CS144" s="18">
        <f t="shared" si="31"/>
        <v>1.8345614945511157</v>
      </c>
      <c r="CT144">
        <v>5.8419243986254381</v>
      </c>
      <c r="CU144">
        <v>83.161512027491369</v>
      </c>
      <c r="CV144">
        <v>10.996563573883201</v>
      </c>
      <c r="CW144">
        <v>0</v>
      </c>
      <c r="CX144">
        <v>0</v>
      </c>
      <c r="CY144">
        <v>0</v>
      </c>
      <c r="CZ144">
        <v>89.690721649484502</v>
      </c>
      <c r="DA144">
        <v>10.3092783505155</v>
      </c>
      <c r="DB144">
        <v>0</v>
      </c>
      <c r="DC144">
        <v>0</v>
      </c>
      <c r="DD144">
        <v>0</v>
      </c>
      <c r="DE144">
        <v>89.690721649484502</v>
      </c>
      <c r="DF144">
        <v>10.3092783505155</v>
      </c>
      <c r="DG144">
        <v>0</v>
      </c>
      <c r="DH144">
        <v>0</v>
      </c>
      <c r="DI144">
        <v>0</v>
      </c>
      <c r="DJ144">
        <v>92.783505154639144</v>
      </c>
      <c r="DK144">
        <v>7.2164948453608204</v>
      </c>
      <c r="DL144">
        <v>0</v>
      </c>
      <c r="DM144">
        <v>0</v>
      </c>
      <c r="DN144">
        <v>0</v>
      </c>
      <c r="DO144">
        <v>92.783505154639144</v>
      </c>
      <c r="DP144">
        <v>7.2164948453608204</v>
      </c>
      <c r="DQ144">
        <v>0</v>
      </c>
      <c r="DR144">
        <v>0</v>
      </c>
      <c r="DS144" t="s">
        <v>312</v>
      </c>
      <c r="DT144" t="s">
        <v>313</v>
      </c>
      <c r="DU144">
        <v>498</v>
      </c>
      <c r="DV144" t="s">
        <v>547</v>
      </c>
      <c r="DW144" t="s">
        <v>548</v>
      </c>
      <c r="DX144">
        <v>86</v>
      </c>
      <c r="DY144">
        <v>130</v>
      </c>
      <c r="DZ144">
        <v>216</v>
      </c>
      <c r="EA144">
        <v>606779</v>
      </c>
      <c r="EB144">
        <v>388178</v>
      </c>
      <c r="EC144">
        <v>994957</v>
      </c>
      <c r="ED144" t="s">
        <v>274</v>
      </c>
      <c r="EE144" t="s">
        <v>274</v>
      </c>
      <c r="EF144" t="s">
        <v>274</v>
      </c>
      <c r="EG144" t="s">
        <v>274</v>
      </c>
    </row>
    <row r="145" spans="1:137" ht="14.55" customHeight="1" x14ac:dyDescent="0.3">
      <c r="A145" t="s">
        <v>575</v>
      </c>
      <c r="B145">
        <v>5711</v>
      </c>
      <c r="C145" t="s">
        <v>576</v>
      </c>
      <c r="D145" t="s">
        <v>543</v>
      </c>
      <c r="E145" t="s">
        <v>544</v>
      </c>
      <c r="F145" t="s">
        <v>270</v>
      </c>
      <c r="G145" t="s">
        <v>545</v>
      </c>
      <c r="H145" s="3">
        <v>6528823.9206999997</v>
      </c>
      <c r="I145">
        <v>648</v>
      </c>
      <c r="J145" s="3">
        <v>652.88239205000002</v>
      </c>
      <c r="K145">
        <v>397</v>
      </c>
      <c r="L145">
        <v>501</v>
      </c>
      <c r="M145">
        <v>445.254576716901</v>
      </c>
      <c r="N145">
        <v>24.096452938975698</v>
      </c>
      <c r="O145">
        <v>0</v>
      </c>
      <c r="P145">
        <v>23.195068359375</v>
      </c>
      <c r="Q145">
        <v>3.8162600994110099</v>
      </c>
      <c r="R145">
        <v>2.4439561367034899</v>
      </c>
      <c r="S145" t="s">
        <v>546</v>
      </c>
      <c r="T145" t="s">
        <v>575</v>
      </c>
      <c r="U145" t="s">
        <v>576</v>
      </c>
      <c r="V145" t="s">
        <v>576</v>
      </c>
      <c r="W145" s="3">
        <v>2930</v>
      </c>
      <c r="X145" s="3">
        <v>6530000</v>
      </c>
      <c r="Y145">
        <v>2</v>
      </c>
      <c r="Z145" s="3">
        <v>1669</v>
      </c>
      <c r="AA145" s="3">
        <v>2376</v>
      </c>
      <c r="AB145" s="3">
        <v>2572</v>
      </c>
      <c r="AC145" s="3">
        <v>2688</v>
      </c>
      <c r="AD145" s="3">
        <v>2706</v>
      </c>
      <c r="AE145" s="3">
        <v>2715</v>
      </c>
      <c r="AF145" s="3">
        <v>2745</v>
      </c>
      <c r="AG145" s="3">
        <v>2703</v>
      </c>
      <c r="AH145" s="3">
        <v>2715</v>
      </c>
      <c r="AI145" s="3">
        <v>2756</v>
      </c>
      <c r="AJ145" s="3">
        <v>2784</v>
      </c>
      <c r="AK145" s="3">
        <v>2779</v>
      </c>
      <c r="AL145" s="3">
        <v>2863</v>
      </c>
      <c r="AM145" s="3">
        <v>2824</v>
      </c>
      <c r="AN145" s="3">
        <v>2848</v>
      </c>
      <c r="AO145" s="3">
        <v>2874</v>
      </c>
      <c r="AP145" s="3">
        <v>2930</v>
      </c>
      <c r="AQ145" s="3">
        <v>3004</v>
      </c>
      <c r="AR145" s="4">
        <v>448.69831546707502</v>
      </c>
      <c r="AS145" s="5">
        <f t="shared" si="22"/>
        <v>5.2950868783702818</v>
      </c>
      <c r="AT145" s="5">
        <f t="shared" si="23"/>
        <v>0.91657313879536106</v>
      </c>
      <c r="AU145" s="5">
        <f t="shared" si="24"/>
        <v>0.67262830482115077</v>
      </c>
      <c r="AV145" s="5">
        <f t="shared" si="25"/>
        <v>0.67395264116575593</v>
      </c>
      <c r="AW145" s="5">
        <f t="shared" si="26"/>
        <v>3.1826031790787015</v>
      </c>
      <c r="AX145" s="5">
        <f t="shared" si="27"/>
        <v>0.69595645412130636</v>
      </c>
      <c r="AY145" s="5">
        <f t="shared" si="28"/>
        <v>2.0420060563859246</v>
      </c>
      <c r="AZ145">
        <f t="shared" si="29"/>
        <v>6480000</v>
      </c>
      <c r="BA145">
        <v>0</v>
      </c>
      <c r="BB145">
        <v>1480000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3400000</v>
      </c>
      <c r="BK145">
        <v>220000</v>
      </c>
      <c r="BL145">
        <v>0</v>
      </c>
      <c r="BM145">
        <v>0</v>
      </c>
      <c r="BN145">
        <v>0</v>
      </c>
      <c r="BO145">
        <v>0</v>
      </c>
      <c r="BP145">
        <v>30000</v>
      </c>
      <c r="BQ145">
        <v>0</v>
      </c>
      <c r="BR145">
        <v>1140000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210000</v>
      </c>
      <c r="BZ145">
        <v>0</v>
      </c>
      <c r="CA145">
        <v>0</v>
      </c>
      <c r="CB145">
        <v>95</v>
      </c>
      <c r="CC145">
        <v>113</v>
      </c>
      <c r="CD145">
        <v>121</v>
      </c>
      <c r="CE145">
        <v>134</v>
      </c>
      <c r="CF145" s="17">
        <v>14.548238897396631</v>
      </c>
      <c r="CG145" s="17">
        <v>17.304747320061256</v>
      </c>
      <c r="CH145" s="17">
        <v>18.529862174578867</v>
      </c>
      <c r="CI145" s="17">
        <v>20.520673813169985</v>
      </c>
      <c r="CJ145" s="18">
        <v>1</v>
      </c>
      <c r="CK145" s="18">
        <v>1.1894736842105262</v>
      </c>
      <c r="CL145" s="18">
        <v>1.2736842105263158</v>
      </c>
      <c r="CM145" s="18">
        <v>1.4105263157894736</v>
      </c>
      <c r="CN145" s="18">
        <v>0</v>
      </c>
      <c r="CO145" s="18">
        <v>2.7565084226646248</v>
      </c>
      <c r="CP145" s="18">
        <v>3.9816232771822357</v>
      </c>
      <c r="CQ145" s="18">
        <v>5.9724349157733538</v>
      </c>
      <c r="CR145" s="18">
        <f t="shared" si="30"/>
        <v>1.6920311563810666</v>
      </c>
      <c r="CS145" s="18">
        <f t="shared" si="31"/>
        <v>1.1995743272850845</v>
      </c>
      <c r="CT145">
        <v>17.592592592592599</v>
      </c>
      <c r="CU145">
        <v>61.111111111111128</v>
      </c>
      <c r="CV145">
        <v>21.296296296296301</v>
      </c>
      <c r="CW145">
        <v>0</v>
      </c>
      <c r="CX145">
        <v>0</v>
      </c>
      <c r="CY145">
        <v>17.7469135802469</v>
      </c>
      <c r="CZ145">
        <v>60.956790123456827</v>
      </c>
      <c r="DA145">
        <v>21.296296296296301</v>
      </c>
      <c r="DB145">
        <v>0</v>
      </c>
      <c r="DC145">
        <v>0</v>
      </c>
      <c r="DD145">
        <v>22.839506172839499</v>
      </c>
      <c r="DE145">
        <v>55.864197530864217</v>
      </c>
      <c r="DF145">
        <v>18.0555555555556</v>
      </c>
      <c r="DG145">
        <v>3.24074074074074</v>
      </c>
      <c r="DH145">
        <v>0</v>
      </c>
      <c r="DI145">
        <v>22.839506172839499</v>
      </c>
      <c r="DJ145">
        <v>55.864197530864161</v>
      </c>
      <c r="DK145">
        <v>18.0555555555556</v>
      </c>
      <c r="DL145">
        <v>3.24074074074074</v>
      </c>
      <c r="DM145">
        <v>0</v>
      </c>
      <c r="DN145">
        <v>22.839506172839499</v>
      </c>
      <c r="DO145">
        <v>55.864197530864161</v>
      </c>
      <c r="DP145">
        <v>18.0555555555556</v>
      </c>
      <c r="DQ145">
        <v>3.24074074074074</v>
      </c>
      <c r="DR145">
        <v>0</v>
      </c>
      <c r="DS145" t="s">
        <v>564</v>
      </c>
      <c r="DT145" t="s">
        <v>313</v>
      </c>
      <c r="DU145">
        <v>2976</v>
      </c>
      <c r="DV145" t="s">
        <v>547</v>
      </c>
      <c r="DW145" t="s">
        <v>548</v>
      </c>
      <c r="DX145">
        <v>86</v>
      </c>
      <c r="DY145">
        <v>130</v>
      </c>
      <c r="DZ145">
        <v>216</v>
      </c>
      <c r="EA145">
        <v>606779</v>
      </c>
      <c r="EB145">
        <v>388178</v>
      </c>
      <c r="EC145">
        <v>994957</v>
      </c>
      <c r="ED145" t="s">
        <v>274</v>
      </c>
      <c r="EE145" t="s">
        <v>274</v>
      </c>
      <c r="EF145" t="s">
        <v>274</v>
      </c>
      <c r="EG145" t="s">
        <v>274</v>
      </c>
    </row>
    <row r="146" spans="1:137" ht="14.55" customHeight="1" x14ac:dyDescent="0.3">
      <c r="A146" t="s">
        <v>577</v>
      </c>
      <c r="B146">
        <v>5712</v>
      </c>
      <c r="C146" t="s">
        <v>578</v>
      </c>
      <c r="D146" t="s">
        <v>543</v>
      </c>
      <c r="E146" t="s">
        <v>544</v>
      </c>
      <c r="F146" t="s">
        <v>270</v>
      </c>
      <c r="G146" t="s">
        <v>545</v>
      </c>
      <c r="H146" s="3">
        <v>1867052.5806</v>
      </c>
      <c r="I146">
        <v>187</v>
      </c>
      <c r="J146" s="3">
        <v>186.70525806000001</v>
      </c>
      <c r="K146">
        <v>374</v>
      </c>
      <c r="L146">
        <v>425</v>
      </c>
      <c r="M146">
        <v>395.52884955752199</v>
      </c>
      <c r="N146">
        <v>11.691005524800101</v>
      </c>
      <c r="O146">
        <v>0</v>
      </c>
      <c r="P146">
        <v>20.090799331665</v>
      </c>
      <c r="Q146">
        <v>3.73146629333496</v>
      </c>
      <c r="R146">
        <v>2.4516634941101101</v>
      </c>
      <c r="S146" t="s">
        <v>546</v>
      </c>
      <c r="T146" t="s">
        <v>577</v>
      </c>
      <c r="U146" t="s">
        <v>578</v>
      </c>
      <c r="V146" t="s">
        <v>578</v>
      </c>
      <c r="W146" s="3">
        <v>3239</v>
      </c>
      <c r="X146" s="3">
        <v>1870000</v>
      </c>
      <c r="Y146">
        <v>2</v>
      </c>
      <c r="Z146" s="3">
        <v>1610</v>
      </c>
      <c r="AA146" s="3">
        <v>1936</v>
      </c>
      <c r="AB146" s="3">
        <v>2358</v>
      </c>
      <c r="AC146" s="3">
        <v>2792</v>
      </c>
      <c r="AD146" s="3">
        <v>2905</v>
      </c>
      <c r="AE146" s="3">
        <v>2962</v>
      </c>
      <c r="AF146" s="3">
        <v>3064</v>
      </c>
      <c r="AG146" s="3">
        <v>3142</v>
      </c>
      <c r="AH146" s="3">
        <v>3097</v>
      </c>
      <c r="AI146" s="3">
        <v>3076</v>
      </c>
      <c r="AJ146" s="3">
        <v>3081</v>
      </c>
      <c r="AK146" s="3">
        <v>3083</v>
      </c>
      <c r="AL146" s="3">
        <v>3137</v>
      </c>
      <c r="AM146" s="3">
        <v>3151</v>
      </c>
      <c r="AN146" s="3">
        <v>3152</v>
      </c>
      <c r="AO146" s="3">
        <v>3146</v>
      </c>
      <c r="AP146" s="3">
        <v>3239</v>
      </c>
      <c r="AQ146" s="3">
        <v>3280</v>
      </c>
      <c r="AR146" s="4">
        <v>1732.0855614973261</v>
      </c>
      <c r="AS146" s="5">
        <f t="shared" si="22"/>
        <v>2.531055900621118</v>
      </c>
      <c r="AT146" s="5">
        <f t="shared" si="23"/>
        <v>2.4219467401285582</v>
      </c>
      <c r="AU146" s="5">
        <f t="shared" si="24"/>
        <v>2.9940627650551317</v>
      </c>
      <c r="AV146" s="5">
        <f t="shared" si="25"/>
        <v>0.57114882506527409</v>
      </c>
      <c r="AW146" s="5">
        <f t="shared" si="26"/>
        <v>2.7329192546583854</v>
      </c>
      <c r="AX146" s="5">
        <f t="shared" si="27"/>
        <v>1.8681085665818491</v>
      </c>
      <c r="AY146" s="5">
        <f t="shared" si="28"/>
        <v>2.7345979519892558</v>
      </c>
      <c r="AZ146">
        <f t="shared" si="29"/>
        <v>1860000</v>
      </c>
      <c r="BA146">
        <v>0</v>
      </c>
      <c r="BB146">
        <v>1810000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40000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10000</v>
      </c>
      <c r="CB146">
        <v>84</v>
      </c>
      <c r="CC146">
        <v>104</v>
      </c>
      <c r="CD146">
        <v>116</v>
      </c>
      <c r="CE146">
        <v>126</v>
      </c>
      <c r="CF146" s="17">
        <v>45.405405405405411</v>
      </c>
      <c r="CG146" s="17">
        <v>56.216216216216218</v>
      </c>
      <c r="CH146" s="17">
        <v>62.702702702702709</v>
      </c>
      <c r="CI146" s="17">
        <v>68.108108108108112</v>
      </c>
      <c r="CJ146" s="18">
        <v>1</v>
      </c>
      <c r="CK146" s="18">
        <v>1.2380952380952381</v>
      </c>
      <c r="CL146" s="18">
        <v>1.3809523809523809</v>
      </c>
      <c r="CM146" s="18">
        <v>1.5</v>
      </c>
      <c r="CN146" s="18">
        <v>0</v>
      </c>
      <c r="CO146" s="18">
        <v>10.810810810810811</v>
      </c>
      <c r="CP146" s="18">
        <v>17.297297297297298</v>
      </c>
      <c r="CQ146" s="18">
        <v>22.702702702702705</v>
      </c>
      <c r="CR146" s="18">
        <f t="shared" si="30"/>
        <v>1.9571428571428571</v>
      </c>
      <c r="CS146" s="18">
        <f t="shared" si="31"/>
        <v>1.3047619047619048</v>
      </c>
      <c r="CT146">
        <v>57.526881720430097</v>
      </c>
      <c r="CU146">
        <v>41.935483870967801</v>
      </c>
      <c r="CV146">
        <v>0</v>
      </c>
      <c r="CW146">
        <v>0</v>
      </c>
      <c r="CX146">
        <v>0.53763440860215095</v>
      </c>
      <c r="CY146">
        <v>57.526881720430097</v>
      </c>
      <c r="CZ146">
        <v>41.935483870967801</v>
      </c>
      <c r="DA146">
        <v>0</v>
      </c>
      <c r="DB146">
        <v>0</v>
      </c>
      <c r="DC146">
        <v>0.53763440860215095</v>
      </c>
      <c r="DD146">
        <v>80.107526881720403</v>
      </c>
      <c r="DE146">
        <v>19.354838709677399</v>
      </c>
      <c r="DF146">
        <v>0</v>
      </c>
      <c r="DG146">
        <v>0</v>
      </c>
      <c r="DH146">
        <v>0.53763440860215095</v>
      </c>
      <c r="DI146">
        <v>97.311827956989305</v>
      </c>
      <c r="DJ146">
        <v>2.1505376344085998</v>
      </c>
      <c r="DK146">
        <v>0</v>
      </c>
      <c r="DL146">
        <v>0</v>
      </c>
      <c r="DM146">
        <v>0.53763440860215095</v>
      </c>
      <c r="DN146">
        <v>97.311827956989305</v>
      </c>
      <c r="DO146">
        <v>2.1505376344085998</v>
      </c>
      <c r="DP146">
        <v>0</v>
      </c>
      <c r="DQ146">
        <v>0</v>
      </c>
      <c r="DR146">
        <v>0.53763440860215095</v>
      </c>
      <c r="DS146" t="s">
        <v>564</v>
      </c>
      <c r="DT146" t="s">
        <v>313</v>
      </c>
      <c r="DU146">
        <v>3206</v>
      </c>
      <c r="DV146" t="s">
        <v>547</v>
      </c>
      <c r="DW146" t="s">
        <v>548</v>
      </c>
      <c r="DX146">
        <v>86</v>
      </c>
      <c r="DY146">
        <v>130</v>
      </c>
      <c r="DZ146">
        <v>216</v>
      </c>
      <c r="EA146">
        <v>606779</v>
      </c>
      <c r="EB146">
        <v>388178</v>
      </c>
      <c r="EC146">
        <v>994957</v>
      </c>
      <c r="ED146" t="s">
        <v>274</v>
      </c>
      <c r="EE146" t="s">
        <v>274</v>
      </c>
      <c r="EF146" t="s">
        <v>274</v>
      </c>
      <c r="EG146" t="s">
        <v>274</v>
      </c>
    </row>
    <row r="147" spans="1:137" ht="14.55" customHeight="1" x14ac:dyDescent="0.3">
      <c r="A147" t="s">
        <v>579</v>
      </c>
      <c r="B147">
        <v>5713</v>
      </c>
      <c r="C147" t="s">
        <v>580</v>
      </c>
      <c r="D147" t="s">
        <v>543</v>
      </c>
      <c r="E147" t="s">
        <v>544</v>
      </c>
      <c r="F147" t="s">
        <v>270</v>
      </c>
      <c r="G147" t="s">
        <v>545</v>
      </c>
      <c r="H147" s="3">
        <v>4312480.2309999997</v>
      </c>
      <c r="I147">
        <v>433</v>
      </c>
      <c r="J147" s="3">
        <v>431.24803185299999</v>
      </c>
      <c r="K147">
        <v>367</v>
      </c>
      <c r="L147">
        <v>490</v>
      </c>
      <c r="M147">
        <v>424.484602420714</v>
      </c>
      <c r="N147">
        <v>24.864955321645599</v>
      </c>
      <c r="O147">
        <v>0</v>
      </c>
      <c r="P147">
        <v>20.071596145629901</v>
      </c>
      <c r="Q147">
        <v>4.3536100387573198</v>
      </c>
      <c r="R147">
        <v>2.92446088790894</v>
      </c>
      <c r="S147" t="s">
        <v>546</v>
      </c>
      <c r="T147" t="s">
        <v>579</v>
      </c>
      <c r="U147" t="s">
        <v>580</v>
      </c>
      <c r="V147" t="s">
        <v>580</v>
      </c>
      <c r="W147" s="3">
        <v>2286</v>
      </c>
      <c r="X147" s="3">
        <v>4310000</v>
      </c>
      <c r="Y147">
        <v>2</v>
      </c>
      <c r="Z147" s="3">
        <v>1359</v>
      </c>
      <c r="AA147" s="3">
        <v>1727</v>
      </c>
      <c r="AB147" s="3">
        <v>1969</v>
      </c>
      <c r="AC147" s="3">
        <v>1917</v>
      </c>
      <c r="AD147" s="3">
        <v>1932</v>
      </c>
      <c r="AE147" s="3">
        <v>2045</v>
      </c>
      <c r="AF147" s="3">
        <v>2051</v>
      </c>
      <c r="AG147" s="3">
        <v>2094</v>
      </c>
      <c r="AH147" s="3">
        <v>2074</v>
      </c>
      <c r="AI147" s="3">
        <v>2108</v>
      </c>
      <c r="AJ147" s="3">
        <v>2147</v>
      </c>
      <c r="AK147" s="3">
        <v>2170</v>
      </c>
      <c r="AL147" s="3">
        <v>2172</v>
      </c>
      <c r="AM147" s="3">
        <v>2193</v>
      </c>
      <c r="AN147" s="3">
        <v>2182</v>
      </c>
      <c r="AO147" s="3">
        <v>2185</v>
      </c>
      <c r="AP147" s="3">
        <v>2286</v>
      </c>
      <c r="AQ147" s="3">
        <v>2336</v>
      </c>
      <c r="AR147" s="4">
        <v>530.39443155452432</v>
      </c>
      <c r="AS147" s="5">
        <f t="shared" si="22"/>
        <v>3.384841795437822</v>
      </c>
      <c r="AT147" s="5">
        <f t="shared" si="23"/>
        <v>1.556970983722576</v>
      </c>
      <c r="AU147" s="5">
        <f t="shared" si="24"/>
        <v>0.41645505332656169</v>
      </c>
      <c r="AV147" s="5">
        <f t="shared" si="25"/>
        <v>1.1457825450999513</v>
      </c>
      <c r="AW147" s="5">
        <f t="shared" si="26"/>
        <v>2.6403497381292471</v>
      </c>
      <c r="AX147" s="5">
        <f t="shared" si="27"/>
        <v>0.80497714575926871</v>
      </c>
      <c r="AY147" s="5">
        <f t="shared" si="28"/>
        <v>1.8435654197243603</v>
      </c>
      <c r="AZ147">
        <f t="shared" si="29"/>
        <v>4310000</v>
      </c>
      <c r="BA147">
        <v>0</v>
      </c>
      <c r="BB147">
        <v>1110000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2370000</v>
      </c>
      <c r="BK147">
        <v>140000</v>
      </c>
      <c r="BL147">
        <v>0</v>
      </c>
      <c r="BM147">
        <v>0</v>
      </c>
      <c r="BN147">
        <v>0</v>
      </c>
      <c r="BO147">
        <v>150000</v>
      </c>
      <c r="BP147">
        <v>170000</v>
      </c>
      <c r="BQ147">
        <v>0</v>
      </c>
      <c r="BR147">
        <v>350000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20000</v>
      </c>
      <c r="CB147">
        <v>91</v>
      </c>
      <c r="CC147">
        <v>111</v>
      </c>
      <c r="CD147">
        <v>116</v>
      </c>
      <c r="CE147">
        <v>128</v>
      </c>
      <c r="CF147" s="17">
        <v>21.162790697674421</v>
      </c>
      <c r="CG147" s="17">
        <v>25.813953488372093</v>
      </c>
      <c r="CH147" s="17">
        <v>26.976744186046513</v>
      </c>
      <c r="CI147" s="17">
        <v>29.767441860465116</v>
      </c>
      <c r="CJ147" s="18">
        <v>1</v>
      </c>
      <c r="CK147" s="18">
        <v>1.2197802197802199</v>
      </c>
      <c r="CL147" s="18">
        <v>1.2747252747252746</v>
      </c>
      <c r="CM147" s="18">
        <v>1.4065934065934067</v>
      </c>
      <c r="CN147" s="18">
        <v>0</v>
      </c>
      <c r="CO147" s="18">
        <v>4.6511627906976747</v>
      </c>
      <c r="CP147" s="18">
        <v>5.8139534883720927</v>
      </c>
      <c r="CQ147" s="18">
        <v>8.6046511627906987</v>
      </c>
      <c r="CR147" s="18">
        <f t="shared" si="30"/>
        <v>1.6136865342163356</v>
      </c>
      <c r="CS147" s="18">
        <f t="shared" si="31"/>
        <v>1.1472302704194259</v>
      </c>
      <c r="CT147">
        <v>26.682134570765701</v>
      </c>
      <c r="CU147">
        <v>60.556844547563799</v>
      </c>
      <c r="CV147">
        <v>12.529002320185599</v>
      </c>
      <c r="CW147">
        <v>0</v>
      </c>
      <c r="CX147">
        <v>0.23201856148491901</v>
      </c>
      <c r="CY147">
        <v>26.682134570765701</v>
      </c>
      <c r="CZ147">
        <v>60.556844547563799</v>
      </c>
      <c r="DA147">
        <v>12.529002320185599</v>
      </c>
      <c r="DB147">
        <v>0</v>
      </c>
      <c r="DC147">
        <v>0.23201856148491901</v>
      </c>
      <c r="DD147">
        <v>23.201856148491899</v>
      </c>
      <c r="DE147">
        <v>64.26914153132256</v>
      </c>
      <c r="DF147">
        <v>12.0649651972158</v>
      </c>
      <c r="DG147">
        <v>0</v>
      </c>
      <c r="DH147">
        <v>0.46403712296983801</v>
      </c>
      <c r="DI147">
        <v>25.754060324826</v>
      </c>
      <c r="DJ147">
        <v>61.716937354988438</v>
      </c>
      <c r="DK147">
        <v>12.0649651972158</v>
      </c>
      <c r="DL147">
        <v>0</v>
      </c>
      <c r="DM147">
        <v>0.46403712296983801</v>
      </c>
      <c r="DN147">
        <v>25.754060324826</v>
      </c>
      <c r="DO147">
        <v>61.716937354988438</v>
      </c>
      <c r="DP147">
        <v>12.0649651972158</v>
      </c>
      <c r="DQ147">
        <v>0</v>
      </c>
      <c r="DR147">
        <v>0.46403712296983801</v>
      </c>
      <c r="DS147" t="s">
        <v>312</v>
      </c>
      <c r="DT147" t="s">
        <v>313</v>
      </c>
      <c r="DU147">
        <v>2363</v>
      </c>
      <c r="DV147" t="s">
        <v>547</v>
      </c>
      <c r="DW147" t="s">
        <v>548</v>
      </c>
      <c r="DX147">
        <v>86</v>
      </c>
      <c r="DY147">
        <v>130</v>
      </c>
      <c r="DZ147">
        <v>216</v>
      </c>
      <c r="EA147">
        <v>606779</v>
      </c>
      <c r="EB147">
        <v>388178</v>
      </c>
      <c r="EC147">
        <v>994957</v>
      </c>
      <c r="ED147" t="s">
        <v>274</v>
      </c>
      <c r="EE147" t="s">
        <v>274</v>
      </c>
      <c r="EF147" t="s">
        <v>274</v>
      </c>
      <c r="EG147" t="s">
        <v>274</v>
      </c>
    </row>
    <row r="148" spans="1:137" ht="14.55" customHeight="1" x14ac:dyDescent="0.3">
      <c r="A148" t="s">
        <v>581</v>
      </c>
      <c r="B148">
        <v>5714</v>
      </c>
      <c r="C148" t="s">
        <v>582</v>
      </c>
      <c r="D148" t="s">
        <v>543</v>
      </c>
      <c r="E148" t="s">
        <v>544</v>
      </c>
      <c r="F148" t="s">
        <v>270</v>
      </c>
      <c r="G148" t="s">
        <v>545</v>
      </c>
      <c r="H148" s="3">
        <v>2030307.1849499999</v>
      </c>
      <c r="I148">
        <v>199</v>
      </c>
      <c r="J148" s="3">
        <v>203.03071558600001</v>
      </c>
      <c r="K148">
        <v>451</v>
      </c>
      <c r="L148">
        <v>526</v>
      </c>
      <c r="M148">
        <v>479.59669046073998</v>
      </c>
      <c r="N148">
        <v>16.187773947859199</v>
      </c>
      <c r="O148">
        <v>0</v>
      </c>
      <c r="P148">
        <v>21.189159393310501</v>
      </c>
      <c r="Q148">
        <v>3.87244844436646</v>
      </c>
      <c r="R148">
        <v>2.6428496837615998</v>
      </c>
      <c r="S148" t="s">
        <v>546</v>
      </c>
      <c r="T148" t="s">
        <v>581</v>
      </c>
      <c r="U148" t="s">
        <v>582</v>
      </c>
      <c r="V148" t="s">
        <v>582</v>
      </c>
      <c r="W148" s="3">
        <v>1174</v>
      </c>
      <c r="X148" s="3">
        <v>2030000</v>
      </c>
      <c r="Y148">
        <v>2</v>
      </c>
      <c r="Z148" s="3">
        <v>477</v>
      </c>
      <c r="AA148" s="3">
        <v>545</v>
      </c>
      <c r="AB148" s="3">
        <v>707</v>
      </c>
      <c r="AC148" s="3">
        <v>1053</v>
      </c>
      <c r="AD148" s="3">
        <v>1064</v>
      </c>
      <c r="AE148" s="3">
        <v>1095</v>
      </c>
      <c r="AF148" s="3">
        <v>1067</v>
      </c>
      <c r="AG148" s="3">
        <v>1126</v>
      </c>
      <c r="AH148" s="3">
        <v>1120</v>
      </c>
      <c r="AI148" s="3">
        <v>1088</v>
      </c>
      <c r="AJ148" s="3">
        <v>1128</v>
      </c>
      <c r="AK148" s="3">
        <v>1150</v>
      </c>
      <c r="AL148" s="3">
        <v>1187</v>
      </c>
      <c r="AM148" s="3">
        <v>1201</v>
      </c>
      <c r="AN148" s="3">
        <v>1153</v>
      </c>
      <c r="AO148" s="3">
        <v>1177</v>
      </c>
      <c r="AP148" s="3">
        <v>1174</v>
      </c>
      <c r="AQ148" s="3">
        <v>1172</v>
      </c>
      <c r="AR148" s="4">
        <v>578.32512315270935</v>
      </c>
      <c r="AS148" s="5">
        <f t="shared" si="22"/>
        <v>1.7819706498951779</v>
      </c>
      <c r="AT148" s="5">
        <f t="shared" si="23"/>
        <v>3.3027522935779818</v>
      </c>
      <c r="AU148" s="5">
        <f t="shared" si="24"/>
        <v>5.0919377652050919</v>
      </c>
      <c r="AV148" s="5">
        <f t="shared" si="25"/>
        <v>1.0028116213683225</v>
      </c>
      <c r="AW148" s="5">
        <f t="shared" si="26"/>
        <v>2.8363546676532252</v>
      </c>
      <c r="AX148" s="5">
        <f t="shared" si="27"/>
        <v>3.3026874115983027</v>
      </c>
      <c r="AY148" s="5">
        <f t="shared" si="28"/>
        <v>3.9492322511190432</v>
      </c>
      <c r="AZ148">
        <f t="shared" si="29"/>
        <v>2000000</v>
      </c>
      <c r="BA148">
        <v>0</v>
      </c>
      <c r="BB148">
        <v>380000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1520000</v>
      </c>
      <c r="BK148">
        <v>0</v>
      </c>
      <c r="BL148">
        <v>0</v>
      </c>
      <c r="BM148">
        <v>0</v>
      </c>
      <c r="BN148">
        <v>0</v>
      </c>
      <c r="BO148">
        <v>10000</v>
      </c>
      <c r="BP148">
        <v>80000</v>
      </c>
      <c r="BQ148">
        <v>0</v>
      </c>
      <c r="BR148">
        <v>10000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32</v>
      </c>
      <c r="CC148">
        <v>34</v>
      </c>
      <c r="CD148">
        <v>43</v>
      </c>
      <c r="CE148">
        <v>42</v>
      </c>
      <c r="CF148" s="17">
        <v>15.841584158415841</v>
      </c>
      <c r="CG148" s="17">
        <v>16.831683168316832</v>
      </c>
      <c r="CH148" s="17">
        <v>21.287128712871286</v>
      </c>
      <c r="CI148" s="17">
        <v>20.792079207920793</v>
      </c>
      <c r="CJ148" s="18">
        <v>1</v>
      </c>
      <c r="CK148" s="18">
        <v>1.0625</v>
      </c>
      <c r="CL148" s="18">
        <v>1.34375</v>
      </c>
      <c r="CM148" s="18">
        <v>1.3125</v>
      </c>
      <c r="CN148" s="18">
        <v>0</v>
      </c>
      <c r="CO148" s="18">
        <v>0.99009900990099009</v>
      </c>
      <c r="CP148" s="18">
        <v>5.4455445544554459</v>
      </c>
      <c r="CQ148" s="18">
        <v>4.9504950495049505</v>
      </c>
      <c r="CR148" s="18">
        <f t="shared" si="30"/>
        <v>2.5178197064989516</v>
      </c>
      <c r="CS148" s="18">
        <f t="shared" si="31"/>
        <v>1.9183388239992012</v>
      </c>
      <c r="CT148">
        <v>24</v>
      </c>
      <c r="CU148">
        <v>71.5</v>
      </c>
      <c r="CV148">
        <v>4.5</v>
      </c>
      <c r="CW148">
        <v>0</v>
      </c>
      <c r="CX148">
        <v>0</v>
      </c>
      <c r="CY148">
        <v>24</v>
      </c>
      <c r="CZ148">
        <v>71.5</v>
      </c>
      <c r="DA148">
        <v>4.5</v>
      </c>
      <c r="DB148">
        <v>0</v>
      </c>
      <c r="DC148">
        <v>0</v>
      </c>
      <c r="DD148">
        <v>19</v>
      </c>
      <c r="DE148">
        <v>76.5</v>
      </c>
      <c r="DF148">
        <v>4.5</v>
      </c>
      <c r="DG148">
        <v>0</v>
      </c>
      <c r="DH148">
        <v>0</v>
      </c>
      <c r="DI148">
        <v>19</v>
      </c>
      <c r="DJ148">
        <v>76.5</v>
      </c>
      <c r="DK148">
        <v>4.5</v>
      </c>
      <c r="DL148">
        <v>0</v>
      </c>
      <c r="DM148">
        <v>0</v>
      </c>
      <c r="DN148">
        <v>19</v>
      </c>
      <c r="DO148">
        <v>76.5</v>
      </c>
      <c r="DP148">
        <v>4.5</v>
      </c>
      <c r="DQ148">
        <v>0</v>
      </c>
      <c r="DR148">
        <v>0</v>
      </c>
      <c r="DS148" t="s">
        <v>312</v>
      </c>
      <c r="DT148" t="s">
        <v>313</v>
      </c>
      <c r="DU148">
        <v>1236</v>
      </c>
      <c r="DV148" t="s">
        <v>547</v>
      </c>
      <c r="DW148" t="s">
        <v>548</v>
      </c>
      <c r="DX148">
        <v>86</v>
      </c>
      <c r="DY148">
        <v>130</v>
      </c>
      <c r="DZ148">
        <v>216</v>
      </c>
      <c r="EA148">
        <v>606779</v>
      </c>
      <c r="EB148">
        <v>388178</v>
      </c>
      <c r="EC148">
        <v>994957</v>
      </c>
      <c r="ED148" t="s">
        <v>274</v>
      </c>
      <c r="EE148" t="s">
        <v>274</v>
      </c>
      <c r="EF148" t="s">
        <v>274</v>
      </c>
      <c r="EG148" t="s">
        <v>274</v>
      </c>
    </row>
    <row r="149" spans="1:137" ht="14.55" customHeight="1" x14ac:dyDescent="0.3">
      <c r="A149" t="s">
        <v>583</v>
      </c>
      <c r="B149">
        <v>5715</v>
      </c>
      <c r="C149" t="s">
        <v>584</v>
      </c>
      <c r="D149" t="s">
        <v>543</v>
      </c>
      <c r="E149" t="s">
        <v>544</v>
      </c>
      <c r="F149" t="s">
        <v>270</v>
      </c>
      <c r="G149" t="s">
        <v>545</v>
      </c>
      <c r="H149" s="3">
        <v>4106396.2500499999</v>
      </c>
      <c r="I149">
        <v>411</v>
      </c>
      <c r="J149" s="3">
        <v>410.63962500499997</v>
      </c>
      <c r="K149">
        <v>418</v>
      </c>
      <c r="L149">
        <v>487</v>
      </c>
      <c r="M149">
        <v>447.95838020247498</v>
      </c>
      <c r="N149">
        <v>14.137818354946001</v>
      </c>
      <c r="O149">
        <v>0</v>
      </c>
      <c r="P149">
        <v>19.595737457275401</v>
      </c>
      <c r="Q149">
        <v>3.6851978302002002</v>
      </c>
      <c r="R149">
        <v>2.2266507148742698</v>
      </c>
      <c r="S149" t="s">
        <v>546</v>
      </c>
      <c r="T149" t="s">
        <v>583</v>
      </c>
      <c r="U149" t="s">
        <v>584</v>
      </c>
      <c r="V149" t="s">
        <v>584</v>
      </c>
      <c r="W149" s="3">
        <v>1089</v>
      </c>
      <c r="X149" s="3">
        <v>4110000</v>
      </c>
      <c r="Y149">
        <v>2</v>
      </c>
      <c r="Z149" s="3">
        <v>437</v>
      </c>
      <c r="AA149" s="3">
        <v>698</v>
      </c>
      <c r="AB149" s="3">
        <v>905</v>
      </c>
      <c r="AC149" s="3">
        <v>1020</v>
      </c>
      <c r="AD149" s="3">
        <v>1029</v>
      </c>
      <c r="AE149" s="3">
        <v>1055</v>
      </c>
      <c r="AF149" s="3">
        <v>1078</v>
      </c>
      <c r="AG149" s="3">
        <v>1084</v>
      </c>
      <c r="AH149" s="3">
        <v>1080</v>
      </c>
      <c r="AI149" s="3">
        <v>1057</v>
      </c>
      <c r="AJ149" s="3">
        <v>1052</v>
      </c>
      <c r="AK149" s="3">
        <v>1054</v>
      </c>
      <c r="AL149" s="3">
        <v>1034</v>
      </c>
      <c r="AM149" s="3">
        <v>1070</v>
      </c>
      <c r="AN149" s="3">
        <v>1080</v>
      </c>
      <c r="AO149" s="3">
        <v>1080</v>
      </c>
      <c r="AP149" s="3">
        <v>1089</v>
      </c>
      <c r="AQ149" s="3">
        <v>1131</v>
      </c>
      <c r="AR149" s="4">
        <v>264.96350364963502</v>
      </c>
      <c r="AS149" s="5">
        <f t="shared" si="22"/>
        <v>7.4656750572082373</v>
      </c>
      <c r="AT149" s="5">
        <f t="shared" si="23"/>
        <v>3.2951289398280807</v>
      </c>
      <c r="AU149" s="5">
        <f t="shared" si="24"/>
        <v>1.9116022099447512</v>
      </c>
      <c r="AV149" s="5">
        <f t="shared" si="25"/>
        <v>0.1020408163265306</v>
      </c>
      <c r="AW149" s="5">
        <f t="shared" si="26"/>
        <v>6.2996365594292643</v>
      </c>
      <c r="AX149" s="5">
        <f t="shared" si="27"/>
        <v>1.0165745856353592</v>
      </c>
      <c r="AY149" s="5">
        <f t="shared" si="28"/>
        <v>4.0324076937349256</v>
      </c>
      <c r="AZ149">
        <f t="shared" si="29"/>
        <v>4110000</v>
      </c>
      <c r="BA149">
        <v>0</v>
      </c>
      <c r="BB149">
        <v>320000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2660000</v>
      </c>
      <c r="BK149">
        <v>510000</v>
      </c>
      <c r="BL149">
        <v>270000</v>
      </c>
      <c r="BM149">
        <v>0</v>
      </c>
      <c r="BN149">
        <v>0</v>
      </c>
      <c r="BO149">
        <v>350000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54</v>
      </c>
      <c r="CC149">
        <v>62</v>
      </c>
      <c r="CD149">
        <v>66</v>
      </c>
      <c r="CE149">
        <v>67</v>
      </c>
      <c r="CF149" s="17">
        <v>13.333333333333334</v>
      </c>
      <c r="CG149" s="17">
        <v>15.308641975308642</v>
      </c>
      <c r="CH149" s="17">
        <v>16.296296296296298</v>
      </c>
      <c r="CI149" s="17">
        <v>16.543209876543212</v>
      </c>
      <c r="CJ149" s="18">
        <v>1</v>
      </c>
      <c r="CK149" s="18">
        <v>1.1481481481481481</v>
      </c>
      <c r="CL149" s="18">
        <v>1.2222222222222223</v>
      </c>
      <c r="CM149" s="18">
        <v>1.2407407407407407</v>
      </c>
      <c r="CN149" s="18">
        <v>0</v>
      </c>
      <c r="CO149" s="18">
        <v>1.9753086419753085</v>
      </c>
      <c r="CP149" s="18">
        <v>2.9629629629629632</v>
      </c>
      <c r="CQ149" s="18">
        <v>3.2098765432098766</v>
      </c>
      <c r="CR149" s="18">
        <f t="shared" si="30"/>
        <v>2.4485125858123569</v>
      </c>
      <c r="CS149" s="18">
        <f t="shared" si="31"/>
        <v>1.973428054236825</v>
      </c>
      <c r="CT149">
        <v>6.5693430656934302</v>
      </c>
      <c r="CU149">
        <v>89.537712895377169</v>
      </c>
      <c r="CV149">
        <v>3.8929440389294401</v>
      </c>
      <c r="CW149">
        <v>0</v>
      </c>
      <c r="CX149">
        <v>0</v>
      </c>
      <c r="CY149">
        <v>9.7323600973235997</v>
      </c>
      <c r="CZ149">
        <v>87.591240875912462</v>
      </c>
      <c r="DA149">
        <v>2.6763990267639901</v>
      </c>
      <c r="DB149">
        <v>0</v>
      </c>
      <c r="DC149">
        <v>0</v>
      </c>
      <c r="DD149">
        <v>7.7858880778588802</v>
      </c>
      <c r="DE149">
        <v>89.537712895377098</v>
      </c>
      <c r="DF149">
        <v>2.6763990267639901</v>
      </c>
      <c r="DG149">
        <v>0</v>
      </c>
      <c r="DH149">
        <v>0</v>
      </c>
      <c r="DI149">
        <v>7.7858880778588802</v>
      </c>
      <c r="DJ149">
        <v>92.214111922141157</v>
      </c>
      <c r="DK149">
        <v>0</v>
      </c>
      <c r="DL149">
        <v>0</v>
      </c>
      <c r="DM149">
        <v>0</v>
      </c>
      <c r="DN149">
        <v>7.7858880778588802</v>
      </c>
      <c r="DO149">
        <v>92.214111922141157</v>
      </c>
      <c r="DP149">
        <v>0</v>
      </c>
      <c r="DQ149">
        <v>0</v>
      </c>
      <c r="DR149">
        <v>0</v>
      </c>
      <c r="DS149" t="s">
        <v>312</v>
      </c>
      <c r="DT149" t="s">
        <v>313</v>
      </c>
      <c r="DU149">
        <v>1113</v>
      </c>
      <c r="DV149" t="s">
        <v>547</v>
      </c>
      <c r="DW149" t="s">
        <v>548</v>
      </c>
      <c r="DX149">
        <v>86</v>
      </c>
      <c r="DY149">
        <v>130</v>
      </c>
      <c r="DZ149">
        <v>216</v>
      </c>
      <c r="EA149">
        <v>606779</v>
      </c>
      <c r="EB149">
        <v>388178</v>
      </c>
      <c r="EC149">
        <v>994957</v>
      </c>
      <c r="ED149" t="s">
        <v>274</v>
      </c>
      <c r="EE149" t="s">
        <v>274</v>
      </c>
      <c r="EF149" t="s">
        <v>274</v>
      </c>
      <c r="EG149" t="s">
        <v>274</v>
      </c>
    </row>
    <row r="150" spans="1:137" ht="14.55" customHeight="1" x14ac:dyDescent="0.3">
      <c r="A150" t="s">
        <v>585</v>
      </c>
      <c r="B150">
        <v>5716</v>
      </c>
      <c r="C150" t="s">
        <v>586</v>
      </c>
      <c r="D150" t="s">
        <v>543</v>
      </c>
      <c r="E150" t="s">
        <v>544</v>
      </c>
      <c r="F150" t="s">
        <v>270</v>
      </c>
      <c r="G150" t="s">
        <v>545</v>
      </c>
      <c r="H150" s="3">
        <v>2383250.5029000002</v>
      </c>
      <c r="I150">
        <v>239</v>
      </c>
      <c r="J150" s="3">
        <v>238.32505029000001</v>
      </c>
      <c r="K150">
        <v>397</v>
      </c>
      <c r="L150">
        <v>470</v>
      </c>
      <c r="M150">
        <v>434.315467925576</v>
      </c>
      <c r="N150">
        <v>11.4676613083713</v>
      </c>
      <c r="O150">
        <v>0</v>
      </c>
      <c r="P150">
        <v>17.713281631469702</v>
      </c>
      <c r="Q150">
        <v>3.71270680427551</v>
      </c>
      <c r="R150">
        <v>2.29022192955017</v>
      </c>
      <c r="S150" t="s">
        <v>546</v>
      </c>
      <c r="T150" t="s">
        <v>585</v>
      </c>
      <c r="U150" t="s">
        <v>586</v>
      </c>
      <c r="V150" t="s">
        <v>586</v>
      </c>
      <c r="W150" s="3">
        <v>1735</v>
      </c>
      <c r="X150" s="3">
        <v>2380000</v>
      </c>
      <c r="Y150">
        <v>2</v>
      </c>
      <c r="Z150" s="3">
        <v>549</v>
      </c>
      <c r="AA150" s="3">
        <v>742</v>
      </c>
      <c r="AB150" s="3">
        <v>859</v>
      </c>
      <c r="AC150" s="3">
        <v>960</v>
      </c>
      <c r="AD150" s="3">
        <v>995</v>
      </c>
      <c r="AE150" s="3">
        <v>1020</v>
      </c>
      <c r="AF150" s="3">
        <v>1195</v>
      </c>
      <c r="AG150" s="3">
        <v>1257</v>
      </c>
      <c r="AH150" s="3">
        <v>1342</v>
      </c>
      <c r="AI150" s="3">
        <v>1352</v>
      </c>
      <c r="AJ150" s="3">
        <v>1398</v>
      </c>
      <c r="AK150" s="3">
        <v>1498</v>
      </c>
      <c r="AL150" s="3">
        <v>1506</v>
      </c>
      <c r="AM150" s="3">
        <v>1521</v>
      </c>
      <c r="AN150" s="3">
        <v>1601</v>
      </c>
      <c r="AO150" s="3">
        <v>1608</v>
      </c>
      <c r="AP150" s="3">
        <v>1735</v>
      </c>
      <c r="AQ150" s="3">
        <v>1738</v>
      </c>
      <c r="AR150" s="4">
        <v>728.99159663865544</v>
      </c>
      <c r="AS150" s="5">
        <f t="shared" si="22"/>
        <v>4.3943533697632056</v>
      </c>
      <c r="AT150" s="5">
        <f t="shared" si="23"/>
        <v>1.7520215633423182</v>
      </c>
      <c r="AU150" s="5">
        <f t="shared" si="24"/>
        <v>3.911525029103609</v>
      </c>
      <c r="AV150" s="5">
        <f t="shared" si="25"/>
        <v>4.5188284518828459</v>
      </c>
      <c r="AW150" s="5">
        <f t="shared" si="26"/>
        <v>3.3215471981142186</v>
      </c>
      <c r="AX150" s="5">
        <f t="shared" si="27"/>
        <v>5.0989522700814902</v>
      </c>
      <c r="AY150" s="5">
        <f t="shared" si="28"/>
        <v>5.8386255107566578</v>
      </c>
      <c r="AZ150">
        <f t="shared" si="29"/>
        <v>2370000</v>
      </c>
      <c r="BA150">
        <v>0</v>
      </c>
      <c r="BB150">
        <v>280000</v>
      </c>
      <c r="BC150">
        <v>90000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2000000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42</v>
      </c>
      <c r="CC150">
        <v>47</v>
      </c>
      <c r="CD150">
        <v>49</v>
      </c>
      <c r="CE150">
        <v>55</v>
      </c>
      <c r="CF150" s="17">
        <v>17.796610169491526</v>
      </c>
      <c r="CG150" s="17">
        <v>19.915254237288135</v>
      </c>
      <c r="CH150" s="17">
        <v>20.762711864406779</v>
      </c>
      <c r="CI150" s="17">
        <v>23.305084745762709</v>
      </c>
      <c r="CJ150" s="18">
        <v>1</v>
      </c>
      <c r="CK150" s="18">
        <v>1.1190476190476191</v>
      </c>
      <c r="CL150" s="18">
        <v>1.1666666666666667</v>
      </c>
      <c r="CM150" s="18">
        <v>1.3095238095238095</v>
      </c>
      <c r="CN150" s="18">
        <v>0</v>
      </c>
      <c r="CO150" s="18">
        <v>2.1186440677966099</v>
      </c>
      <c r="CP150" s="18">
        <v>2.9661016949152543</v>
      </c>
      <c r="CQ150" s="18">
        <v>5.508474576271186</v>
      </c>
      <c r="CR150" s="18">
        <f t="shared" si="30"/>
        <v>2.7704918032786887</v>
      </c>
      <c r="CS150" s="18">
        <f t="shared" si="31"/>
        <v>2.1156482861400896</v>
      </c>
      <c r="CT150">
        <v>24.050632911392412</v>
      </c>
      <c r="CU150">
        <v>75.949367088607602</v>
      </c>
      <c r="CV150">
        <v>0</v>
      </c>
      <c r="CW150">
        <v>0</v>
      </c>
      <c r="CX150">
        <v>0</v>
      </c>
      <c r="CY150">
        <v>24.050632911392412</v>
      </c>
      <c r="CZ150">
        <v>75.949367088607602</v>
      </c>
      <c r="DA150">
        <v>0</v>
      </c>
      <c r="DB150">
        <v>0</v>
      </c>
      <c r="DC150">
        <v>0</v>
      </c>
      <c r="DD150">
        <v>15.611814345991581</v>
      </c>
      <c r="DE150">
        <v>79.746835443037952</v>
      </c>
      <c r="DF150">
        <v>4.6413502109704599</v>
      </c>
      <c r="DG150">
        <v>0</v>
      </c>
      <c r="DH150">
        <v>0</v>
      </c>
      <c r="DI150">
        <v>15.611814345991581</v>
      </c>
      <c r="DJ150">
        <v>84.388185654008396</v>
      </c>
      <c r="DK150">
        <v>0</v>
      </c>
      <c r="DL150">
        <v>0</v>
      </c>
      <c r="DM150">
        <v>0</v>
      </c>
      <c r="DN150">
        <v>15.611814345991581</v>
      </c>
      <c r="DO150">
        <v>84.388185654008396</v>
      </c>
      <c r="DP150">
        <v>0</v>
      </c>
      <c r="DQ150">
        <v>0</v>
      </c>
      <c r="DR150">
        <v>0</v>
      </c>
      <c r="DS150" t="s">
        <v>564</v>
      </c>
      <c r="DT150" t="s">
        <v>313</v>
      </c>
      <c r="DU150">
        <v>1775</v>
      </c>
      <c r="DV150" t="s">
        <v>547</v>
      </c>
      <c r="DW150" t="s">
        <v>548</v>
      </c>
      <c r="DX150">
        <v>86</v>
      </c>
      <c r="DY150">
        <v>130</v>
      </c>
      <c r="DZ150">
        <v>216</v>
      </c>
      <c r="EA150">
        <v>606779</v>
      </c>
      <c r="EB150">
        <v>388178</v>
      </c>
      <c r="EC150">
        <v>994957</v>
      </c>
      <c r="ED150" t="s">
        <v>274</v>
      </c>
      <c r="EE150" t="s">
        <v>274</v>
      </c>
      <c r="EF150" t="s">
        <v>274</v>
      </c>
      <c r="EG150" t="s">
        <v>274</v>
      </c>
    </row>
    <row r="151" spans="1:137" ht="14.55" customHeight="1" x14ac:dyDescent="0.3">
      <c r="A151" t="s">
        <v>587</v>
      </c>
      <c r="B151">
        <v>5717</v>
      </c>
      <c r="C151" t="s">
        <v>588</v>
      </c>
      <c r="D151" t="s">
        <v>543</v>
      </c>
      <c r="E151" t="s">
        <v>544</v>
      </c>
      <c r="F151" t="s">
        <v>270</v>
      </c>
      <c r="G151" t="s">
        <v>545</v>
      </c>
      <c r="H151" s="3">
        <v>4790446.05155</v>
      </c>
      <c r="I151">
        <v>480</v>
      </c>
      <c r="J151" s="3">
        <v>479.04459971</v>
      </c>
      <c r="K151">
        <v>370</v>
      </c>
      <c r="L151">
        <v>483</v>
      </c>
      <c r="M151">
        <v>417.02329106946002</v>
      </c>
      <c r="N151">
        <v>25.959973281248399</v>
      </c>
      <c r="O151">
        <v>0</v>
      </c>
      <c r="P151">
        <v>20.212633132934599</v>
      </c>
      <c r="Q151">
        <v>3.4632585048675502</v>
      </c>
      <c r="R151">
        <v>2.2674379348754901</v>
      </c>
      <c r="S151" t="s">
        <v>546</v>
      </c>
      <c r="T151" t="s">
        <v>587</v>
      </c>
      <c r="U151" t="s">
        <v>588</v>
      </c>
      <c r="V151" t="s">
        <v>588</v>
      </c>
      <c r="W151" s="3">
        <v>3776</v>
      </c>
      <c r="X151" s="3">
        <v>4790000</v>
      </c>
      <c r="Y151">
        <v>2</v>
      </c>
      <c r="Z151" s="3">
        <v>1455</v>
      </c>
      <c r="AA151" s="3">
        <v>1831</v>
      </c>
      <c r="AB151" s="3">
        <v>2579</v>
      </c>
      <c r="AC151" s="3">
        <v>3032</v>
      </c>
      <c r="AD151" s="3">
        <v>3082</v>
      </c>
      <c r="AE151" s="3">
        <v>3139</v>
      </c>
      <c r="AF151" s="3">
        <v>3221</v>
      </c>
      <c r="AG151" s="3">
        <v>3275</v>
      </c>
      <c r="AH151" s="3">
        <v>3286</v>
      </c>
      <c r="AI151" s="3">
        <v>3429</v>
      </c>
      <c r="AJ151" s="3">
        <v>3450</v>
      </c>
      <c r="AK151" s="3">
        <v>3528</v>
      </c>
      <c r="AL151" s="3">
        <v>3632</v>
      </c>
      <c r="AM151" s="3">
        <v>3720</v>
      </c>
      <c r="AN151" s="3">
        <v>3796</v>
      </c>
      <c r="AO151" s="3">
        <v>3775</v>
      </c>
      <c r="AP151" s="3">
        <v>3776</v>
      </c>
      <c r="AQ151" s="3">
        <v>3874</v>
      </c>
      <c r="AR151" s="4">
        <v>788.30897703549056</v>
      </c>
      <c r="AS151" s="5">
        <f t="shared" si="22"/>
        <v>3.2302405498281792</v>
      </c>
      <c r="AT151" s="5">
        <f t="shared" si="23"/>
        <v>4.5391103829115851</v>
      </c>
      <c r="AU151" s="5">
        <f t="shared" si="24"/>
        <v>2.4893369523070956</v>
      </c>
      <c r="AV151" s="5">
        <f t="shared" si="25"/>
        <v>1.7230673703818689</v>
      </c>
      <c r="AW151" s="5">
        <f t="shared" si="26"/>
        <v>4.5441681827370131</v>
      </c>
      <c r="AX151" s="5">
        <f t="shared" si="27"/>
        <v>2.3206669251647929</v>
      </c>
      <c r="AY151" s="5">
        <f t="shared" si="28"/>
        <v>4.3113216309092603</v>
      </c>
      <c r="AZ151">
        <f t="shared" si="29"/>
        <v>4810000</v>
      </c>
      <c r="BA151">
        <v>0</v>
      </c>
      <c r="BB151">
        <v>1800000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2000000</v>
      </c>
      <c r="BK151">
        <v>410000</v>
      </c>
      <c r="BL151">
        <v>480000</v>
      </c>
      <c r="BM151">
        <v>0</v>
      </c>
      <c r="BN151">
        <v>0</v>
      </c>
      <c r="BO151">
        <v>120000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121</v>
      </c>
      <c r="CC151">
        <v>137</v>
      </c>
      <c r="CD151">
        <v>155</v>
      </c>
      <c r="CE151">
        <v>173</v>
      </c>
      <c r="CF151" s="17">
        <v>25.313807531380757</v>
      </c>
      <c r="CG151" s="17">
        <v>28.661087866108787</v>
      </c>
      <c r="CH151" s="17">
        <v>32.42677824267782</v>
      </c>
      <c r="CI151" s="17">
        <v>36.19246861924686</v>
      </c>
      <c r="CJ151" s="18">
        <v>1</v>
      </c>
      <c r="CK151" s="18">
        <v>1.1322314049586777</v>
      </c>
      <c r="CL151" s="18">
        <v>1.28099173553719</v>
      </c>
      <c r="CM151" s="18">
        <v>1.4297520661157024</v>
      </c>
      <c r="CN151" s="18">
        <v>0</v>
      </c>
      <c r="CO151" s="18">
        <v>3.3472803347280333</v>
      </c>
      <c r="CP151" s="18">
        <v>7.1129707112970717</v>
      </c>
      <c r="CQ151" s="18">
        <v>10.87866108786611</v>
      </c>
      <c r="CR151" s="18">
        <f t="shared" si="30"/>
        <v>2.5567010309278349</v>
      </c>
      <c r="CS151" s="18">
        <f t="shared" si="31"/>
        <v>1.7882128597818963</v>
      </c>
      <c r="CT151">
        <v>27.234927234927198</v>
      </c>
      <c r="CU151">
        <v>72.141372141372159</v>
      </c>
      <c r="CV151">
        <v>0</v>
      </c>
      <c r="CW151">
        <v>0</v>
      </c>
      <c r="CX151">
        <v>0.62370062370062396</v>
      </c>
      <c r="CY151">
        <v>29.3139293139293</v>
      </c>
      <c r="CZ151">
        <v>70.062370062370064</v>
      </c>
      <c r="DA151">
        <v>0</v>
      </c>
      <c r="DB151">
        <v>0</v>
      </c>
      <c r="DC151">
        <v>0.62370062370062396</v>
      </c>
      <c r="DD151">
        <v>37.422037422037398</v>
      </c>
      <c r="DE151">
        <v>62.577962577962595</v>
      </c>
      <c r="DF151">
        <v>0</v>
      </c>
      <c r="DG151">
        <v>0</v>
      </c>
      <c r="DH151">
        <v>0</v>
      </c>
      <c r="DI151">
        <v>37.422037422037398</v>
      </c>
      <c r="DJ151">
        <v>62.577962577962602</v>
      </c>
      <c r="DK151">
        <v>0</v>
      </c>
      <c r="DL151">
        <v>0</v>
      </c>
      <c r="DM151">
        <v>0</v>
      </c>
      <c r="DN151">
        <v>37.422037422037398</v>
      </c>
      <c r="DO151">
        <v>62.577962577962602</v>
      </c>
      <c r="DP151">
        <v>0</v>
      </c>
      <c r="DQ151">
        <v>0</v>
      </c>
      <c r="DR151">
        <v>0</v>
      </c>
      <c r="DS151" t="s">
        <v>564</v>
      </c>
      <c r="DT151" t="s">
        <v>313</v>
      </c>
      <c r="DU151">
        <v>3775</v>
      </c>
      <c r="DV151" t="s">
        <v>547</v>
      </c>
      <c r="DW151" t="s">
        <v>548</v>
      </c>
      <c r="DX151">
        <v>86</v>
      </c>
      <c r="DY151">
        <v>130</v>
      </c>
      <c r="DZ151">
        <v>216</v>
      </c>
      <c r="EA151">
        <v>606779</v>
      </c>
      <c r="EB151">
        <v>388178</v>
      </c>
      <c r="EC151">
        <v>994957</v>
      </c>
      <c r="ED151" t="s">
        <v>274</v>
      </c>
      <c r="EE151" t="s">
        <v>274</v>
      </c>
      <c r="EF151" t="s">
        <v>274</v>
      </c>
      <c r="EG151" t="s">
        <v>274</v>
      </c>
    </row>
    <row r="152" spans="1:137" ht="14.55" customHeight="1" x14ac:dyDescent="0.3">
      <c r="A152" t="s">
        <v>589</v>
      </c>
      <c r="B152">
        <v>5718</v>
      </c>
      <c r="C152" t="s">
        <v>590</v>
      </c>
      <c r="D152" t="s">
        <v>543</v>
      </c>
      <c r="E152" t="s">
        <v>544</v>
      </c>
      <c r="F152" t="s">
        <v>270</v>
      </c>
      <c r="G152" t="s">
        <v>545</v>
      </c>
      <c r="H152" s="3">
        <v>4867223.6342000002</v>
      </c>
      <c r="I152">
        <v>486</v>
      </c>
      <c r="J152" s="3">
        <v>486.72236342000002</v>
      </c>
      <c r="K152">
        <v>456</v>
      </c>
      <c r="L152">
        <v>675</v>
      </c>
      <c r="M152">
        <v>556.54752542372898</v>
      </c>
      <c r="N152">
        <v>45.078133437570997</v>
      </c>
      <c r="O152">
        <v>0</v>
      </c>
      <c r="P152">
        <v>25.816034317016602</v>
      </c>
      <c r="Q152">
        <v>6.2893652915954599</v>
      </c>
      <c r="R152">
        <v>3.6513767242431601</v>
      </c>
      <c r="S152" t="s">
        <v>546</v>
      </c>
      <c r="T152" t="s">
        <v>589</v>
      </c>
      <c r="U152" t="s">
        <v>590</v>
      </c>
      <c r="V152" t="s">
        <v>590</v>
      </c>
      <c r="W152" s="3">
        <v>1997</v>
      </c>
      <c r="X152" s="3">
        <v>4860000</v>
      </c>
      <c r="Y152">
        <v>2</v>
      </c>
      <c r="Z152" s="3">
        <v>957</v>
      </c>
      <c r="AA152" s="3">
        <v>1309</v>
      </c>
      <c r="AB152" s="3">
        <v>1510</v>
      </c>
      <c r="AC152" s="3">
        <v>1682</v>
      </c>
      <c r="AD152" s="3">
        <v>1730</v>
      </c>
      <c r="AE152" s="3">
        <v>1744</v>
      </c>
      <c r="AF152" s="3">
        <v>1824</v>
      </c>
      <c r="AG152" s="3">
        <v>1838</v>
      </c>
      <c r="AH152" s="3">
        <v>1858</v>
      </c>
      <c r="AI152" s="3">
        <v>1818</v>
      </c>
      <c r="AJ152" s="3">
        <v>1815</v>
      </c>
      <c r="AK152" s="3">
        <v>1906</v>
      </c>
      <c r="AL152" s="3">
        <v>1929</v>
      </c>
      <c r="AM152" s="3">
        <v>1930</v>
      </c>
      <c r="AN152" s="3">
        <v>1937</v>
      </c>
      <c r="AO152" s="3">
        <v>1958</v>
      </c>
      <c r="AP152" s="3">
        <v>1997</v>
      </c>
      <c r="AQ152" s="3">
        <v>1989</v>
      </c>
      <c r="AR152" s="4">
        <v>410.9053497942387</v>
      </c>
      <c r="AS152" s="5">
        <f t="shared" si="22"/>
        <v>4.5977011494252871</v>
      </c>
      <c r="AT152" s="5">
        <f t="shared" si="23"/>
        <v>1.7061370002546472</v>
      </c>
      <c r="AU152" s="5">
        <f t="shared" si="24"/>
        <v>2.0794701986754967</v>
      </c>
      <c r="AV152" s="5">
        <f t="shared" si="25"/>
        <v>0.94846491228070173</v>
      </c>
      <c r="AW152" s="5">
        <f t="shared" si="26"/>
        <v>3.399102587743561</v>
      </c>
      <c r="AX152" s="5">
        <f t="shared" si="27"/>
        <v>1.612582781456954</v>
      </c>
      <c r="AY152" s="5">
        <f t="shared" si="28"/>
        <v>2.9371063853822479</v>
      </c>
      <c r="AZ152">
        <f t="shared" si="29"/>
        <v>4860000</v>
      </c>
      <c r="BA152">
        <v>0</v>
      </c>
      <c r="BB152">
        <v>990000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1620000</v>
      </c>
      <c r="BK152">
        <v>0</v>
      </c>
      <c r="BL152">
        <v>0</v>
      </c>
      <c r="BM152">
        <v>0</v>
      </c>
      <c r="BN152">
        <v>530000</v>
      </c>
      <c r="BO152">
        <v>0</v>
      </c>
      <c r="BP152">
        <v>1500000</v>
      </c>
      <c r="BQ152">
        <v>0</v>
      </c>
      <c r="BR152">
        <v>220000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66</v>
      </c>
      <c r="CC152">
        <v>79</v>
      </c>
      <c r="CD152">
        <v>92</v>
      </c>
      <c r="CE152">
        <v>99</v>
      </c>
      <c r="CF152" s="17">
        <v>13.608247422680412</v>
      </c>
      <c r="CG152" s="17">
        <v>16.288659793814432</v>
      </c>
      <c r="CH152" s="17">
        <v>18.969072164948454</v>
      </c>
      <c r="CI152" s="17">
        <v>20.412371134020617</v>
      </c>
      <c r="CJ152" s="18">
        <v>1</v>
      </c>
      <c r="CK152" s="18">
        <v>1.196969696969697</v>
      </c>
      <c r="CL152" s="18">
        <v>1.393939393939394</v>
      </c>
      <c r="CM152" s="18">
        <v>1.5</v>
      </c>
      <c r="CN152" s="18">
        <v>0</v>
      </c>
      <c r="CO152" s="18">
        <v>2.6804123711340204</v>
      </c>
      <c r="CP152" s="18">
        <v>5.3608247422680408</v>
      </c>
      <c r="CQ152" s="18">
        <v>6.804123711340206</v>
      </c>
      <c r="CR152" s="18">
        <f t="shared" si="30"/>
        <v>2.0167189132706373</v>
      </c>
      <c r="CS152" s="18">
        <f t="shared" si="31"/>
        <v>1.3444792755137582</v>
      </c>
      <c r="CT152">
        <v>9.4650205761316872</v>
      </c>
      <c r="CU152">
        <v>54.32098765432098</v>
      </c>
      <c r="CV152">
        <v>36.213991769547299</v>
      </c>
      <c r="CW152">
        <v>0</v>
      </c>
      <c r="CX152">
        <v>0</v>
      </c>
      <c r="CY152">
        <v>20.781893004115201</v>
      </c>
      <c r="CZ152">
        <v>45.884773662551481</v>
      </c>
      <c r="DA152">
        <v>33.3333333333333</v>
      </c>
      <c r="DB152">
        <v>0</v>
      </c>
      <c r="DC152">
        <v>0</v>
      </c>
      <c r="DD152">
        <v>20.781893004115201</v>
      </c>
      <c r="DE152">
        <v>45.884773662551481</v>
      </c>
      <c r="DF152">
        <v>33.3333333333333</v>
      </c>
      <c r="DG152">
        <v>0</v>
      </c>
      <c r="DH152">
        <v>0</v>
      </c>
      <c r="DI152">
        <v>20.370370370370399</v>
      </c>
      <c r="DJ152">
        <v>44.238683127572003</v>
      </c>
      <c r="DK152">
        <v>35.390946502057602</v>
      </c>
      <c r="DL152">
        <v>0</v>
      </c>
      <c r="DM152">
        <v>0</v>
      </c>
      <c r="DN152">
        <v>20.370370370370399</v>
      </c>
      <c r="DO152">
        <v>44.238683127572003</v>
      </c>
      <c r="DP152">
        <v>35.390946502057602</v>
      </c>
      <c r="DQ152">
        <v>0</v>
      </c>
      <c r="DR152">
        <v>0</v>
      </c>
      <c r="DS152" t="s">
        <v>312</v>
      </c>
      <c r="DT152" t="s">
        <v>313</v>
      </c>
      <c r="DU152">
        <v>2020</v>
      </c>
      <c r="DV152" t="s">
        <v>547</v>
      </c>
      <c r="DW152" t="s">
        <v>548</v>
      </c>
      <c r="DX152">
        <v>86</v>
      </c>
      <c r="DY152">
        <v>130</v>
      </c>
      <c r="DZ152">
        <v>216</v>
      </c>
      <c r="EA152">
        <v>606779</v>
      </c>
      <c r="EB152">
        <v>388178</v>
      </c>
      <c r="EC152">
        <v>994957</v>
      </c>
      <c r="ED152" t="s">
        <v>274</v>
      </c>
      <c r="EE152" t="s">
        <v>274</v>
      </c>
      <c r="EF152" t="s">
        <v>274</v>
      </c>
      <c r="EG152" t="s">
        <v>274</v>
      </c>
    </row>
    <row r="153" spans="1:137" ht="14.55" customHeight="1" x14ac:dyDescent="0.3">
      <c r="A153" t="s">
        <v>591</v>
      </c>
      <c r="B153">
        <v>5719</v>
      </c>
      <c r="C153" t="s">
        <v>592</v>
      </c>
      <c r="D153" t="s">
        <v>543</v>
      </c>
      <c r="E153" t="s">
        <v>544</v>
      </c>
      <c r="F153" t="s">
        <v>270</v>
      </c>
      <c r="G153" t="s">
        <v>545</v>
      </c>
      <c r="H153" s="3">
        <v>12571601.438100001</v>
      </c>
      <c r="I153">
        <v>1256</v>
      </c>
      <c r="J153" s="3">
        <v>1257.1601438</v>
      </c>
      <c r="K153">
        <v>487</v>
      </c>
      <c r="L153">
        <v>1687</v>
      </c>
      <c r="M153">
        <v>1050.1225292298</v>
      </c>
      <c r="N153">
        <v>387.19712759300501</v>
      </c>
      <c r="O153">
        <v>0</v>
      </c>
      <c r="P153">
        <v>54.2847900390625</v>
      </c>
      <c r="Q153">
        <v>12.3716888427734</v>
      </c>
      <c r="R153">
        <v>8.6876144409179705</v>
      </c>
      <c r="S153" t="s">
        <v>546</v>
      </c>
      <c r="T153" t="s">
        <v>591</v>
      </c>
      <c r="U153" t="s">
        <v>592</v>
      </c>
      <c r="V153" t="s">
        <v>592</v>
      </c>
      <c r="W153" s="3">
        <v>1237</v>
      </c>
      <c r="X153" s="3">
        <v>12560000</v>
      </c>
      <c r="Y153">
        <v>2</v>
      </c>
      <c r="Z153" s="3">
        <v>714</v>
      </c>
      <c r="AA153" s="3">
        <v>907</v>
      </c>
      <c r="AB153" s="3">
        <v>1029</v>
      </c>
      <c r="AC153" s="3">
        <v>1117</v>
      </c>
      <c r="AD153" s="3">
        <v>1120</v>
      </c>
      <c r="AE153" s="3">
        <v>1134</v>
      </c>
      <c r="AF153" s="3">
        <v>1143</v>
      </c>
      <c r="AG153" s="3">
        <v>1145</v>
      </c>
      <c r="AH153" s="3">
        <v>1226</v>
      </c>
      <c r="AI153" s="3">
        <v>1213</v>
      </c>
      <c r="AJ153" s="3">
        <v>1206</v>
      </c>
      <c r="AK153" s="3">
        <v>1244</v>
      </c>
      <c r="AL153" s="3">
        <v>1223</v>
      </c>
      <c r="AM153" s="3">
        <v>1210</v>
      </c>
      <c r="AN153" s="3">
        <v>1210</v>
      </c>
      <c r="AO153" s="3">
        <v>1221</v>
      </c>
      <c r="AP153" s="3">
        <v>1237</v>
      </c>
      <c r="AQ153" s="3">
        <v>1252</v>
      </c>
      <c r="AR153" s="4">
        <v>98.48726114649682</v>
      </c>
      <c r="AS153" s="5">
        <f t="shared" si="22"/>
        <v>3.3788515406162465</v>
      </c>
      <c r="AT153" s="5">
        <f t="shared" si="23"/>
        <v>1.494548572828617</v>
      </c>
      <c r="AU153" s="5">
        <f t="shared" si="24"/>
        <v>1.1078717201166182</v>
      </c>
      <c r="AV153" s="5">
        <f t="shared" si="25"/>
        <v>0.82239720034995611</v>
      </c>
      <c r="AW153" s="5">
        <f t="shared" si="26"/>
        <v>2.5951557093425603</v>
      </c>
      <c r="AX153" s="5">
        <f t="shared" si="27"/>
        <v>1.0106899902818272</v>
      </c>
      <c r="AY153" s="5">
        <f t="shared" si="28"/>
        <v>1.9797108032402149</v>
      </c>
      <c r="AZ153">
        <f t="shared" si="29"/>
        <v>12540000</v>
      </c>
      <c r="BA153">
        <v>0</v>
      </c>
      <c r="BB153">
        <v>690000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2350000</v>
      </c>
      <c r="BK153">
        <v>0</v>
      </c>
      <c r="BL153">
        <v>0</v>
      </c>
      <c r="BM153">
        <v>740000</v>
      </c>
      <c r="BN153">
        <v>0</v>
      </c>
      <c r="BO153">
        <v>0</v>
      </c>
      <c r="BP153">
        <v>1390000</v>
      </c>
      <c r="BQ153">
        <v>2450000</v>
      </c>
      <c r="BR153">
        <v>2530000</v>
      </c>
      <c r="BS153">
        <v>1250000</v>
      </c>
      <c r="BT153">
        <v>0</v>
      </c>
      <c r="BU153">
        <v>1140000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66</v>
      </c>
      <c r="CC153">
        <v>76</v>
      </c>
      <c r="CD153">
        <v>85</v>
      </c>
      <c r="CE153">
        <v>92</v>
      </c>
      <c r="CF153" s="17">
        <v>5.2422557585385228</v>
      </c>
      <c r="CG153" s="17">
        <v>6.0365369340746629</v>
      </c>
      <c r="CH153" s="17">
        <v>6.751389992057188</v>
      </c>
      <c r="CI153" s="17">
        <v>7.3073868149324861</v>
      </c>
      <c r="CJ153" s="18">
        <v>1</v>
      </c>
      <c r="CK153" s="18">
        <v>1.1515151515151516</v>
      </c>
      <c r="CL153" s="18">
        <v>1.2878787878787878</v>
      </c>
      <c r="CM153" s="18">
        <v>1.393939393939394</v>
      </c>
      <c r="CN153" s="18">
        <v>0</v>
      </c>
      <c r="CO153" s="18">
        <v>0.79428117553613975</v>
      </c>
      <c r="CP153" s="18">
        <v>1.5091342335186657</v>
      </c>
      <c r="CQ153" s="18">
        <v>2.0651310563939633</v>
      </c>
      <c r="CR153" s="18">
        <f t="shared" si="30"/>
        <v>1.6946778711484594</v>
      </c>
      <c r="CS153" s="18">
        <f t="shared" si="31"/>
        <v>1.2157471684325902</v>
      </c>
      <c r="CT153">
        <v>6.6985645933014402</v>
      </c>
      <c r="CU153">
        <v>19.696969696969699</v>
      </c>
      <c r="CV153">
        <v>73.604465709728899</v>
      </c>
      <c r="CW153">
        <v>0</v>
      </c>
      <c r="CX153">
        <v>0</v>
      </c>
      <c r="CY153">
        <v>6.6985645933014402</v>
      </c>
      <c r="CZ153">
        <v>19.696969696969699</v>
      </c>
      <c r="DA153">
        <v>73.604465709728899</v>
      </c>
      <c r="DB153">
        <v>0</v>
      </c>
      <c r="DC153">
        <v>0</v>
      </c>
      <c r="DD153">
        <v>5.5023923444976104</v>
      </c>
      <c r="DE153">
        <v>36.682615629984078</v>
      </c>
      <c r="DF153">
        <v>57.8149920255184</v>
      </c>
      <c r="DG153">
        <v>0</v>
      </c>
      <c r="DH153">
        <v>0</v>
      </c>
      <c r="DI153">
        <v>5.5023923444976104</v>
      </c>
      <c r="DJ153">
        <v>24.64114832535882</v>
      </c>
      <c r="DK153">
        <v>69.856459330143494</v>
      </c>
      <c r="DL153">
        <v>0</v>
      </c>
      <c r="DM153">
        <v>0</v>
      </c>
      <c r="DN153">
        <v>5.5023923444976104</v>
      </c>
      <c r="DO153">
        <v>24.64114832535882</v>
      </c>
      <c r="DP153">
        <v>69.856459330143494</v>
      </c>
      <c r="DQ153">
        <v>0</v>
      </c>
      <c r="DR153">
        <v>0</v>
      </c>
      <c r="DS153" t="s">
        <v>312</v>
      </c>
      <c r="DT153" t="s">
        <v>313</v>
      </c>
      <c r="DU153">
        <v>1266</v>
      </c>
      <c r="DV153" t="s">
        <v>547</v>
      </c>
      <c r="DW153" t="s">
        <v>548</v>
      </c>
      <c r="DX153">
        <v>86</v>
      </c>
      <c r="DY153">
        <v>130</v>
      </c>
      <c r="DZ153">
        <v>216</v>
      </c>
      <c r="EA153">
        <v>606779</v>
      </c>
      <c r="EB153">
        <v>388178</v>
      </c>
      <c r="EC153">
        <v>994957</v>
      </c>
      <c r="ED153" t="s">
        <v>274</v>
      </c>
      <c r="EE153" t="s">
        <v>274</v>
      </c>
      <c r="EF153" t="s">
        <v>274</v>
      </c>
      <c r="EG153" t="s">
        <v>274</v>
      </c>
    </row>
    <row r="154" spans="1:137" ht="14.55" customHeight="1" x14ac:dyDescent="0.3">
      <c r="A154" t="s">
        <v>593</v>
      </c>
      <c r="B154">
        <v>5720</v>
      </c>
      <c r="C154" t="s">
        <v>594</v>
      </c>
      <c r="D154" t="s">
        <v>543</v>
      </c>
      <c r="E154" t="s">
        <v>544</v>
      </c>
      <c r="F154" t="s">
        <v>270</v>
      </c>
      <c r="G154" t="s">
        <v>545</v>
      </c>
      <c r="H154" s="3">
        <v>3960764.6586000002</v>
      </c>
      <c r="I154">
        <v>397</v>
      </c>
      <c r="J154" s="3">
        <v>396.07646586000004</v>
      </c>
      <c r="K154">
        <v>469</v>
      </c>
      <c r="L154">
        <v>1042</v>
      </c>
      <c r="M154">
        <v>635.55958721704405</v>
      </c>
      <c r="N154">
        <v>138.554712058635</v>
      </c>
      <c r="O154">
        <v>0</v>
      </c>
      <c r="P154">
        <v>56.695899963378899</v>
      </c>
      <c r="Q154">
        <v>9.9404687881469709</v>
      </c>
      <c r="R154">
        <v>9.3856258392334002</v>
      </c>
      <c r="S154" t="s">
        <v>546</v>
      </c>
      <c r="T154" t="s">
        <v>593</v>
      </c>
      <c r="U154" t="s">
        <v>594</v>
      </c>
      <c r="V154" t="s">
        <v>594</v>
      </c>
      <c r="W154" s="3">
        <v>1024</v>
      </c>
      <c r="X154" s="3">
        <v>3960000</v>
      </c>
      <c r="Y154">
        <v>2</v>
      </c>
      <c r="Z154" s="3">
        <v>545</v>
      </c>
      <c r="AA154" s="3">
        <v>726</v>
      </c>
      <c r="AB154" s="3">
        <v>797</v>
      </c>
      <c r="AC154" s="3">
        <v>901</v>
      </c>
      <c r="AD154" s="3">
        <v>888</v>
      </c>
      <c r="AE154" s="3">
        <v>922</v>
      </c>
      <c r="AF154" s="3">
        <v>932</v>
      </c>
      <c r="AG154" s="3">
        <v>956</v>
      </c>
      <c r="AH154" s="3">
        <v>949</v>
      </c>
      <c r="AI154" s="3">
        <v>965</v>
      </c>
      <c r="AJ154" s="3">
        <v>980</v>
      </c>
      <c r="AK154" s="3">
        <v>979</v>
      </c>
      <c r="AL154" s="3">
        <v>983</v>
      </c>
      <c r="AM154" s="3">
        <v>1020</v>
      </c>
      <c r="AN154" s="3">
        <v>989</v>
      </c>
      <c r="AO154" s="3">
        <v>1026</v>
      </c>
      <c r="AP154" s="3">
        <v>1024</v>
      </c>
      <c r="AQ154" s="3">
        <v>1031</v>
      </c>
      <c r="AR154" s="4">
        <v>258.5858585858586</v>
      </c>
      <c r="AS154" s="5">
        <f t="shared" si="22"/>
        <v>4.1513761467889907</v>
      </c>
      <c r="AT154" s="5">
        <f t="shared" si="23"/>
        <v>1.0866238138965412</v>
      </c>
      <c r="AU154" s="5">
        <f t="shared" si="24"/>
        <v>1.6938519447929739</v>
      </c>
      <c r="AV154" s="5">
        <f t="shared" si="25"/>
        <v>0.98712446351931316</v>
      </c>
      <c r="AW154" s="5">
        <f t="shared" si="26"/>
        <v>2.7199136535348085</v>
      </c>
      <c r="AX154" s="5">
        <f t="shared" si="27"/>
        <v>1.4240903387703892</v>
      </c>
      <c r="AY154" s="5">
        <f t="shared" si="28"/>
        <v>2.3754029258616418</v>
      </c>
      <c r="AZ154">
        <f t="shared" si="29"/>
        <v>3980000</v>
      </c>
      <c r="BA154">
        <v>0</v>
      </c>
      <c r="BB154">
        <v>750000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1140000</v>
      </c>
      <c r="BK154">
        <v>0</v>
      </c>
      <c r="BL154">
        <v>0</v>
      </c>
      <c r="BM154">
        <v>0</v>
      </c>
      <c r="BN154">
        <v>0</v>
      </c>
      <c r="BO154">
        <v>510000</v>
      </c>
      <c r="BP154">
        <v>840000</v>
      </c>
      <c r="BQ154">
        <v>0</v>
      </c>
      <c r="BR154">
        <v>740000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47</v>
      </c>
      <c r="CC154">
        <v>49</v>
      </c>
      <c r="CD154">
        <v>55</v>
      </c>
      <c r="CE154">
        <v>60</v>
      </c>
      <c r="CF154" s="17">
        <v>11.928934010152284</v>
      </c>
      <c r="CG154" s="17">
        <v>12.436548223350254</v>
      </c>
      <c r="CH154" s="17">
        <v>13.959390862944163</v>
      </c>
      <c r="CI154" s="17">
        <v>15.228426395939088</v>
      </c>
      <c r="CJ154" s="18">
        <v>1</v>
      </c>
      <c r="CK154" s="18">
        <v>1.0425531914893618</v>
      </c>
      <c r="CL154" s="18">
        <v>1.1702127659574468</v>
      </c>
      <c r="CM154" s="18">
        <v>1.2765957446808511</v>
      </c>
      <c r="CN154" s="18">
        <v>0</v>
      </c>
      <c r="CO154" s="18">
        <v>0.50761421319796951</v>
      </c>
      <c r="CP154" s="18">
        <v>2.030456852791878</v>
      </c>
      <c r="CQ154" s="18">
        <v>3.2994923857868024</v>
      </c>
      <c r="CR154" s="18">
        <f t="shared" si="30"/>
        <v>1.871559633027523</v>
      </c>
      <c r="CS154" s="18">
        <f t="shared" si="31"/>
        <v>1.4660550458715595</v>
      </c>
      <c r="CT154">
        <v>7.2864321608040203</v>
      </c>
      <c r="CU154">
        <v>42.713567839196017</v>
      </c>
      <c r="CV154">
        <v>50</v>
      </c>
      <c r="CW154">
        <v>0</v>
      </c>
      <c r="CX154">
        <v>0</v>
      </c>
      <c r="CY154">
        <v>18.844221105527598</v>
      </c>
      <c r="CZ154">
        <v>39.447236180904497</v>
      </c>
      <c r="DA154">
        <v>41.708542713567802</v>
      </c>
      <c r="DB154">
        <v>0</v>
      </c>
      <c r="DC154">
        <v>0</v>
      </c>
      <c r="DD154">
        <v>18.844221105527598</v>
      </c>
      <c r="DE154">
        <v>39.447236180904497</v>
      </c>
      <c r="DF154">
        <v>41.708542713567802</v>
      </c>
      <c r="DG154">
        <v>0</v>
      </c>
      <c r="DH154">
        <v>0</v>
      </c>
      <c r="DI154">
        <v>18.844221105527598</v>
      </c>
      <c r="DJ154">
        <v>41.457286432160799</v>
      </c>
      <c r="DK154">
        <v>39.698492462311599</v>
      </c>
      <c r="DL154">
        <v>0</v>
      </c>
      <c r="DM154">
        <v>0</v>
      </c>
      <c r="DN154">
        <v>18.844221105527598</v>
      </c>
      <c r="DO154">
        <v>41.457286432160799</v>
      </c>
      <c r="DP154">
        <v>39.698492462311599</v>
      </c>
      <c r="DQ154">
        <v>0</v>
      </c>
      <c r="DR154">
        <v>0</v>
      </c>
      <c r="DS154" t="s">
        <v>312</v>
      </c>
      <c r="DT154" t="s">
        <v>313</v>
      </c>
      <c r="DU154">
        <v>1021</v>
      </c>
      <c r="DV154" t="s">
        <v>547</v>
      </c>
      <c r="DW154" t="s">
        <v>548</v>
      </c>
      <c r="DX154">
        <v>86</v>
      </c>
      <c r="DY154">
        <v>130</v>
      </c>
      <c r="DZ154">
        <v>216</v>
      </c>
      <c r="EA154">
        <v>606779</v>
      </c>
      <c r="EB154">
        <v>388178</v>
      </c>
      <c r="EC154">
        <v>994957</v>
      </c>
      <c r="ED154" t="s">
        <v>274</v>
      </c>
      <c r="EE154" t="s">
        <v>274</v>
      </c>
      <c r="EF154" t="s">
        <v>274</v>
      </c>
      <c r="EG154" t="s">
        <v>274</v>
      </c>
    </row>
    <row r="155" spans="1:137" ht="14.55" customHeight="1" x14ac:dyDescent="0.3">
      <c r="A155" t="s">
        <v>595</v>
      </c>
      <c r="B155">
        <v>5721</v>
      </c>
      <c r="C155" t="s">
        <v>596</v>
      </c>
      <c r="D155" t="s">
        <v>543</v>
      </c>
      <c r="E155" t="s">
        <v>544</v>
      </c>
      <c r="F155" t="s">
        <v>270</v>
      </c>
      <c r="G155" t="s">
        <v>545</v>
      </c>
      <c r="H155" s="3">
        <v>8317843.0776500003</v>
      </c>
      <c r="I155">
        <v>823</v>
      </c>
      <c r="J155" s="3">
        <v>831.78430776499999</v>
      </c>
      <c r="K155">
        <v>368</v>
      </c>
      <c r="L155">
        <v>475</v>
      </c>
      <c r="M155">
        <v>409.94250138789801</v>
      </c>
      <c r="N155">
        <v>19.602314118808899</v>
      </c>
      <c r="O155">
        <v>0</v>
      </c>
      <c r="P155">
        <v>23.292831420898398</v>
      </c>
      <c r="Q155">
        <v>4.13106346130371</v>
      </c>
      <c r="R155">
        <v>2.6349895000457799</v>
      </c>
      <c r="S155" t="s">
        <v>546</v>
      </c>
      <c r="T155" t="s">
        <v>595</v>
      </c>
      <c r="U155" t="s">
        <v>596</v>
      </c>
      <c r="V155" t="s">
        <v>596</v>
      </c>
      <c r="W155" s="3">
        <v>13181</v>
      </c>
      <c r="X155" s="3">
        <v>8320000</v>
      </c>
      <c r="Y155">
        <v>2</v>
      </c>
      <c r="Z155" s="3">
        <v>4977</v>
      </c>
      <c r="AA155" s="3">
        <v>7024</v>
      </c>
      <c r="AB155" s="3">
        <v>9401</v>
      </c>
      <c r="AC155" s="3">
        <v>10799</v>
      </c>
      <c r="AD155" s="3">
        <v>11000</v>
      </c>
      <c r="AE155" s="3">
        <v>11324</v>
      </c>
      <c r="AF155" s="3">
        <v>11417</v>
      </c>
      <c r="AG155" s="3">
        <v>11696</v>
      </c>
      <c r="AH155" s="3">
        <v>11748</v>
      </c>
      <c r="AI155" s="3">
        <v>11693</v>
      </c>
      <c r="AJ155" s="3">
        <v>12087</v>
      </c>
      <c r="AK155" s="3">
        <v>12597</v>
      </c>
      <c r="AL155" s="3">
        <v>12727</v>
      </c>
      <c r="AM155" s="3">
        <v>12997</v>
      </c>
      <c r="AN155" s="3">
        <v>13078</v>
      </c>
      <c r="AO155" s="3">
        <v>13109</v>
      </c>
      <c r="AP155" s="3">
        <v>13181</v>
      </c>
      <c r="AQ155" s="3">
        <v>13258</v>
      </c>
      <c r="AR155" s="4">
        <v>1584.2548076923076</v>
      </c>
      <c r="AS155" s="5">
        <f t="shared" si="22"/>
        <v>5.1411492867189068</v>
      </c>
      <c r="AT155" s="5">
        <f t="shared" si="23"/>
        <v>3.760124019235636</v>
      </c>
      <c r="AU155" s="5">
        <f t="shared" si="24"/>
        <v>2.1444527177959789</v>
      </c>
      <c r="AV155" s="5">
        <f t="shared" si="25"/>
        <v>1.5450643776824036</v>
      </c>
      <c r="AW155" s="5">
        <f t="shared" si="26"/>
        <v>5.2287581699346397</v>
      </c>
      <c r="AX155" s="5">
        <f t="shared" si="27"/>
        <v>2.0104244229337302</v>
      </c>
      <c r="AY155" s="5">
        <f t="shared" si="28"/>
        <v>4.4550879993917967</v>
      </c>
      <c r="AZ155">
        <f t="shared" si="29"/>
        <v>8310000</v>
      </c>
      <c r="BA155">
        <v>0</v>
      </c>
      <c r="BB155">
        <v>2050000</v>
      </c>
      <c r="BC155">
        <v>390000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480000</v>
      </c>
      <c r="BJ155">
        <v>2180000</v>
      </c>
      <c r="BK155">
        <v>80000</v>
      </c>
      <c r="BL155">
        <v>1270000</v>
      </c>
      <c r="BM155">
        <v>0</v>
      </c>
      <c r="BN155">
        <v>0</v>
      </c>
      <c r="BO155">
        <v>610000</v>
      </c>
      <c r="BP155">
        <v>970000</v>
      </c>
      <c r="BQ155">
        <v>0</v>
      </c>
      <c r="BR155">
        <v>280000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204</v>
      </c>
      <c r="CC155">
        <v>306</v>
      </c>
      <c r="CD155">
        <v>338</v>
      </c>
      <c r="CE155">
        <v>361</v>
      </c>
      <c r="CF155" s="17">
        <v>24.401913875598087</v>
      </c>
      <c r="CG155" s="17">
        <v>36.602870813397132</v>
      </c>
      <c r="CH155" s="17">
        <v>40.430622009569376</v>
      </c>
      <c r="CI155" s="17">
        <v>43.18181818181818</v>
      </c>
      <c r="CJ155" s="18">
        <v>1</v>
      </c>
      <c r="CK155" s="18">
        <v>1.5</v>
      </c>
      <c r="CL155" s="18">
        <v>1.6568627450980393</v>
      </c>
      <c r="CM155" s="18">
        <v>1.7696078431372548</v>
      </c>
      <c r="CN155" s="18">
        <v>0</v>
      </c>
      <c r="CO155" s="18">
        <v>12.200956937799043</v>
      </c>
      <c r="CP155" s="18">
        <v>16.028708133971293</v>
      </c>
      <c r="CQ155" s="18">
        <v>18.779904306220097</v>
      </c>
      <c r="CR155" s="18">
        <f t="shared" si="30"/>
        <v>2.6114124974884469</v>
      </c>
      <c r="CS155" s="18">
        <f t="shared" si="31"/>
        <v>1.4757012451181253</v>
      </c>
      <c r="CT155">
        <v>30.56558363417567</v>
      </c>
      <c r="CU155">
        <v>51.62454873646206</v>
      </c>
      <c r="CV155">
        <v>17.809867629362198</v>
      </c>
      <c r="CW155">
        <v>0</v>
      </c>
      <c r="CX155">
        <v>0</v>
      </c>
      <c r="CY155">
        <v>32.490974729241898</v>
      </c>
      <c r="CZ155">
        <v>49.939831528279164</v>
      </c>
      <c r="DA155">
        <v>17.569193742478902</v>
      </c>
      <c r="DB155">
        <v>0</v>
      </c>
      <c r="DC155">
        <v>0</v>
      </c>
      <c r="DD155">
        <v>35.740072202166118</v>
      </c>
      <c r="DE155">
        <v>52.587244283995147</v>
      </c>
      <c r="DF155">
        <v>11.672683513838701</v>
      </c>
      <c r="DG155">
        <v>0</v>
      </c>
      <c r="DH155">
        <v>0</v>
      </c>
      <c r="DI155">
        <v>35.138387484957889</v>
      </c>
      <c r="DJ155">
        <v>49.819494584837528</v>
      </c>
      <c r="DK155">
        <v>15.042117930204601</v>
      </c>
      <c r="DL155">
        <v>0</v>
      </c>
      <c r="DM155">
        <v>0</v>
      </c>
      <c r="DN155">
        <v>35.138387484957889</v>
      </c>
      <c r="DO155">
        <v>49.819494584837528</v>
      </c>
      <c r="DP155">
        <v>15.042117930204601</v>
      </c>
      <c r="DQ155">
        <v>0</v>
      </c>
      <c r="DR155">
        <v>0</v>
      </c>
      <c r="DS155" t="s">
        <v>564</v>
      </c>
      <c r="DT155" t="s">
        <v>313</v>
      </c>
      <c r="DU155">
        <v>13664</v>
      </c>
      <c r="DV155" t="s">
        <v>547</v>
      </c>
      <c r="DW155" t="s">
        <v>548</v>
      </c>
      <c r="DX155">
        <v>86</v>
      </c>
      <c r="DY155">
        <v>130</v>
      </c>
      <c r="DZ155">
        <v>216</v>
      </c>
      <c r="EA155">
        <v>606779</v>
      </c>
      <c r="EB155">
        <v>388178</v>
      </c>
      <c r="EC155">
        <v>994957</v>
      </c>
      <c r="ED155" t="s">
        <v>274</v>
      </c>
      <c r="EE155" t="s">
        <v>274</v>
      </c>
      <c r="EF155" t="s">
        <v>274</v>
      </c>
      <c r="EG155" t="s">
        <v>274</v>
      </c>
    </row>
    <row r="156" spans="1:137" ht="14.55" customHeight="1" x14ac:dyDescent="0.3">
      <c r="A156" t="s">
        <v>597</v>
      </c>
      <c r="B156">
        <v>5722</v>
      </c>
      <c r="C156" t="s">
        <v>598</v>
      </c>
      <c r="D156" t="s">
        <v>543</v>
      </c>
      <c r="E156" t="s">
        <v>544</v>
      </c>
      <c r="F156" t="s">
        <v>270</v>
      </c>
      <c r="G156" t="s">
        <v>545</v>
      </c>
      <c r="H156" s="3">
        <v>2552386.40815</v>
      </c>
      <c r="I156">
        <v>257</v>
      </c>
      <c r="J156" s="3">
        <v>255.238640815</v>
      </c>
      <c r="K156">
        <v>470</v>
      </c>
      <c r="L156">
        <v>512</v>
      </c>
      <c r="M156">
        <v>490.76336863859501</v>
      </c>
      <c r="N156">
        <v>8.2287002337114803</v>
      </c>
      <c r="O156">
        <v>0</v>
      </c>
      <c r="P156">
        <v>13.690528869628899</v>
      </c>
      <c r="Q156">
        <v>3.20687627792358</v>
      </c>
      <c r="R156">
        <v>1.85249435901642</v>
      </c>
      <c r="S156" t="s">
        <v>546</v>
      </c>
      <c r="T156" t="s">
        <v>597</v>
      </c>
      <c r="U156" t="s">
        <v>598</v>
      </c>
      <c r="V156" t="s">
        <v>598</v>
      </c>
      <c r="W156" s="3">
        <v>382</v>
      </c>
      <c r="X156" s="3">
        <v>2550000</v>
      </c>
      <c r="Y156">
        <v>2</v>
      </c>
      <c r="Z156" s="3">
        <v>187</v>
      </c>
      <c r="AA156" s="3">
        <v>209</v>
      </c>
      <c r="AB156" s="3">
        <v>302</v>
      </c>
      <c r="AC156" s="3">
        <v>347</v>
      </c>
      <c r="AD156" s="3">
        <v>343</v>
      </c>
      <c r="AE156" s="3">
        <v>348</v>
      </c>
      <c r="AF156" s="3">
        <v>361</v>
      </c>
      <c r="AG156" s="3">
        <v>372</v>
      </c>
      <c r="AH156" s="3">
        <v>365</v>
      </c>
      <c r="AI156" s="3">
        <v>367</v>
      </c>
      <c r="AJ156" s="3">
        <v>380</v>
      </c>
      <c r="AK156" s="3">
        <v>367</v>
      </c>
      <c r="AL156" s="3">
        <v>387</v>
      </c>
      <c r="AM156" s="3">
        <v>380</v>
      </c>
      <c r="AN156" s="3">
        <v>381</v>
      </c>
      <c r="AO156" s="3">
        <v>389</v>
      </c>
      <c r="AP156" s="3">
        <v>382</v>
      </c>
      <c r="AQ156" s="3">
        <v>406</v>
      </c>
      <c r="AR156" s="4">
        <v>149.80392156862746</v>
      </c>
      <c r="AS156" s="5">
        <f t="shared" si="22"/>
        <v>1.4705882352941175</v>
      </c>
      <c r="AT156" s="5">
        <f t="shared" si="23"/>
        <v>4.944178628389154</v>
      </c>
      <c r="AU156" s="5">
        <f t="shared" si="24"/>
        <v>1.95364238410596</v>
      </c>
      <c r="AV156" s="5">
        <f t="shared" si="25"/>
        <v>0.5817174515235457</v>
      </c>
      <c r="AW156" s="5">
        <f t="shared" si="26"/>
        <v>3.617489776659327</v>
      </c>
      <c r="AX156" s="5">
        <f t="shared" si="27"/>
        <v>1.3245033112582782</v>
      </c>
      <c r="AY156" s="5">
        <f t="shared" si="28"/>
        <v>2.8183263477381124</v>
      </c>
      <c r="AZ156">
        <f t="shared" si="29"/>
        <v>2570000</v>
      </c>
      <c r="BA156">
        <v>0</v>
      </c>
      <c r="BB156">
        <v>30000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2130000</v>
      </c>
      <c r="BK156">
        <v>0</v>
      </c>
      <c r="BL156">
        <v>410000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13</v>
      </c>
      <c r="CC156">
        <v>17</v>
      </c>
      <c r="CD156">
        <v>23</v>
      </c>
      <c r="CE156">
        <v>23</v>
      </c>
      <c r="CF156" s="17">
        <v>5.0980392156862742</v>
      </c>
      <c r="CG156" s="17">
        <v>6.666666666666667</v>
      </c>
      <c r="CH156" s="17">
        <v>9.0196078431372548</v>
      </c>
      <c r="CI156" s="17">
        <v>9.0196078431372548</v>
      </c>
      <c r="CJ156" s="18">
        <v>1</v>
      </c>
      <c r="CK156" s="18">
        <v>1.3076923076923077</v>
      </c>
      <c r="CL156" s="18">
        <v>1.7692307692307692</v>
      </c>
      <c r="CM156" s="18">
        <v>1.7692307692307692</v>
      </c>
      <c r="CN156" s="18">
        <v>0</v>
      </c>
      <c r="CO156" s="18">
        <v>1.5686274509803921</v>
      </c>
      <c r="CP156" s="18">
        <v>3.9215686274509802</v>
      </c>
      <c r="CQ156" s="18">
        <v>3.9215686274509802</v>
      </c>
      <c r="CR156" s="18">
        <f t="shared" si="30"/>
        <v>2.0320855614973263</v>
      </c>
      <c r="CS156" s="18">
        <f t="shared" si="31"/>
        <v>1.1485700999767496</v>
      </c>
      <c r="CT156">
        <v>2.33463035019455</v>
      </c>
      <c r="CU156">
        <v>97.665369649805498</v>
      </c>
      <c r="CV156">
        <v>0</v>
      </c>
      <c r="CW156">
        <v>0</v>
      </c>
      <c r="CX156">
        <v>0</v>
      </c>
      <c r="CY156">
        <v>2.33463035019455</v>
      </c>
      <c r="CZ156">
        <v>97.665369649805498</v>
      </c>
      <c r="DA156">
        <v>0</v>
      </c>
      <c r="DB156">
        <v>0</v>
      </c>
      <c r="DC156">
        <v>0</v>
      </c>
      <c r="DD156">
        <v>3.5019455252918301</v>
      </c>
      <c r="DE156">
        <v>96.498054474708198</v>
      </c>
      <c r="DF156">
        <v>0</v>
      </c>
      <c r="DG156">
        <v>0</v>
      </c>
      <c r="DH156">
        <v>0</v>
      </c>
      <c r="DI156">
        <v>1.1673151750972799</v>
      </c>
      <c r="DJ156">
        <v>98.832684824902699</v>
      </c>
      <c r="DK156">
        <v>0</v>
      </c>
      <c r="DL156">
        <v>0</v>
      </c>
      <c r="DM156">
        <v>0</v>
      </c>
      <c r="DN156">
        <v>1.1673151750972799</v>
      </c>
      <c r="DO156">
        <v>98.832684824902699</v>
      </c>
      <c r="DP156">
        <v>0</v>
      </c>
      <c r="DQ156">
        <v>0</v>
      </c>
      <c r="DR156">
        <v>0</v>
      </c>
      <c r="DS156" t="s">
        <v>312</v>
      </c>
      <c r="DT156" t="s">
        <v>313</v>
      </c>
      <c r="DU156">
        <v>399</v>
      </c>
      <c r="DV156" t="s">
        <v>547</v>
      </c>
      <c r="DW156" t="s">
        <v>548</v>
      </c>
      <c r="DX156">
        <v>86</v>
      </c>
      <c r="DY156">
        <v>130</v>
      </c>
      <c r="DZ156">
        <v>216</v>
      </c>
      <c r="EA156">
        <v>606779</v>
      </c>
      <c r="EB156">
        <v>388178</v>
      </c>
      <c r="EC156">
        <v>994957</v>
      </c>
      <c r="ED156" t="s">
        <v>274</v>
      </c>
      <c r="EE156" t="s">
        <v>274</v>
      </c>
      <c r="EF156" t="s">
        <v>274</v>
      </c>
      <c r="EG156" t="s">
        <v>274</v>
      </c>
    </row>
    <row r="157" spans="1:137" ht="14.55" customHeight="1" x14ac:dyDescent="0.3">
      <c r="A157" t="s">
        <v>599</v>
      </c>
      <c r="B157">
        <v>5723</v>
      </c>
      <c r="C157" t="s">
        <v>600</v>
      </c>
      <c r="D157" t="s">
        <v>543</v>
      </c>
      <c r="E157" t="s">
        <v>544</v>
      </c>
      <c r="F157" t="s">
        <v>270</v>
      </c>
      <c r="G157" t="s">
        <v>545</v>
      </c>
      <c r="H157" s="3">
        <v>3452228.8404600001</v>
      </c>
      <c r="I157">
        <v>345</v>
      </c>
      <c r="J157" s="3">
        <v>345.22290071999998</v>
      </c>
      <c r="K157">
        <v>374</v>
      </c>
      <c r="L157">
        <v>475</v>
      </c>
      <c r="M157">
        <v>422.89690130068902</v>
      </c>
      <c r="N157">
        <v>23.619478582642099</v>
      </c>
      <c r="O157">
        <v>0</v>
      </c>
      <c r="P157">
        <v>28.062318801879901</v>
      </c>
      <c r="Q157">
        <v>4.7116570472717303</v>
      </c>
      <c r="R157">
        <v>3.2541627883911102</v>
      </c>
      <c r="S157" t="s">
        <v>546</v>
      </c>
      <c r="T157" t="s">
        <v>599</v>
      </c>
      <c r="U157" t="s">
        <v>600</v>
      </c>
      <c r="V157" t="s">
        <v>600</v>
      </c>
      <c r="W157" s="3">
        <v>2118</v>
      </c>
      <c r="X157" s="3">
        <v>3450000</v>
      </c>
      <c r="Y157">
        <v>2</v>
      </c>
      <c r="Z157" s="3">
        <v>970</v>
      </c>
      <c r="AA157" s="3">
        <v>1222</v>
      </c>
      <c r="AB157" s="3">
        <v>1510</v>
      </c>
      <c r="AC157" s="3">
        <v>1642</v>
      </c>
      <c r="AD157" s="3">
        <v>1679</v>
      </c>
      <c r="AE157" s="3">
        <v>1774</v>
      </c>
      <c r="AF157" s="3">
        <v>1796</v>
      </c>
      <c r="AG157" s="3">
        <v>1862</v>
      </c>
      <c r="AH157" s="3">
        <v>1880</v>
      </c>
      <c r="AI157" s="3">
        <v>1908</v>
      </c>
      <c r="AJ157" s="3">
        <v>1929</v>
      </c>
      <c r="AK157" s="3">
        <v>1971</v>
      </c>
      <c r="AL157" s="3">
        <v>1981</v>
      </c>
      <c r="AM157" s="3">
        <v>1989</v>
      </c>
      <c r="AN157" s="3">
        <v>2050</v>
      </c>
      <c r="AO157" s="3">
        <v>2078</v>
      </c>
      <c r="AP157" s="3">
        <v>2118</v>
      </c>
      <c r="AQ157" s="3">
        <v>2165</v>
      </c>
      <c r="AR157" s="4">
        <v>613.91304347826087</v>
      </c>
      <c r="AS157" s="5">
        <f t="shared" si="22"/>
        <v>3.2474226804123716</v>
      </c>
      <c r="AT157" s="5">
        <f t="shared" si="23"/>
        <v>2.6186579378068742</v>
      </c>
      <c r="AU157" s="5">
        <f t="shared" si="24"/>
        <v>1.8940397350993379</v>
      </c>
      <c r="AV157" s="5">
        <f t="shared" si="25"/>
        <v>1.7928730512249444</v>
      </c>
      <c r="AW157" s="5">
        <f t="shared" si="26"/>
        <v>3.2747119466343242</v>
      </c>
      <c r="AX157" s="5">
        <f t="shared" si="27"/>
        <v>2.0132450331125828</v>
      </c>
      <c r="AY157" s="5">
        <f t="shared" si="28"/>
        <v>3.1986625801058794</v>
      </c>
      <c r="AZ157">
        <f t="shared" si="29"/>
        <v>3460000</v>
      </c>
      <c r="BA157">
        <v>0</v>
      </c>
      <c r="BB157">
        <v>1150000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170000</v>
      </c>
      <c r="BI157">
        <v>0</v>
      </c>
      <c r="BJ157">
        <v>850000</v>
      </c>
      <c r="BK157">
        <v>0</v>
      </c>
      <c r="BL157">
        <v>110000</v>
      </c>
      <c r="BM157">
        <v>0</v>
      </c>
      <c r="BN157">
        <v>0</v>
      </c>
      <c r="BO157">
        <v>190000</v>
      </c>
      <c r="BP157">
        <v>650000</v>
      </c>
      <c r="BQ157">
        <v>30000</v>
      </c>
      <c r="BR157">
        <v>300000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10000</v>
      </c>
      <c r="CB157">
        <v>87</v>
      </c>
      <c r="CC157">
        <v>108</v>
      </c>
      <c r="CD157">
        <v>122</v>
      </c>
      <c r="CE157">
        <v>128</v>
      </c>
      <c r="CF157" s="17">
        <v>24.786324786324787</v>
      </c>
      <c r="CG157" s="17">
        <v>30.76923076923077</v>
      </c>
      <c r="CH157" s="17">
        <v>34.757834757834758</v>
      </c>
      <c r="CI157" s="17">
        <v>36.467236467236468</v>
      </c>
      <c r="CJ157" s="18">
        <v>1</v>
      </c>
      <c r="CK157" s="18">
        <v>1.2413793103448276</v>
      </c>
      <c r="CL157" s="18">
        <v>1.4022988505747127</v>
      </c>
      <c r="CM157" s="18">
        <v>1.4712643678160919</v>
      </c>
      <c r="CN157" s="18">
        <v>0</v>
      </c>
      <c r="CO157" s="18">
        <v>5.982905982905983</v>
      </c>
      <c r="CP157" s="18">
        <v>9.9715099715099722</v>
      </c>
      <c r="CQ157" s="18">
        <v>11.680911680911681</v>
      </c>
      <c r="CR157" s="18">
        <f t="shared" si="30"/>
        <v>2.0505154639175256</v>
      </c>
      <c r="CS157" s="18">
        <f t="shared" si="31"/>
        <v>1.3937097293814431</v>
      </c>
      <c r="CT157">
        <v>38.439306358381501</v>
      </c>
      <c r="CU157">
        <v>29.1907514450867</v>
      </c>
      <c r="CV157">
        <v>32.080924855491297</v>
      </c>
      <c r="CW157">
        <v>0</v>
      </c>
      <c r="CX157">
        <v>0.28901734104046201</v>
      </c>
      <c r="CY157">
        <v>38.439306358381501</v>
      </c>
      <c r="CZ157">
        <v>29.1907514450867</v>
      </c>
      <c r="DA157">
        <v>32.080924855491297</v>
      </c>
      <c r="DB157">
        <v>0</v>
      </c>
      <c r="DC157">
        <v>0.28901734104046201</v>
      </c>
      <c r="DD157">
        <v>38.150289017340995</v>
      </c>
      <c r="DE157">
        <v>31.791907514450852</v>
      </c>
      <c r="DF157">
        <v>29.768786127167601</v>
      </c>
      <c r="DG157">
        <v>0</v>
      </c>
      <c r="DH157">
        <v>0.28901734104046201</v>
      </c>
      <c r="DI157">
        <v>38.150289017341059</v>
      </c>
      <c r="DJ157">
        <v>33.236994219653184</v>
      </c>
      <c r="DK157">
        <v>28.323699421965301</v>
      </c>
      <c r="DL157">
        <v>0</v>
      </c>
      <c r="DM157">
        <v>0.28901734104046201</v>
      </c>
      <c r="DN157">
        <v>38.150289017341059</v>
      </c>
      <c r="DO157">
        <v>33.236994219653184</v>
      </c>
      <c r="DP157">
        <v>28.323699421965301</v>
      </c>
      <c r="DQ157">
        <v>0</v>
      </c>
      <c r="DR157">
        <v>0.28901734104046201</v>
      </c>
      <c r="DS157" t="s">
        <v>564</v>
      </c>
      <c r="DT157" t="s">
        <v>313</v>
      </c>
      <c r="DU157">
        <v>2236</v>
      </c>
      <c r="DV157" t="s">
        <v>547</v>
      </c>
      <c r="DW157" t="s">
        <v>548</v>
      </c>
      <c r="DX157">
        <v>86</v>
      </c>
      <c r="DY157">
        <v>130</v>
      </c>
      <c r="DZ157">
        <v>216</v>
      </c>
      <c r="EA157">
        <v>606779</v>
      </c>
      <c r="EB157">
        <v>388178</v>
      </c>
      <c r="EC157">
        <v>994957</v>
      </c>
      <c r="ED157" t="s">
        <v>274</v>
      </c>
      <c r="EE157" t="s">
        <v>274</v>
      </c>
      <c r="EF157" t="s">
        <v>274</v>
      </c>
      <c r="EG157" t="s">
        <v>274</v>
      </c>
    </row>
    <row r="158" spans="1:137" ht="14.55" customHeight="1" x14ac:dyDescent="0.3">
      <c r="A158" t="s">
        <v>601</v>
      </c>
      <c r="B158">
        <v>5724</v>
      </c>
      <c r="C158" t="s">
        <v>602</v>
      </c>
      <c r="D158" t="s">
        <v>543</v>
      </c>
      <c r="E158" t="s">
        <v>544</v>
      </c>
      <c r="F158" t="s">
        <v>270</v>
      </c>
      <c r="G158" t="s">
        <v>545</v>
      </c>
      <c r="H158" s="3">
        <v>6796028.9468999999</v>
      </c>
      <c r="I158">
        <v>678</v>
      </c>
      <c r="J158" s="3">
        <v>679.60289468999997</v>
      </c>
      <c r="K158">
        <v>374</v>
      </c>
      <c r="L158">
        <v>481</v>
      </c>
      <c r="M158">
        <v>418.39908835224497</v>
      </c>
      <c r="N158">
        <v>23.2109125247135</v>
      </c>
      <c r="O158">
        <v>0</v>
      </c>
      <c r="P158">
        <v>21.175767898559599</v>
      </c>
      <c r="Q158">
        <v>4.5675826072692898</v>
      </c>
      <c r="R158">
        <v>2.8353784084320099</v>
      </c>
      <c r="S158" t="s">
        <v>546</v>
      </c>
      <c r="T158" t="s">
        <v>601</v>
      </c>
      <c r="U158" t="s">
        <v>602</v>
      </c>
      <c r="V158" t="s">
        <v>602</v>
      </c>
      <c r="W158" s="3">
        <v>21452</v>
      </c>
      <c r="X158" s="3">
        <v>6800000</v>
      </c>
      <c r="Y158">
        <v>2</v>
      </c>
      <c r="Z158" s="3">
        <v>13034</v>
      </c>
      <c r="AA158" s="3">
        <v>14270</v>
      </c>
      <c r="AB158" s="3">
        <v>15813</v>
      </c>
      <c r="AC158" s="3">
        <v>17615</v>
      </c>
      <c r="AD158" s="3">
        <v>17916</v>
      </c>
      <c r="AE158" s="3">
        <v>18269</v>
      </c>
      <c r="AF158" s="3">
        <v>18469</v>
      </c>
      <c r="AG158" s="3">
        <v>18727</v>
      </c>
      <c r="AH158" s="3">
        <v>19101</v>
      </c>
      <c r="AI158" s="3">
        <v>19170</v>
      </c>
      <c r="AJ158" s="3">
        <v>19502</v>
      </c>
      <c r="AK158" s="3">
        <v>19738</v>
      </c>
      <c r="AL158" s="3">
        <v>20088</v>
      </c>
      <c r="AM158" s="3">
        <v>20272</v>
      </c>
      <c r="AN158" s="3">
        <v>20533</v>
      </c>
      <c r="AO158" s="3">
        <v>21198</v>
      </c>
      <c r="AP158" s="3">
        <v>21452</v>
      </c>
      <c r="AQ158" s="3">
        <v>21718</v>
      </c>
      <c r="AR158" s="4">
        <v>3154.705882352941</v>
      </c>
      <c r="AS158" s="5">
        <f t="shared" si="22"/>
        <v>1.1853613625901487</v>
      </c>
      <c r="AT158" s="5">
        <f t="shared" si="23"/>
        <v>1.2014326870668846</v>
      </c>
      <c r="AU158" s="5">
        <f t="shared" si="24"/>
        <v>1.6796306836147474</v>
      </c>
      <c r="AV158" s="5">
        <f t="shared" si="25"/>
        <v>1.6151388813687801</v>
      </c>
      <c r="AW158" s="5">
        <f t="shared" si="26"/>
        <v>1.2541858848802678</v>
      </c>
      <c r="AX158" s="5">
        <f t="shared" si="27"/>
        <v>1.7830266236640739</v>
      </c>
      <c r="AY158" s="5">
        <f t="shared" si="28"/>
        <v>1.7455386950553438</v>
      </c>
      <c r="AZ158">
        <f t="shared" si="29"/>
        <v>6800000</v>
      </c>
      <c r="BA158">
        <v>260000</v>
      </c>
      <c r="BB158">
        <v>3700000</v>
      </c>
      <c r="BC158">
        <v>220000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1790000</v>
      </c>
      <c r="BK158">
        <v>350000</v>
      </c>
      <c r="BL158">
        <v>320000</v>
      </c>
      <c r="BM158">
        <v>0</v>
      </c>
      <c r="BN158">
        <v>0</v>
      </c>
      <c r="BO158">
        <v>0</v>
      </c>
      <c r="BP158">
        <v>160000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305</v>
      </c>
      <c r="CC158">
        <v>357</v>
      </c>
      <c r="CD158">
        <v>368</v>
      </c>
      <c r="CE158">
        <v>381</v>
      </c>
      <c r="CF158" s="17">
        <v>44.395924308588064</v>
      </c>
      <c r="CG158" s="17">
        <v>51.965065502183407</v>
      </c>
      <c r="CH158" s="17">
        <v>53.566229985443961</v>
      </c>
      <c r="CI158" s="17">
        <v>55.458515283842793</v>
      </c>
      <c r="CJ158" s="18">
        <v>1</v>
      </c>
      <c r="CK158" s="18">
        <v>1.1704918032786886</v>
      </c>
      <c r="CL158" s="18">
        <v>1.2065573770491804</v>
      </c>
      <c r="CM158" s="18">
        <v>1.2491803278688525</v>
      </c>
      <c r="CN158" s="18">
        <v>0</v>
      </c>
      <c r="CO158" s="18">
        <v>7.5691411935953425</v>
      </c>
      <c r="CP158" s="18">
        <v>9.1703056768558966</v>
      </c>
      <c r="CQ158" s="18">
        <v>11.06259097525473</v>
      </c>
      <c r="CR158" s="18">
        <f t="shared" si="30"/>
        <v>1.5553168635875403</v>
      </c>
      <c r="CS158" s="18">
        <f t="shared" si="31"/>
        <v>1.2450699301685033</v>
      </c>
      <c r="CT158">
        <v>53.235294117647101</v>
      </c>
      <c r="CU158">
        <v>44.117647058823501</v>
      </c>
      <c r="CV158">
        <v>2.6470588235294099</v>
      </c>
      <c r="CW158">
        <v>0</v>
      </c>
      <c r="CX158">
        <v>0</v>
      </c>
      <c r="CY158">
        <v>53.235294117647101</v>
      </c>
      <c r="CZ158">
        <v>44.117647058823501</v>
      </c>
      <c r="DA158">
        <v>2.6470588235294099</v>
      </c>
      <c r="DB158">
        <v>0</v>
      </c>
      <c r="DC158">
        <v>0</v>
      </c>
      <c r="DD158">
        <v>57.794117647058854</v>
      </c>
      <c r="DE158">
        <v>37.794117647058812</v>
      </c>
      <c r="DF158">
        <v>4.4117647058823497</v>
      </c>
      <c r="DG158">
        <v>0</v>
      </c>
      <c r="DH158">
        <v>0</v>
      </c>
      <c r="DI158">
        <v>59.70588235294116</v>
      </c>
      <c r="DJ158">
        <v>37.941176470588189</v>
      </c>
      <c r="DK158">
        <v>2.3529411764705901</v>
      </c>
      <c r="DL158">
        <v>0</v>
      </c>
      <c r="DM158">
        <v>0</v>
      </c>
      <c r="DN158">
        <v>61.470588235294159</v>
      </c>
      <c r="DO158">
        <v>36.17647058823529</v>
      </c>
      <c r="DP158">
        <v>2.3529411764705901</v>
      </c>
      <c r="DQ158">
        <v>0</v>
      </c>
      <c r="DR158">
        <v>0</v>
      </c>
      <c r="DS158" t="s">
        <v>564</v>
      </c>
      <c r="DT158" t="s">
        <v>313</v>
      </c>
      <c r="DU158">
        <v>22465</v>
      </c>
      <c r="DV158" t="s">
        <v>547</v>
      </c>
      <c r="DW158" t="s">
        <v>548</v>
      </c>
      <c r="DX158">
        <v>86</v>
      </c>
      <c r="DY158">
        <v>130</v>
      </c>
      <c r="DZ158">
        <v>216</v>
      </c>
      <c r="EA158">
        <v>606779</v>
      </c>
      <c r="EB158">
        <v>388178</v>
      </c>
      <c r="EC158">
        <v>994957</v>
      </c>
      <c r="ED158" t="s">
        <v>274</v>
      </c>
      <c r="EE158" t="s">
        <v>274</v>
      </c>
      <c r="EF158" t="s">
        <v>274</v>
      </c>
      <c r="EG158" t="s">
        <v>274</v>
      </c>
    </row>
    <row r="159" spans="1:137" ht="14.55" customHeight="1" x14ac:dyDescent="0.3">
      <c r="A159" t="s">
        <v>603</v>
      </c>
      <c r="B159">
        <v>5725</v>
      </c>
      <c r="C159" t="s">
        <v>604</v>
      </c>
      <c r="D159" t="s">
        <v>543</v>
      </c>
      <c r="E159" t="s">
        <v>544</v>
      </c>
      <c r="F159" t="s">
        <v>270</v>
      </c>
      <c r="G159" t="s">
        <v>545</v>
      </c>
      <c r="H159" s="3">
        <v>6089206.3809500001</v>
      </c>
      <c r="I159">
        <v>610</v>
      </c>
      <c r="J159" s="3">
        <v>608.92063809499996</v>
      </c>
      <c r="K159">
        <v>365</v>
      </c>
      <c r="L159">
        <v>449</v>
      </c>
      <c r="M159">
        <v>404.37260214587599</v>
      </c>
      <c r="N159">
        <v>16.437522708521499</v>
      </c>
      <c r="O159">
        <v>0</v>
      </c>
      <c r="P159">
        <v>21.1824645996094</v>
      </c>
      <c r="Q159">
        <v>4.2565841674804696</v>
      </c>
      <c r="R159">
        <v>2.9668333530425999</v>
      </c>
      <c r="S159" t="s">
        <v>546</v>
      </c>
      <c r="T159" t="s">
        <v>603</v>
      </c>
      <c r="U159" t="s">
        <v>604</v>
      </c>
      <c r="V159" t="s">
        <v>604</v>
      </c>
      <c r="W159" s="3">
        <v>4085</v>
      </c>
      <c r="X159" s="3">
        <v>6070000</v>
      </c>
      <c r="Y159">
        <v>2</v>
      </c>
      <c r="Z159" s="3">
        <v>2160</v>
      </c>
      <c r="AA159" s="3">
        <v>2488</v>
      </c>
      <c r="AB159" s="3">
        <v>3040</v>
      </c>
      <c r="AC159" s="3">
        <v>3588</v>
      </c>
      <c r="AD159" s="3">
        <v>3681</v>
      </c>
      <c r="AE159" s="3">
        <v>3801</v>
      </c>
      <c r="AF159" s="3">
        <v>3909</v>
      </c>
      <c r="AG159" s="3">
        <v>3922</v>
      </c>
      <c r="AH159" s="3">
        <v>3881</v>
      </c>
      <c r="AI159" s="3">
        <v>3935</v>
      </c>
      <c r="AJ159" s="3">
        <v>3968</v>
      </c>
      <c r="AK159" s="3">
        <v>3987</v>
      </c>
      <c r="AL159" s="3">
        <v>4029</v>
      </c>
      <c r="AM159" s="3">
        <v>4062</v>
      </c>
      <c r="AN159" s="3">
        <v>4072</v>
      </c>
      <c r="AO159" s="3">
        <v>4038</v>
      </c>
      <c r="AP159" s="3">
        <v>4085</v>
      </c>
      <c r="AQ159" s="3">
        <v>4099</v>
      </c>
      <c r="AR159" s="4">
        <v>672.98187808896216</v>
      </c>
      <c r="AS159" s="5">
        <f t="shared" si="22"/>
        <v>1.8981481481481481</v>
      </c>
      <c r="AT159" s="5">
        <f t="shared" si="23"/>
        <v>2.465166130760986</v>
      </c>
      <c r="AU159" s="5">
        <f t="shared" si="24"/>
        <v>2.8585526315789469</v>
      </c>
      <c r="AV159" s="5">
        <f t="shared" si="25"/>
        <v>0.450243028907649</v>
      </c>
      <c r="AW159" s="5">
        <f t="shared" si="26"/>
        <v>2.3965141612200433</v>
      </c>
      <c r="AX159" s="5">
        <f t="shared" si="27"/>
        <v>1.7187500000000002</v>
      </c>
      <c r="AY159" s="5">
        <f t="shared" si="28"/>
        <v>2.4086586586586587</v>
      </c>
      <c r="AZ159">
        <f t="shared" si="29"/>
        <v>6090000</v>
      </c>
      <c r="BA159">
        <v>0</v>
      </c>
      <c r="BB159">
        <v>1510000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120000</v>
      </c>
      <c r="BJ159">
        <v>2870000</v>
      </c>
      <c r="BK159">
        <v>0</v>
      </c>
      <c r="BL159">
        <v>40000</v>
      </c>
      <c r="BM159">
        <v>0</v>
      </c>
      <c r="BN159">
        <v>850000</v>
      </c>
      <c r="BO159">
        <v>0</v>
      </c>
      <c r="BP159">
        <v>680000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20000</v>
      </c>
      <c r="CB159">
        <v>144</v>
      </c>
      <c r="CC159">
        <v>175</v>
      </c>
      <c r="CD159">
        <v>190</v>
      </c>
      <c r="CE159">
        <v>200</v>
      </c>
      <c r="CF159" s="17">
        <v>23.762376237623762</v>
      </c>
      <c r="CG159" s="17">
        <v>28.877887788778878</v>
      </c>
      <c r="CH159" s="17">
        <v>31.353135313531354</v>
      </c>
      <c r="CI159" s="17">
        <v>33.003300330032999</v>
      </c>
      <c r="CJ159" s="18">
        <v>1</v>
      </c>
      <c r="CK159" s="18">
        <v>1.2152777777777777</v>
      </c>
      <c r="CL159" s="18">
        <v>1.3194444444444444</v>
      </c>
      <c r="CM159" s="18">
        <v>1.3888888888888888</v>
      </c>
      <c r="CN159" s="18">
        <v>0</v>
      </c>
      <c r="CO159" s="18">
        <v>5.1155115511551159</v>
      </c>
      <c r="CP159" s="18">
        <v>7.5907590759075907</v>
      </c>
      <c r="CQ159" s="18">
        <v>9.2409240924092408</v>
      </c>
      <c r="CR159" s="18">
        <f t="shared" si="30"/>
        <v>1.8805555555555555</v>
      </c>
      <c r="CS159" s="18">
        <f t="shared" si="31"/>
        <v>1.3540000000000001</v>
      </c>
      <c r="CT159">
        <v>42.528735632183903</v>
      </c>
      <c r="CU159">
        <v>57.3070607553366</v>
      </c>
      <c r="CV159">
        <v>0</v>
      </c>
      <c r="CW159">
        <v>0</v>
      </c>
      <c r="CX159">
        <v>0.16420361247947499</v>
      </c>
      <c r="CY159">
        <v>42.528735632183903</v>
      </c>
      <c r="CZ159">
        <v>57.3070607553366</v>
      </c>
      <c r="DA159">
        <v>0</v>
      </c>
      <c r="DB159">
        <v>0</v>
      </c>
      <c r="DC159">
        <v>0.16420361247947499</v>
      </c>
      <c r="DD159">
        <v>27.91461412151072</v>
      </c>
      <c r="DE159">
        <v>61.740558292282394</v>
      </c>
      <c r="DF159">
        <v>10.016420361247899</v>
      </c>
      <c r="DG159">
        <v>0</v>
      </c>
      <c r="DH159">
        <v>0.32840722495894897</v>
      </c>
      <c r="DI159">
        <v>26.76518883415439</v>
      </c>
      <c r="DJ159">
        <v>61.740558292282394</v>
      </c>
      <c r="DK159">
        <v>11.1658456486043</v>
      </c>
      <c r="DL159">
        <v>0</v>
      </c>
      <c r="DM159">
        <v>0.32840722495894897</v>
      </c>
      <c r="DN159">
        <v>26.76518883415439</v>
      </c>
      <c r="DO159">
        <v>61.740558292282394</v>
      </c>
      <c r="DP159">
        <v>11.1658456486043</v>
      </c>
      <c r="DQ159">
        <v>0</v>
      </c>
      <c r="DR159">
        <v>0.32840722495894897</v>
      </c>
      <c r="DS159" t="s">
        <v>564</v>
      </c>
      <c r="DT159" t="s">
        <v>313</v>
      </c>
      <c r="DU159">
        <v>4278</v>
      </c>
      <c r="DV159" t="s">
        <v>547</v>
      </c>
      <c r="DW159" t="s">
        <v>548</v>
      </c>
      <c r="DX159">
        <v>86</v>
      </c>
      <c r="DY159">
        <v>130</v>
      </c>
      <c r="DZ159">
        <v>216</v>
      </c>
      <c r="EA159">
        <v>606779</v>
      </c>
      <c r="EB159">
        <v>388178</v>
      </c>
      <c r="EC159">
        <v>994957</v>
      </c>
      <c r="ED159" t="s">
        <v>274</v>
      </c>
      <c r="EE159" t="s">
        <v>274</v>
      </c>
      <c r="EF159" t="s">
        <v>274</v>
      </c>
      <c r="EG159" t="s">
        <v>274</v>
      </c>
    </row>
    <row r="160" spans="1:137" ht="14.55" customHeight="1" x14ac:dyDescent="0.3">
      <c r="A160" t="s">
        <v>605</v>
      </c>
      <c r="B160">
        <v>5726</v>
      </c>
      <c r="C160" t="s">
        <v>606</v>
      </c>
      <c r="D160" t="s">
        <v>543</v>
      </c>
      <c r="E160" t="s">
        <v>544</v>
      </c>
      <c r="F160" t="s">
        <v>270</v>
      </c>
      <c r="G160" t="s">
        <v>545</v>
      </c>
      <c r="H160" s="3">
        <v>16591773.0253</v>
      </c>
      <c r="I160">
        <v>1652</v>
      </c>
      <c r="J160" s="3">
        <v>1659.17730106</v>
      </c>
      <c r="K160">
        <v>485</v>
      </c>
      <c r="L160">
        <v>1693</v>
      </c>
      <c r="M160">
        <v>1064.95840623509</v>
      </c>
      <c r="N160">
        <v>373.16821206248699</v>
      </c>
      <c r="O160">
        <v>0</v>
      </c>
      <c r="P160">
        <v>48.1524658203125</v>
      </c>
      <c r="Q160">
        <v>11.397874832153301</v>
      </c>
      <c r="R160">
        <v>7.7527427673339799</v>
      </c>
      <c r="S160" t="s">
        <v>546</v>
      </c>
      <c r="T160" t="s">
        <v>605</v>
      </c>
      <c r="U160" t="s">
        <v>606</v>
      </c>
      <c r="V160" t="s">
        <v>606</v>
      </c>
      <c r="W160" s="3">
        <v>1140</v>
      </c>
      <c r="X160" s="3">
        <v>16590000</v>
      </c>
      <c r="Y160">
        <v>2</v>
      </c>
      <c r="Z160" s="3">
        <v>408</v>
      </c>
      <c r="AA160" s="3">
        <v>604</v>
      </c>
      <c r="AB160" s="3">
        <v>968</v>
      </c>
      <c r="AC160" s="3">
        <v>971</v>
      </c>
      <c r="AD160" s="3">
        <v>1027</v>
      </c>
      <c r="AE160" s="3">
        <v>1061</v>
      </c>
      <c r="AF160" s="3">
        <v>1076</v>
      </c>
      <c r="AG160" s="3">
        <v>1054</v>
      </c>
      <c r="AH160" s="3">
        <v>1032</v>
      </c>
      <c r="AI160" s="3">
        <v>1065</v>
      </c>
      <c r="AJ160" s="3">
        <v>1076</v>
      </c>
      <c r="AK160" s="3">
        <v>1086</v>
      </c>
      <c r="AL160" s="3">
        <v>1142</v>
      </c>
      <c r="AM160" s="3">
        <v>1158</v>
      </c>
      <c r="AN160" s="3">
        <v>1167</v>
      </c>
      <c r="AO160" s="3">
        <v>1167</v>
      </c>
      <c r="AP160" s="3">
        <v>1140</v>
      </c>
      <c r="AQ160" s="3">
        <v>1137</v>
      </c>
      <c r="AR160" s="4">
        <v>68.716094032549734</v>
      </c>
      <c r="AS160" s="5">
        <f t="shared" si="22"/>
        <v>6.0049019607843137</v>
      </c>
      <c r="AT160" s="5">
        <f t="shared" si="23"/>
        <v>6.6961000735835166</v>
      </c>
      <c r="AU160" s="5">
        <f t="shared" si="24"/>
        <v>1.115702479338843</v>
      </c>
      <c r="AV160" s="5">
        <f t="shared" si="25"/>
        <v>0.59479553903345728</v>
      </c>
      <c r="AW160" s="5">
        <f t="shared" si="26"/>
        <v>8.0738177623990772</v>
      </c>
      <c r="AX160" s="5">
        <f t="shared" si="27"/>
        <v>0.88842975206611563</v>
      </c>
      <c r="AY160" s="5">
        <f t="shared" si="28"/>
        <v>4.8489666136724967</v>
      </c>
      <c r="AZ160">
        <f t="shared" si="29"/>
        <v>16570000</v>
      </c>
      <c r="BA160">
        <v>0</v>
      </c>
      <c r="BB160">
        <v>330000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40000</v>
      </c>
      <c r="BJ160">
        <v>3130000</v>
      </c>
      <c r="BK160">
        <v>0</v>
      </c>
      <c r="BL160">
        <v>0</v>
      </c>
      <c r="BM160">
        <v>240000</v>
      </c>
      <c r="BN160">
        <v>0</v>
      </c>
      <c r="BO160">
        <v>10000</v>
      </c>
      <c r="BP160">
        <v>1700000</v>
      </c>
      <c r="BQ160">
        <v>1050000</v>
      </c>
      <c r="BR160">
        <v>6120000</v>
      </c>
      <c r="BS160">
        <v>2440000</v>
      </c>
      <c r="BT160">
        <v>0</v>
      </c>
      <c r="BU160">
        <v>1510000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43</v>
      </c>
      <c r="CC160">
        <v>62</v>
      </c>
      <c r="CD160">
        <v>64</v>
      </c>
      <c r="CE160">
        <v>65</v>
      </c>
      <c r="CF160" s="17">
        <v>2.5966183574879227</v>
      </c>
      <c r="CG160" s="17">
        <v>3.7439613526570046</v>
      </c>
      <c r="CH160" s="17">
        <v>3.8647342995169081</v>
      </c>
      <c r="CI160" s="17">
        <v>3.92512077294686</v>
      </c>
      <c r="CJ160" s="18">
        <v>1</v>
      </c>
      <c r="CK160" s="18">
        <v>1.441860465116279</v>
      </c>
      <c r="CL160" s="18">
        <v>1.4883720930232558</v>
      </c>
      <c r="CM160" s="18">
        <v>1.5116279069767442</v>
      </c>
      <c r="CN160" s="18">
        <v>0</v>
      </c>
      <c r="CO160" s="18">
        <v>1.1473429951690821</v>
      </c>
      <c r="CP160" s="18">
        <v>1.2681159420289856</v>
      </c>
      <c r="CQ160" s="18">
        <v>1.3285024154589371</v>
      </c>
      <c r="CR160" s="18">
        <f t="shared" si="30"/>
        <v>2.8382352941176472</v>
      </c>
      <c r="CS160" s="18">
        <f t="shared" si="31"/>
        <v>1.8776018099547511</v>
      </c>
      <c r="CT160">
        <v>1.44840072420036</v>
      </c>
      <c r="CU160">
        <v>20.881110440555222</v>
      </c>
      <c r="CV160">
        <v>77.670488835244498</v>
      </c>
      <c r="CW160">
        <v>0</v>
      </c>
      <c r="CX160">
        <v>0</v>
      </c>
      <c r="CY160">
        <v>1.44840072420036</v>
      </c>
      <c r="CZ160">
        <v>20.881110440555222</v>
      </c>
      <c r="DA160">
        <v>77.670488835244498</v>
      </c>
      <c r="DB160">
        <v>0</v>
      </c>
      <c r="DC160">
        <v>0</v>
      </c>
      <c r="DD160">
        <v>2.2329511164755598</v>
      </c>
      <c r="DE160">
        <v>33.252866626433317</v>
      </c>
      <c r="DF160">
        <v>64.514182257091107</v>
      </c>
      <c r="DG160">
        <v>0</v>
      </c>
      <c r="DH160">
        <v>0</v>
      </c>
      <c r="DI160">
        <v>2.2329511164755598</v>
      </c>
      <c r="DJ160">
        <v>20.398310199155077</v>
      </c>
      <c r="DK160">
        <v>77.36873868436939</v>
      </c>
      <c r="DL160">
        <v>0</v>
      </c>
      <c r="DM160">
        <v>0</v>
      </c>
      <c r="DN160">
        <v>2.2329511164755598</v>
      </c>
      <c r="DO160">
        <v>20.398310199155077</v>
      </c>
      <c r="DP160">
        <v>77.36873868436939</v>
      </c>
      <c r="DQ160">
        <v>0</v>
      </c>
      <c r="DR160">
        <v>0</v>
      </c>
      <c r="DS160" t="s">
        <v>312</v>
      </c>
      <c r="DT160" t="s">
        <v>313</v>
      </c>
      <c r="DU160">
        <v>1200</v>
      </c>
      <c r="DV160" t="s">
        <v>547</v>
      </c>
      <c r="DW160" t="s">
        <v>548</v>
      </c>
      <c r="DX160">
        <v>86</v>
      </c>
      <c r="DY160">
        <v>130</v>
      </c>
      <c r="DZ160">
        <v>216</v>
      </c>
      <c r="EA160">
        <v>606779</v>
      </c>
      <c r="EB160">
        <v>388178</v>
      </c>
      <c r="EC160">
        <v>994957</v>
      </c>
      <c r="ED160" t="s">
        <v>274</v>
      </c>
      <c r="EE160" t="s">
        <v>274</v>
      </c>
      <c r="EF160" t="s">
        <v>274</v>
      </c>
      <c r="EG160" t="s">
        <v>274</v>
      </c>
    </row>
    <row r="161" spans="1:137" ht="14.55" customHeight="1" x14ac:dyDescent="0.3">
      <c r="A161" t="s">
        <v>607</v>
      </c>
      <c r="B161">
        <v>5727</v>
      </c>
      <c r="C161" t="s">
        <v>608</v>
      </c>
      <c r="D161" t="s">
        <v>543</v>
      </c>
      <c r="E161" t="s">
        <v>544</v>
      </c>
      <c r="F161" t="s">
        <v>270</v>
      </c>
      <c r="G161" t="s">
        <v>545</v>
      </c>
      <c r="H161" s="3">
        <v>24277299.791499998</v>
      </c>
      <c r="I161">
        <v>2436</v>
      </c>
      <c r="J161" s="3">
        <v>2427.72997915</v>
      </c>
      <c r="K161">
        <v>596</v>
      </c>
      <c r="L161">
        <v>1540</v>
      </c>
      <c r="M161">
        <v>1173.90550817535</v>
      </c>
      <c r="N161">
        <v>149.557406705798</v>
      </c>
      <c r="O161">
        <v>0</v>
      </c>
      <c r="P161">
        <v>53.555686950683601</v>
      </c>
      <c r="Q161">
        <v>11.4981021881104</v>
      </c>
      <c r="R161">
        <v>7.3830285072326696</v>
      </c>
      <c r="S161" t="s">
        <v>546</v>
      </c>
      <c r="T161" t="s">
        <v>607</v>
      </c>
      <c r="U161" t="s">
        <v>608</v>
      </c>
      <c r="V161" t="s">
        <v>608</v>
      </c>
      <c r="W161" s="3">
        <v>2589</v>
      </c>
      <c r="X161" s="3">
        <v>24280000</v>
      </c>
      <c r="Y161">
        <v>3</v>
      </c>
      <c r="Z161" s="3">
        <v>616</v>
      </c>
      <c r="AA161" s="3">
        <v>1332</v>
      </c>
      <c r="AB161" s="3">
        <v>1577</v>
      </c>
      <c r="AC161" s="3">
        <v>1867</v>
      </c>
      <c r="AD161" s="3">
        <v>1876</v>
      </c>
      <c r="AE161" s="3">
        <v>1925</v>
      </c>
      <c r="AF161" s="3">
        <v>1973</v>
      </c>
      <c r="AG161" s="3">
        <v>2069</v>
      </c>
      <c r="AH161" s="3">
        <v>2118</v>
      </c>
      <c r="AI161" s="3">
        <v>2155</v>
      </c>
      <c r="AJ161" s="3">
        <v>2259</v>
      </c>
      <c r="AK161" s="3">
        <v>2356</v>
      </c>
      <c r="AL161" s="3">
        <v>2443</v>
      </c>
      <c r="AM161" s="3">
        <v>2497</v>
      </c>
      <c r="AN161" s="3">
        <v>2547</v>
      </c>
      <c r="AO161" s="3">
        <v>2575</v>
      </c>
      <c r="AP161" s="3">
        <v>2589</v>
      </c>
      <c r="AQ161" s="3">
        <v>2674</v>
      </c>
      <c r="AR161" s="4">
        <v>106.63097199341021</v>
      </c>
      <c r="AS161" s="5">
        <f t="shared" si="22"/>
        <v>14.529220779220781</v>
      </c>
      <c r="AT161" s="5">
        <f t="shared" si="23"/>
        <v>2.0437103770437099</v>
      </c>
      <c r="AU161" s="5">
        <f t="shared" si="24"/>
        <v>2.5110970196575777</v>
      </c>
      <c r="AV161" s="5">
        <f t="shared" si="25"/>
        <v>3.1221490116573749</v>
      </c>
      <c r="AW161" s="5">
        <f t="shared" si="26"/>
        <v>9.1768525592054999</v>
      </c>
      <c r="AX161" s="5">
        <f t="shared" si="27"/>
        <v>3.2086239695624603</v>
      </c>
      <c r="AY161" s="5">
        <f t="shared" si="28"/>
        <v>8.6565461565461561</v>
      </c>
      <c r="AZ161">
        <f t="shared" si="29"/>
        <v>24330000</v>
      </c>
      <c r="BA161">
        <v>0</v>
      </c>
      <c r="BB161">
        <v>1290000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3290000</v>
      </c>
      <c r="BN161">
        <v>0</v>
      </c>
      <c r="BO161">
        <v>2010000</v>
      </c>
      <c r="BP161">
        <v>2070000</v>
      </c>
      <c r="BQ161">
        <v>4170000</v>
      </c>
      <c r="BR161">
        <v>9850000</v>
      </c>
      <c r="BS161">
        <v>1280000</v>
      </c>
      <c r="BT161">
        <v>0</v>
      </c>
      <c r="BU161">
        <v>370000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114</v>
      </c>
      <c r="CC161">
        <v>133</v>
      </c>
      <c r="CD161">
        <v>146</v>
      </c>
      <c r="CE161">
        <v>157</v>
      </c>
      <c r="CF161" s="17">
        <v>4.6971569839307792</v>
      </c>
      <c r="CG161" s="17">
        <v>5.4800164812525756</v>
      </c>
      <c r="CH161" s="17">
        <v>6.0156571899464355</v>
      </c>
      <c r="CI161" s="17">
        <v>6.4688916357643178</v>
      </c>
      <c r="CJ161" s="18">
        <v>1</v>
      </c>
      <c r="CK161" s="18">
        <v>1.1666666666666667</v>
      </c>
      <c r="CL161" s="18">
        <v>1.2807017543859649</v>
      </c>
      <c r="CM161" s="18">
        <v>1.3771929824561404</v>
      </c>
      <c r="CN161" s="18">
        <v>0</v>
      </c>
      <c r="CO161" s="18">
        <v>0.78285949732179638</v>
      </c>
      <c r="CP161" s="18">
        <v>1.3185002060156572</v>
      </c>
      <c r="CQ161" s="18">
        <v>1.7717346518335393</v>
      </c>
      <c r="CR161" s="18">
        <f t="shared" si="30"/>
        <v>4.0535714285714288</v>
      </c>
      <c r="CS161" s="18">
        <f t="shared" si="31"/>
        <v>2.9433575978161968</v>
      </c>
      <c r="CT161">
        <v>6.5762433210028819</v>
      </c>
      <c r="CU161">
        <v>1.97287299630086</v>
      </c>
      <c r="CV161">
        <v>91.450883682696201</v>
      </c>
      <c r="CW161">
        <v>0</v>
      </c>
      <c r="CX161">
        <v>0</v>
      </c>
      <c r="CY161">
        <v>7.0283600493218197</v>
      </c>
      <c r="CZ161">
        <v>4.6444718454582867</v>
      </c>
      <c r="DA161">
        <v>88.327168105219897</v>
      </c>
      <c r="DB161">
        <v>0</v>
      </c>
      <c r="DC161">
        <v>0</v>
      </c>
      <c r="DD161">
        <v>5.3842992190711101</v>
      </c>
      <c r="DE161">
        <v>27.332511302918199</v>
      </c>
      <c r="DF161">
        <v>67.283189478010712</v>
      </c>
      <c r="DG161">
        <v>0</v>
      </c>
      <c r="DH161">
        <v>0</v>
      </c>
      <c r="DI161">
        <v>5.3020961775585702</v>
      </c>
      <c r="DJ161">
        <v>21.783806000822068</v>
      </c>
      <c r="DK161">
        <v>72.914097821619421</v>
      </c>
      <c r="DL161">
        <v>0</v>
      </c>
      <c r="DM161">
        <v>0</v>
      </c>
      <c r="DN161">
        <v>5.3020961775585702</v>
      </c>
      <c r="DO161">
        <v>21.783806000822068</v>
      </c>
      <c r="DP161">
        <v>72.914097821619421</v>
      </c>
      <c r="DQ161">
        <v>0</v>
      </c>
      <c r="DR161">
        <v>0</v>
      </c>
      <c r="DS161" t="s">
        <v>312</v>
      </c>
      <c r="DT161" t="s">
        <v>313</v>
      </c>
      <c r="DU161">
        <v>2788</v>
      </c>
      <c r="DV161" t="s">
        <v>547</v>
      </c>
      <c r="DW161" t="s">
        <v>548</v>
      </c>
      <c r="DX161">
        <v>86</v>
      </c>
      <c r="DY161">
        <v>130</v>
      </c>
      <c r="DZ161">
        <v>216</v>
      </c>
      <c r="EA161">
        <v>606779</v>
      </c>
      <c r="EB161">
        <v>388178</v>
      </c>
      <c r="EC161">
        <v>994957</v>
      </c>
      <c r="ED161" t="s">
        <v>274</v>
      </c>
      <c r="EE161" t="s">
        <v>274</v>
      </c>
      <c r="EF161" t="s">
        <v>274</v>
      </c>
      <c r="EG161" t="s">
        <v>274</v>
      </c>
    </row>
    <row r="162" spans="1:137" ht="14.55" customHeight="1" x14ac:dyDescent="0.3">
      <c r="A162" t="s">
        <v>609</v>
      </c>
      <c r="B162">
        <v>5728</v>
      </c>
      <c r="C162" t="s">
        <v>610</v>
      </c>
      <c r="D162" t="s">
        <v>543</v>
      </c>
      <c r="E162" t="s">
        <v>544</v>
      </c>
      <c r="F162" t="s">
        <v>270</v>
      </c>
      <c r="G162" t="s">
        <v>545</v>
      </c>
      <c r="H162" s="3">
        <v>1941955.7981499999</v>
      </c>
      <c r="I162">
        <v>193</v>
      </c>
      <c r="J162" s="3">
        <v>194.195579815</v>
      </c>
      <c r="K162">
        <v>428</v>
      </c>
      <c r="L162">
        <v>495</v>
      </c>
      <c r="M162">
        <v>464.607264086898</v>
      </c>
      <c r="N162">
        <v>13.5428540182183</v>
      </c>
      <c r="O162">
        <v>0</v>
      </c>
      <c r="P162">
        <v>25.709043502807599</v>
      </c>
      <c r="Q162">
        <v>4.0362000465393102</v>
      </c>
      <c r="R162">
        <v>2.7537281513214098</v>
      </c>
      <c r="S162" t="s">
        <v>546</v>
      </c>
      <c r="T162" t="s">
        <v>609</v>
      </c>
      <c r="U162" t="s">
        <v>610</v>
      </c>
      <c r="V162" t="s">
        <v>610</v>
      </c>
      <c r="W162" s="3">
        <v>594</v>
      </c>
      <c r="X162" s="3">
        <v>1940000</v>
      </c>
      <c r="Y162">
        <v>2</v>
      </c>
      <c r="Z162" s="3">
        <v>308</v>
      </c>
      <c r="AA162" s="3">
        <v>320</v>
      </c>
      <c r="AB162" s="3">
        <v>370</v>
      </c>
      <c r="AC162" s="3">
        <v>434</v>
      </c>
      <c r="AD162" s="3">
        <v>436</v>
      </c>
      <c r="AE162" s="3">
        <v>436</v>
      </c>
      <c r="AF162" s="3">
        <v>439</v>
      </c>
      <c r="AG162" s="3">
        <v>445</v>
      </c>
      <c r="AH162" s="3">
        <v>447</v>
      </c>
      <c r="AI162" s="3">
        <v>455</v>
      </c>
      <c r="AJ162" s="3">
        <v>464</v>
      </c>
      <c r="AK162" s="3">
        <v>482</v>
      </c>
      <c r="AL162" s="3">
        <v>506</v>
      </c>
      <c r="AM162" s="3">
        <v>542</v>
      </c>
      <c r="AN162" s="3">
        <v>566</v>
      </c>
      <c r="AO162" s="3">
        <v>594</v>
      </c>
      <c r="AP162" s="3">
        <v>594</v>
      </c>
      <c r="AQ162" s="3">
        <v>585</v>
      </c>
      <c r="AR162" s="4">
        <v>306.18556701030928</v>
      </c>
      <c r="AS162" s="5">
        <f t="shared" si="22"/>
        <v>0.48701298701298701</v>
      </c>
      <c r="AT162" s="5">
        <f t="shared" si="23"/>
        <v>1.7361111111111112</v>
      </c>
      <c r="AU162" s="5">
        <f t="shared" si="24"/>
        <v>1.8648648648648649</v>
      </c>
      <c r="AV162" s="5">
        <f t="shared" si="25"/>
        <v>3.5307517084282458</v>
      </c>
      <c r="AW162" s="5">
        <f t="shared" si="26"/>
        <v>1.1841100076394195</v>
      </c>
      <c r="AX162" s="5">
        <f t="shared" si="27"/>
        <v>3.0270270270270272</v>
      </c>
      <c r="AY162" s="5">
        <f t="shared" si="28"/>
        <v>2.50965250965251</v>
      </c>
      <c r="AZ162">
        <f t="shared" si="29"/>
        <v>1940000</v>
      </c>
      <c r="BA162">
        <v>0</v>
      </c>
      <c r="BB162">
        <v>250000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1520000</v>
      </c>
      <c r="BK162">
        <v>0</v>
      </c>
      <c r="BL162">
        <v>170000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32</v>
      </c>
      <c r="CC162">
        <v>37</v>
      </c>
      <c r="CD162">
        <v>41</v>
      </c>
      <c r="CE162">
        <v>40</v>
      </c>
      <c r="CF162" s="17">
        <v>16.580310880829018</v>
      </c>
      <c r="CG162" s="17">
        <v>19.170984455958546</v>
      </c>
      <c r="CH162" s="17">
        <v>21.243523316062177</v>
      </c>
      <c r="CI162" s="17">
        <v>20.725388601036268</v>
      </c>
      <c r="CJ162" s="18">
        <v>1</v>
      </c>
      <c r="CK162" s="18">
        <v>1.15625</v>
      </c>
      <c r="CL162" s="18">
        <v>1.28125</v>
      </c>
      <c r="CM162" s="18">
        <v>1.25</v>
      </c>
      <c r="CN162" s="18">
        <v>0</v>
      </c>
      <c r="CO162" s="18">
        <v>2.5906735751295336</v>
      </c>
      <c r="CP162" s="18">
        <v>4.6632124352331603</v>
      </c>
      <c r="CQ162" s="18">
        <v>4.1450777202072544</v>
      </c>
      <c r="CR162" s="18">
        <f t="shared" si="30"/>
        <v>1.7597402597402598</v>
      </c>
      <c r="CS162" s="18">
        <f t="shared" si="31"/>
        <v>1.4077922077922078</v>
      </c>
      <c r="CT162">
        <v>6.1855670103092804</v>
      </c>
      <c r="CU162">
        <v>93.814432989690701</v>
      </c>
      <c r="CV162">
        <v>0</v>
      </c>
      <c r="CW162">
        <v>0</v>
      </c>
      <c r="CX162">
        <v>0</v>
      </c>
      <c r="CY162">
        <v>6.1855670103092804</v>
      </c>
      <c r="CZ162">
        <v>93.814432989690701</v>
      </c>
      <c r="DA162">
        <v>0</v>
      </c>
      <c r="DB162">
        <v>0</v>
      </c>
      <c r="DC162">
        <v>0</v>
      </c>
      <c r="DD162">
        <v>9.7938144329896897</v>
      </c>
      <c r="DE162">
        <v>90.206185567010294</v>
      </c>
      <c r="DF162">
        <v>0</v>
      </c>
      <c r="DG162">
        <v>0</v>
      </c>
      <c r="DH162">
        <v>0</v>
      </c>
      <c r="DI162">
        <v>12.8865979381443</v>
      </c>
      <c r="DJ162">
        <v>87.113402061855638</v>
      </c>
      <c r="DK162">
        <v>0</v>
      </c>
      <c r="DL162">
        <v>0</v>
      </c>
      <c r="DM162">
        <v>0</v>
      </c>
      <c r="DN162">
        <v>12.8865979381443</v>
      </c>
      <c r="DO162">
        <v>87.113402061855638</v>
      </c>
      <c r="DP162">
        <v>0</v>
      </c>
      <c r="DQ162">
        <v>0</v>
      </c>
      <c r="DR162">
        <v>0</v>
      </c>
      <c r="DS162" t="s">
        <v>312</v>
      </c>
      <c r="DT162" t="s">
        <v>313</v>
      </c>
      <c r="DU162">
        <v>586</v>
      </c>
      <c r="DV162" t="s">
        <v>547</v>
      </c>
      <c r="DW162" t="s">
        <v>548</v>
      </c>
      <c r="DX162">
        <v>86</v>
      </c>
      <c r="DY162">
        <v>130</v>
      </c>
      <c r="DZ162">
        <v>216</v>
      </c>
      <c r="EA162">
        <v>606779</v>
      </c>
      <c r="EB162">
        <v>388178</v>
      </c>
      <c r="EC162">
        <v>994957</v>
      </c>
      <c r="ED162" t="s">
        <v>274</v>
      </c>
      <c r="EE162" t="s">
        <v>274</v>
      </c>
      <c r="EF162" t="s">
        <v>274</v>
      </c>
      <c r="EG162" t="s">
        <v>274</v>
      </c>
    </row>
    <row r="163" spans="1:137" ht="14.55" customHeight="1" x14ac:dyDescent="0.3">
      <c r="A163" t="s">
        <v>611</v>
      </c>
      <c r="B163">
        <v>5729</v>
      </c>
      <c r="C163" t="s">
        <v>612</v>
      </c>
      <c r="D163" t="s">
        <v>543</v>
      </c>
      <c r="E163" t="s">
        <v>544</v>
      </c>
      <c r="F163" t="s">
        <v>270</v>
      </c>
      <c r="G163" t="s">
        <v>545</v>
      </c>
      <c r="H163" s="3">
        <v>1805424.2149499999</v>
      </c>
      <c r="I163">
        <v>182</v>
      </c>
      <c r="J163" s="3">
        <v>180.54242149499999</v>
      </c>
      <c r="K163">
        <v>374</v>
      </c>
      <c r="L163">
        <v>477</v>
      </c>
      <c r="M163">
        <v>422.70816550714</v>
      </c>
      <c r="N163">
        <v>23.803667287046501</v>
      </c>
      <c r="O163">
        <v>0</v>
      </c>
      <c r="P163">
        <v>20.469753265380898</v>
      </c>
      <c r="Q163">
        <v>3.7684199810028098</v>
      </c>
      <c r="R163">
        <v>2.6783373355865501</v>
      </c>
      <c r="S163" t="s">
        <v>546</v>
      </c>
      <c r="T163" t="s">
        <v>611</v>
      </c>
      <c r="U163" t="s">
        <v>612</v>
      </c>
      <c r="V163" t="s">
        <v>612</v>
      </c>
      <c r="W163" s="3">
        <v>1594</v>
      </c>
      <c r="X163" s="3">
        <v>1810000</v>
      </c>
      <c r="Y163">
        <v>2</v>
      </c>
      <c r="Z163" s="3">
        <v>836</v>
      </c>
      <c r="AA163" s="3">
        <v>1139</v>
      </c>
      <c r="AB163" s="3">
        <v>1255</v>
      </c>
      <c r="AC163" s="3">
        <v>1441</v>
      </c>
      <c r="AD163" s="3">
        <v>1472</v>
      </c>
      <c r="AE163" s="3">
        <v>1540</v>
      </c>
      <c r="AF163" s="3">
        <v>1537</v>
      </c>
      <c r="AG163" s="3">
        <v>1547</v>
      </c>
      <c r="AH163" s="3">
        <v>1545</v>
      </c>
      <c r="AI163" s="3">
        <v>1522</v>
      </c>
      <c r="AJ163" s="3">
        <v>1539</v>
      </c>
      <c r="AK163" s="3">
        <v>1620</v>
      </c>
      <c r="AL163" s="3">
        <v>1596</v>
      </c>
      <c r="AM163" s="3">
        <v>1553</v>
      </c>
      <c r="AN163" s="3">
        <v>1595</v>
      </c>
      <c r="AO163" s="3">
        <v>1573</v>
      </c>
      <c r="AP163" s="3">
        <v>1594</v>
      </c>
      <c r="AQ163" s="3">
        <v>1641</v>
      </c>
      <c r="AR163" s="4">
        <v>880.66298342541438</v>
      </c>
      <c r="AS163" s="5">
        <f t="shared" si="22"/>
        <v>4.5305023923444976</v>
      </c>
      <c r="AT163" s="5">
        <f t="shared" si="23"/>
        <v>1.1315969173739149</v>
      </c>
      <c r="AU163" s="5">
        <f t="shared" si="24"/>
        <v>2.2470119521912348</v>
      </c>
      <c r="AV163" s="5">
        <f t="shared" si="25"/>
        <v>0.37085230969420951</v>
      </c>
      <c r="AW163" s="5">
        <f t="shared" si="26"/>
        <v>2.9482127779341405</v>
      </c>
      <c r="AX163" s="5">
        <f t="shared" si="27"/>
        <v>1.3505976095617531</v>
      </c>
      <c r="AY163" s="5">
        <f t="shared" si="28"/>
        <v>2.4505366610629769</v>
      </c>
      <c r="AZ163">
        <f t="shared" si="29"/>
        <v>1840000</v>
      </c>
      <c r="BA163">
        <v>0</v>
      </c>
      <c r="BB163">
        <v>810000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370000</v>
      </c>
      <c r="BK163">
        <v>0</v>
      </c>
      <c r="BL163">
        <v>420000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240000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49</v>
      </c>
      <c r="CC163">
        <v>62</v>
      </c>
      <c r="CD163">
        <v>70</v>
      </c>
      <c r="CE163">
        <v>75</v>
      </c>
      <c r="CF163" s="17">
        <v>27.528089887640451</v>
      </c>
      <c r="CG163" s="17">
        <v>34.831460674157306</v>
      </c>
      <c r="CH163" s="17">
        <v>39.325842696629216</v>
      </c>
      <c r="CI163" s="17">
        <v>42.134831460674157</v>
      </c>
      <c r="CJ163" s="18">
        <v>1</v>
      </c>
      <c r="CK163" s="18">
        <v>1.2653061224489797</v>
      </c>
      <c r="CL163" s="18">
        <v>1.4285714285714286</v>
      </c>
      <c r="CM163" s="18">
        <v>1.5306122448979591</v>
      </c>
      <c r="CN163" s="18">
        <v>0</v>
      </c>
      <c r="CO163" s="18">
        <v>7.3033707865168536</v>
      </c>
      <c r="CP163" s="18">
        <v>11.797752808988763</v>
      </c>
      <c r="CQ163" s="18">
        <v>14.606741573033707</v>
      </c>
      <c r="CR163" s="18">
        <f t="shared" si="30"/>
        <v>1.8576555023923444</v>
      </c>
      <c r="CS163" s="18">
        <f t="shared" si="31"/>
        <v>1.2136682615629983</v>
      </c>
      <c r="CT163">
        <v>41.847826086956502</v>
      </c>
      <c r="CU163">
        <v>42.934782608695699</v>
      </c>
      <c r="CV163">
        <v>14.673913043478301</v>
      </c>
      <c r="CW163">
        <v>0</v>
      </c>
      <c r="CX163">
        <v>0.54347826086956497</v>
      </c>
      <c r="CY163">
        <v>41.847826086956502</v>
      </c>
      <c r="CZ163">
        <v>42.934782608695699</v>
      </c>
      <c r="DA163">
        <v>14.673913043478301</v>
      </c>
      <c r="DB163">
        <v>0</v>
      </c>
      <c r="DC163">
        <v>0.54347826086956497</v>
      </c>
      <c r="DD163">
        <v>44.021739130434803</v>
      </c>
      <c r="DE163">
        <v>42.934782608695699</v>
      </c>
      <c r="DF163">
        <v>13.0434782608696</v>
      </c>
      <c r="DG163">
        <v>0</v>
      </c>
      <c r="DH163">
        <v>0</v>
      </c>
      <c r="DI163">
        <v>44.021739130434803</v>
      </c>
      <c r="DJ163">
        <v>42.934782608695599</v>
      </c>
      <c r="DK163">
        <v>13.0434782608696</v>
      </c>
      <c r="DL163">
        <v>0</v>
      </c>
      <c r="DM163">
        <v>0</v>
      </c>
      <c r="DN163">
        <v>44.021739130434803</v>
      </c>
      <c r="DO163">
        <v>42.934782608695599</v>
      </c>
      <c r="DP163">
        <v>13.0434782608696</v>
      </c>
      <c r="DQ163">
        <v>0</v>
      </c>
      <c r="DR163">
        <v>0</v>
      </c>
      <c r="DS163" t="s">
        <v>564</v>
      </c>
      <c r="DT163" t="s">
        <v>313</v>
      </c>
      <c r="DU163">
        <v>1721</v>
      </c>
      <c r="DV163" t="s">
        <v>547</v>
      </c>
      <c r="DW163" t="s">
        <v>548</v>
      </c>
      <c r="DX163">
        <v>86</v>
      </c>
      <c r="DY163">
        <v>130</v>
      </c>
      <c r="DZ163">
        <v>216</v>
      </c>
      <c r="EA163">
        <v>606779</v>
      </c>
      <c r="EB163">
        <v>388178</v>
      </c>
      <c r="EC163">
        <v>994957</v>
      </c>
      <c r="ED163" t="s">
        <v>274</v>
      </c>
      <c r="EE163" t="s">
        <v>274</v>
      </c>
      <c r="EF163" t="s">
        <v>274</v>
      </c>
      <c r="EG163" t="s">
        <v>274</v>
      </c>
    </row>
    <row r="164" spans="1:137" ht="14.55" customHeight="1" x14ac:dyDescent="0.3">
      <c r="A164" t="s">
        <v>613</v>
      </c>
      <c r="B164">
        <v>5730</v>
      </c>
      <c r="C164" t="s">
        <v>614</v>
      </c>
      <c r="D164" t="s">
        <v>543</v>
      </c>
      <c r="E164" t="s">
        <v>544</v>
      </c>
      <c r="F164" t="s">
        <v>270</v>
      </c>
      <c r="G164" t="s">
        <v>545</v>
      </c>
      <c r="H164" s="3">
        <v>5772833.5469500003</v>
      </c>
      <c r="I164">
        <v>577</v>
      </c>
      <c r="J164" s="3">
        <v>577.28335469500007</v>
      </c>
      <c r="K164">
        <v>454</v>
      </c>
      <c r="L164">
        <v>769</v>
      </c>
      <c r="M164">
        <v>548.20207786277001</v>
      </c>
      <c r="N164">
        <v>68.623895189661098</v>
      </c>
      <c r="O164">
        <v>0</v>
      </c>
      <c r="P164">
        <v>23.218585968017599</v>
      </c>
      <c r="Q164">
        <v>4.9783468246459996</v>
      </c>
      <c r="R164">
        <v>3.35104179382324</v>
      </c>
      <c r="S164" t="s">
        <v>546</v>
      </c>
      <c r="T164" t="s">
        <v>613</v>
      </c>
      <c r="U164" t="s">
        <v>614</v>
      </c>
      <c r="V164" t="s">
        <v>614</v>
      </c>
      <c r="W164" s="3">
        <v>1434</v>
      </c>
      <c r="X164" s="3">
        <v>5770000</v>
      </c>
      <c r="Y164">
        <v>2</v>
      </c>
      <c r="Z164" s="3">
        <v>768</v>
      </c>
      <c r="AA164" s="3">
        <v>879</v>
      </c>
      <c r="AB164" s="3">
        <v>1134</v>
      </c>
      <c r="AC164" s="3">
        <v>1264</v>
      </c>
      <c r="AD164" s="3">
        <v>1325</v>
      </c>
      <c r="AE164" s="3">
        <v>1367</v>
      </c>
      <c r="AF164" s="3">
        <v>1391</v>
      </c>
      <c r="AG164" s="3">
        <v>1391</v>
      </c>
      <c r="AH164" s="3">
        <v>1439</v>
      </c>
      <c r="AI164" s="3">
        <v>1400</v>
      </c>
      <c r="AJ164" s="3">
        <v>1419</v>
      </c>
      <c r="AK164" s="3">
        <v>1425</v>
      </c>
      <c r="AL164" s="3">
        <v>1425</v>
      </c>
      <c r="AM164" s="3">
        <v>1446</v>
      </c>
      <c r="AN164" s="3">
        <v>1402</v>
      </c>
      <c r="AO164" s="3">
        <v>1401</v>
      </c>
      <c r="AP164" s="3">
        <v>1434</v>
      </c>
      <c r="AQ164" s="3">
        <v>1449</v>
      </c>
      <c r="AR164" s="4">
        <v>248.52686308492201</v>
      </c>
      <c r="AS164" s="5">
        <f t="shared" si="22"/>
        <v>1.806640625</v>
      </c>
      <c r="AT164" s="5">
        <f t="shared" si="23"/>
        <v>3.2233598786499811</v>
      </c>
      <c r="AU164" s="5">
        <f t="shared" si="24"/>
        <v>2.2663139329805992</v>
      </c>
      <c r="AV164" s="5">
        <f t="shared" si="25"/>
        <v>0.30913012221423436</v>
      </c>
      <c r="AW164" s="5">
        <f t="shared" si="26"/>
        <v>2.8033088235294117</v>
      </c>
      <c r="AX164" s="5">
        <f t="shared" si="27"/>
        <v>1.3227513227513228</v>
      </c>
      <c r="AY164" s="5">
        <f t="shared" si="28"/>
        <v>2.34375</v>
      </c>
      <c r="AZ164">
        <f t="shared" si="29"/>
        <v>5760000</v>
      </c>
      <c r="BA164">
        <v>0</v>
      </c>
      <c r="BB164">
        <v>720000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2260000</v>
      </c>
      <c r="BK164">
        <v>0</v>
      </c>
      <c r="BL164">
        <v>0</v>
      </c>
      <c r="BM164">
        <v>0</v>
      </c>
      <c r="BN164">
        <v>0</v>
      </c>
      <c r="BO164">
        <v>1020000</v>
      </c>
      <c r="BP164">
        <v>820000</v>
      </c>
      <c r="BQ164">
        <v>0</v>
      </c>
      <c r="BR164">
        <v>940000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69</v>
      </c>
      <c r="CC164">
        <v>84</v>
      </c>
      <c r="CD164">
        <v>86</v>
      </c>
      <c r="CE164">
        <v>89</v>
      </c>
      <c r="CF164" s="17">
        <v>11.794871794871794</v>
      </c>
      <c r="CG164" s="17">
        <v>14.358974358974358</v>
      </c>
      <c r="CH164" s="17">
        <v>14.700854700854702</v>
      </c>
      <c r="CI164" s="17">
        <v>15.213675213675213</v>
      </c>
      <c r="CJ164" s="18">
        <v>1</v>
      </c>
      <c r="CK164" s="18">
        <v>1.2173913043478262</v>
      </c>
      <c r="CL164" s="18">
        <v>1.2463768115942029</v>
      </c>
      <c r="CM164" s="18">
        <v>1.2898550724637681</v>
      </c>
      <c r="CN164" s="18">
        <v>0</v>
      </c>
      <c r="CO164" s="18">
        <v>2.5641025641025639</v>
      </c>
      <c r="CP164" s="18">
        <v>2.9059829059829059</v>
      </c>
      <c r="CQ164" s="18">
        <v>3.4188034188034191</v>
      </c>
      <c r="CR164" s="18">
        <f t="shared" si="30"/>
        <v>1.8828125</v>
      </c>
      <c r="CS164" s="18">
        <f t="shared" si="31"/>
        <v>1.4597085674157304</v>
      </c>
      <c r="CT164">
        <v>6.0763888888888902</v>
      </c>
      <c r="CU164">
        <v>60.416666666666721</v>
      </c>
      <c r="CV164">
        <v>33.5069444444444</v>
      </c>
      <c r="CW164">
        <v>0</v>
      </c>
      <c r="CX164">
        <v>0</v>
      </c>
      <c r="CY164">
        <v>10.7638888888889</v>
      </c>
      <c r="CZ164">
        <v>56.9444444444445</v>
      </c>
      <c r="DA164">
        <v>32.2916666666667</v>
      </c>
      <c r="DB164">
        <v>0</v>
      </c>
      <c r="DC164">
        <v>0</v>
      </c>
      <c r="DD164">
        <v>11.2847222222222</v>
      </c>
      <c r="DE164">
        <v>55.2083333333333</v>
      </c>
      <c r="DF164">
        <v>33.5069444444444</v>
      </c>
      <c r="DG164">
        <v>0</v>
      </c>
      <c r="DH164">
        <v>0</v>
      </c>
      <c r="DI164">
        <v>12.5</v>
      </c>
      <c r="DJ164">
        <v>56.9444444444444</v>
      </c>
      <c r="DK164">
        <v>30.5555555555556</v>
      </c>
      <c r="DL164">
        <v>0</v>
      </c>
      <c r="DM164">
        <v>0</v>
      </c>
      <c r="DN164">
        <v>12.5</v>
      </c>
      <c r="DO164">
        <v>56.9444444444444</v>
      </c>
      <c r="DP164">
        <v>30.5555555555556</v>
      </c>
      <c r="DQ164">
        <v>0</v>
      </c>
      <c r="DR164">
        <v>0</v>
      </c>
      <c r="DS164" t="s">
        <v>312</v>
      </c>
      <c r="DT164" t="s">
        <v>313</v>
      </c>
      <c r="DU164">
        <v>1430</v>
      </c>
      <c r="DV164" t="s">
        <v>547</v>
      </c>
      <c r="DW164" t="s">
        <v>548</v>
      </c>
      <c r="DX164">
        <v>86</v>
      </c>
      <c r="DY164">
        <v>130</v>
      </c>
      <c r="DZ164">
        <v>216</v>
      </c>
      <c r="EA164">
        <v>606779</v>
      </c>
      <c r="EB164">
        <v>388178</v>
      </c>
      <c r="EC164">
        <v>994957</v>
      </c>
      <c r="ED164" t="s">
        <v>274</v>
      </c>
      <c r="EE164" t="s">
        <v>274</v>
      </c>
      <c r="EF164" t="s">
        <v>274</v>
      </c>
      <c r="EG164" t="s">
        <v>274</v>
      </c>
    </row>
    <row r="165" spans="1:137" ht="14.55" customHeight="1" x14ac:dyDescent="0.3">
      <c r="A165" t="s">
        <v>615</v>
      </c>
      <c r="B165">
        <v>5731</v>
      </c>
      <c r="C165" t="s">
        <v>616</v>
      </c>
      <c r="D165" t="s">
        <v>543</v>
      </c>
      <c r="E165" t="s">
        <v>544</v>
      </c>
      <c r="F165" t="s">
        <v>270</v>
      </c>
      <c r="G165" t="s">
        <v>545</v>
      </c>
      <c r="H165" s="3">
        <v>3106820.8781499998</v>
      </c>
      <c r="I165">
        <v>312</v>
      </c>
      <c r="J165" s="3">
        <v>310.68208781499999</v>
      </c>
      <c r="K165">
        <v>624</v>
      </c>
      <c r="L165">
        <v>1382</v>
      </c>
      <c r="M165">
        <v>839.25121796229598</v>
      </c>
      <c r="N165">
        <v>166.68656751196599</v>
      </c>
      <c r="O165">
        <v>0.33761471509933499</v>
      </c>
      <c r="P165">
        <v>34.119270324707003</v>
      </c>
      <c r="Q165">
        <v>7.5590901374816903</v>
      </c>
      <c r="R165">
        <v>4.7817225456237802</v>
      </c>
      <c r="S165" t="s">
        <v>546</v>
      </c>
      <c r="T165" t="s">
        <v>615</v>
      </c>
      <c r="U165" t="s">
        <v>616</v>
      </c>
      <c r="V165" t="s">
        <v>616</v>
      </c>
      <c r="W165" s="3">
        <v>1357</v>
      </c>
      <c r="X165" s="3">
        <v>3110000</v>
      </c>
      <c r="Y165">
        <v>3</v>
      </c>
      <c r="Z165" s="3">
        <v>547</v>
      </c>
      <c r="AA165" s="3">
        <v>704</v>
      </c>
      <c r="AB165" s="3">
        <v>957</v>
      </c>
      <c r="AC165" s="3">
        <v>1118</v>
      </c>
      <c r="AD165" s="3">
        <v>1157</v>
      </c>
      <c r="AE165" s="3">
        <v>1192</v>
      </c>
      <c r="AF165" s="3">
        <v>1194</v>
      </c>
      <c r="AG165" s="3">
        <v>1240</v>
      </c>
      <c r="AH165" s="3">
        <v>1258</v>
      </c>
      <c r="AI165" s="3">
        <v>1244</v>
      </c>
      <c r="AJ165" s="3">
        <v>1231</v>
      </c>
      <c r="AK165" s="3">
        <v>1239</v>
      </c>
      <c r="AL165" s="3">
        <v>1244</v>
      </c>
      <c r="AM165" s="3">
        <v>1265</v>
      </c>
      <c r="AN165" s="3">
        <v>1274</v>
      </c>
      <c r="AO165" s="3">
        <v>1310</v>
      </c>
      <c r="AP165" s="3">
        <v>1357</v>
      </c>
      <c r="AQ165" s="3">
        <v>1364</v>
      </c>
      <c r="AR165" s="4">
        <v>436.33440514469453</v>
      </c>
      <c r="AS165" s="5">
        <f t="shared" si="22"/>
        <v>3.5877513711151736</v>
      </c>
      <c r="AT165" s="5">
        <f t="shared" si="23"/>
        <v>3.9930555555555554</v>
      </c>
      <c r="AU165" s="5">
        <f t="shared" si="24"/>
        <v>2.476489028213166</v>
      </c>
      <c r="AV165" s="5">
        <f t="shared" si="25"/>
        <v>1.3651591289782243</v>
      </c>
      <c r="AW165" s="5">
        <f t="shared" si="26"/>
        <v>4.4090762447575003</v>
      </c>
      <c r="AX165" s="5">
        <f t="shared" si="27"/>
        <v>2.089864158829676</v>
      </c>
      <c r="AY165" s="5">
        <f t="shared" si="28"/>
        <v>4.0021740204555556</v>
      </c>
      <c r="AZ165">
        <f t="shared" si="29"/>
        <v>3120000</v>
      </c>
      <c r="BA165">
        <v>0</v>
      </c>
      <c r="BB165">
        <v>870000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1150000</v>
      </c>
      <c r="BK165">
        <v>0</v>
      </c>
      <c r="BL165">
        <v>0</v>
      </c>
      <c r="BM165">
        <v>0</v>
      </c>
      <c r="BN165">
        <v>0</v>
      </c>
      <c r="BO165">
        <v>320000</v>
      </c>
      <c r="BP165">
        <v>130000</v>
      </c>
      <c r="BQ165">
        <v>0</v>
      </c>
      <c r="BR165">
        <v>650000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49</v>
      </c>
      <c r="CC165">
        <v>58</v>
      </c>
      <c r="CD165">
        <v>63</v>
      </c>
      <c r="CE165">
        <v>68</v>
      </c>
      <c r="CF165" s="17">
        <v>15.654952076677317</v>
      </c>
      <c r="CG165" s="17">
        <v>18.530351437699679</v>
      </c>
      <c r="CH165" s="17">
        <v>20.12779552715655</v>
      </c>
      <c r="CI165" s="17">
        <v>21.725239616613418</v>
      </c>
      <c r="CJ165" s="18">
        <v>1</v>
      </c>
      <c r="CK165" s="18">
        <v>1.1836734693877551</v>
      </c>
      <c r="CL165" s="18">
        <v>1.2857142857142858</v>
      </c>
      <c r="CM165" s="18">
        <v>1.3877551020408163</v>
      </c>
      <c r="CN165" s="18">
        <v>0</v>
      </c>
      <c r="CO165" s="18">
        <v>2.8753993610223643</v>
      </c>
      <c r="CP165" s="18">
        <v>4.4728434504792327</v>
      </c>
      <c r="CQ165" s="18">
        <v>6.0702875399361016</v>
      </c>
      <c r="CR165" s="18">
        <f t="shared" si="30"/>
        <v>2.3126142595978063</v>
      </c>
      <c r="CS165" s="18">
        <f t="shared" si="31"/>
        <v>1.6664426282395957</v>
      </c>
      <c r="CT165">
        <v>11.217948717948699</v>
      </c>
      <c r="CU165">
        <v>63.782051282051299</v>
      </c>
      <c r="CV165">
        <v>25</v>
      </c>
      <c r="CW165">
        <v>0</v>
      </c>
      <c r="CX165">
        <v>0</v>
      </c>
      <c r="CY165">
        <v>27.564102564102601</v>
      </c>
      <c r="CZ165">
        <v>47.115384615384599</v>
      </c>
      <c r="DA165">
        <v>25.3205128205128</v>
      </c>
      <c r="DB165">
        <v>0</v>
      </c>
      <c r="DC165">
        <v>0</v>
      </c>
      <c r="DD165">
        <v>27.564102564102601</v>
      </c>
      <c r="DE165">
        <v>47.115384615384635</v>
      </c>
      <c r="DF165">
        <v>25.3205128205128</v>
      </c>
      <c r="DG165">
        <v>0</v>
      </c>
      <c r="DH165">
        <v>0</v>
      </c>
      <c r="DI165">
        <v>27.884615384615401</v>
      </c>
      <c r="DJ165">
        <v>47.115384615384698</v>
      </c>
      <c r="DK165">
        <v>25</v>
      </c>
      <c r="DL165">
        <v>0</v>
      </c>
      <c r="DM165">
        <v>0</v>
      </c>
      <c r="DN165">
        <v>27.884615384615401</v>
      </c>
      <c r="DO165">
        <v>47.115384615384698</v>
      </c>
      <c r="DP165">
        <v>25</v>
      </c>
      <c r="DQ165">
        <v>0</v>
      </c>
      <c r="DR165">
        <v>0</v>
      </c>
      <c r="DS165" t="s">
        <v>312</v>
      </c>
      <c r="DT165" t="s">
        <v>313</v>
      </c>
      <c r="DU165">
        <v>1403</v>
      </c>
      <c r="DV165" t="s">
        <v>547</v>
      </c>
      <c r="DW165" t="s">
        <v>548</v>
      </c>
      <c r="DX165">
        <v>86</v>
      </c>
      <c r="DY165">
        <v>130</v>
      </c>
      <c r="DZ165">
        <v>216</v>
      </c>
      <c r="EA165">
        <v>606779</v>
      </c>
      <c r="EB165">
        <v>388178</v>
      </c>
      <c r="EC165">
        <v>994957</v>
      </c>
      <c r="ED165" t="s">
        <v>274</v>
      </c>
      <c r="EE165" t="s">
        <v>274</v>
      </c>
      <c r="EF165" t="s">
        <v>274</v>
      </c>
      <c r="EG165" t="s">
        <v>274</v>
      </c>
    </row>
    <row r="166" spans="1:137" ht="14.55" customHeight="1" x14ac:dyDescent="0.3">
      <c r="A166" t="s">
        <v>617</v>
      </c>
      <c r="B166">
        <v>5732</v>
      </c>
      <c r="C166" t="s">
        <v>618</v>
      </c>
      <c r="D166" t="s">
        <v>543</v>
      </c>
      <c r="E166" t="s">
        <v>544</v>
      </c>
      <c r="F166" t="s">
        <v>270</v>
      </c>
      <c r="G166" t="s">
        <v>545</v>
      </c>
      <c r="H166" s="3">
        <v>1553647.34265</v>
      </c>
      <c r="I166">
        <v>155</v>
      </c>
      <c r="J166" s="3">
        <v>155.36473426500001</v>
      </c>
      <c r="K166">
        <v>405</v>
      </c>
      <c r="L166">
        <v>581</v>
      </c>
      <c r="M166">
        <v>460.83474576271198</v>
      </c>
      <c r="N166">
        <v>39.936727239002501</v>
      </c>
      <c r="O166">
        <v>0</v>
      </c>
      <c r="P166">
        <v>27.390619277954102</v>
      </c>
      <c r="Q166">
        <v>5.52622747421265</v>
      </c>
      <c r="R166">
        <v>4.2894701957702601</v>
      </c>
      <c r="S166" t="s">
        <v>546</v>
      </c>
      <c r="T166" t="s">
        <v>617</v>
      </c>
      <c r="U166" t="s">
        <v>618</v>
      </c>
      <c r="V166" t="s">
        <v>618</v>
      </c>
      <c r="W166" s="3">
        <v>1083</v>
      </c>
      <c r="X166" s="3">
        <v>1550000</v>
      </c>
      <c r="Y166">
        <v>2</v>
      </c>
      <c r="Z166" s="3">
        <v>329</v>
      </c>
      <c r="AA166" s="3">
        <v>553</v>
      </c>
      <c r="AB166" s="3">
        <v>702</v>
      </c>
      <c r="AC166" s="3">
        <v>713</v>
      </c>
      <c r="AD166" s="3">
        <v>705</v>
      </c>
      <c r="AE166" s="3">
        <v>735</v>
      </c>
      <c r="AF166" s="3">
        <v>734</v>
      </c>
      <c r="AG166" s="3">
        <v>764</v>
      </c>
      <c r="AH166" s="3">
        <v>780</v>
      </c>
      <c r="AI166" s="3">
        <v>743</v>
      </c>
      <c r="AJ166" s="3">
        <v>759</v>
      </c>
      <c r="AK166" s="3">
        <v>771</v>
      </c>
      <c r="AL166" s="3">
        <v>896</v>
      </c>
      <c r="AM166" s="3">
        <v>980</v>
      </c>
      <c r="AN166" s="3">
        <v>1022</v>
      </c>
      <c r="AO166" s="3">
        <v>1036</v>
      </c>
      <c r="AP166" s="3">
        <v>1083</v>
      </c>
      <c r="AQ166" s="3">
        <v>1155</v>
      </c>
      <c r="AR166" s="4">
        <v>698.70967741935488</v>
      </c>
      <c r="AS166" s="5">
        <f t="shared" si="22"/>
        <v>8.5106382978723403</v>
      </c>
      <c r="AT166" s="5">
        <f t="shared" si="23"/>
        <v>2.9937713482017276</v>
      </c>
      <c r="AU166" s="5">
        <f t="shared" si="24"/>
        <v>0.4558404558404559</v>
      </c>
      <c r="AV166" s="5">
        <f t="shared" si="25"/>
        <v>4.7547683923705719</v>
      </c>
      <c r="AW166" s="5">
        <f t="shared" si="26"/>
        <v>6.6690505989629889</v>
      </c>
      <c r="AX166" s="5">
        <f t="shared" si="27"/>
        <v>2.7136752136752134</v>
      </c>
      <c r="AY166" s="5">
        <f t="shared" si="28"/>
        <v>6.1940359812700239</v>
      </c>
      <c r="AZ166">
        <f t="shared" si="29"/>
        <v>1560000</v>
      </c>
      <c r="BA166">
        <v>0</v>
      </c>
      <c r="BB166">
        <v>530000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570000</v>
      </c>
      <c r="BK166">
        <v>60000</v>
      </c>
      <c r="BL166">
        <v>70000</v>
      </c>
      <c r="BM166">
        <v>0</v>
      </c>
      <c r="BN166">
        <v>50000</v>
      </c>
      <c r="BO166">
        <v>0</v>
      </c>
      <c r="BP166">
        <v>280000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30</v>
      </c>
      <c r="CC166">
        <v>37</v>
      </c>
      <c r="CD166">
        <v>42</v>
      </c>
      <c r="CE166">
        <v>46</v>
      </c>
      <c r="CF166" s="17">
        <v>19.736842105263158</v>
      </c>
      <c r="CG166" s="17">
        <v>24.342105263157894</v>
      </c>
      <c r="CH166" s="17">
        <v>27.631578947368425</v>
      </c>
      <c r="CI166" s="17">
        <v>30.263157894736842</v>
      </c>
      <c r="CJ166" s="18">
        <v>1</v>
      </c>
      <c r="CK166" s="18">
        <v>1.2333333333333334</v>
      </c>
      <c r="CL166" s="18">
        <v>1.4</v>
      </c>
      <c r="CM166" s="18">
        <v>1.5333333333333334</v>
      </c>
      <c r="CN166" s="18">
        <v>0</v>
      </c>
      <c r="CO166" s="18">
        <v>4.6052631578947363</v>
      </c>
      <c r="CP166" s="18">
        <v>7.8947368421052628</v>
      </c>
      <c r="CQ166" s="18">
        <v>10.526315789473683</v>
      </c>
      <c r="CR166" s="18">
        <f t="shared" si="30"/>
        <v>2.978723404255319</v>
      </c>
      <c r="CS166" s="18">
        <f t="shared" si="31"/>
        <v>1.9426456984273819</v>
      </c>
      <c r="CT166">
        <v>12.820512820512821</v>
      </c>
      <c r="CU166">
        <v>65.384615384615373</v>
      </c>
      <c r="CV166">
        <v>21.794871794871799</v>
      </c>
      <c r="CW166">
        <v>0</v>
      </c>
      <c r="CX166">
        <v>0</v>
      </c>
      <c r="CY166">
        <v>33.974358974358999</v>
      </c>
      <c r="CZ166">
        <v>47.435897435897409</v>
      </c>
      <c r="DA166">
        <v>18.589743589743598</v>
      </c>
      <c r="DB166">
        <v>0</v>
      </c>
      <c r="DC166">
        <v>0</v>
      </c>
      <c r="DD166">
        <v>33.974358974358999</v>
      </c>
      <c r="DE166">
        <v>47.435897435897409</v>
      </c>
      <c r="DF166">
        <v>18.589743589743598</v>
      </c>
      <c r="DG166">
        <v>0</v>
      </c>
      <c r="DH166">
        <v>0</v>
      </c>
      <c r="DI166">
        <v>33.974358974358999</v>
      </c>
      <c r="DJ166">
        <v>48.076923076923038</v>
      </c>
      <c r="DK166">
        <v>17.948717948717999</v>
      </c>
      <c r="DL166">
        <v>0</v>
      </c>
      <c r="DM166">
        <v>0</v>
      </c>
      <c r="DN166">
        <v>33.974358974358999</v>
      </c>
      <c r="DO166">
        <v>48.076923076923038</v>
      </c>
      <c r="DP166">
        <v>17.948717948717999</v>
      </c>
      <c r="DQ166">
        <v>0</v>
      </c>
      <c r="DR166">
        <v>0</v>
      </c>
      <c r="DS166" t="s">
        <v>564</v>
      </c>
      <c r="DT166" t="s">
        <v>313</v>
      </c>
      <c r="DU166">
        <v>1160</v>
      </c>
      <c r="DV166" t="s">
        <v>547</v>
      </c>
      <c r="DW166" t="s">
        <v>548</v>
      </c>
      <c r="DX166">
        <v>86</v>
      </c>
      <c r="DY166">
        <v>130</v>
      </c>
      <c r="DZ166">
        <v>216</v>
      </c>
      <c r="EA166">
        <v>606779</v>
      </c>
      <c r="EB166">
        <v>388178</v>
      </c>
      <c r="EC166">
        <v>994957</v>
      </c>
      <c r="ED166" t="s">
        <v>274</v>
      </c>
      <c r="EE166" t="s">
        <v>274</v>
      </c>
      <c r="EF166" t="s">
        <v>274</v>
      </c>
      <c r="EG166" t="s">
        <v>274</v>
      </c>
    </row>
    <row r="167" spans="1:137" ht="14.55" customHeight="1" x14ac:dyDescent="0.3">
      <c r="A167" t="s">
        <v>619</v>
      </c>
      <c r="B167">
        <v>5852</v>
      </c>
      <c r="C167" t="s">
        <v>620</v>
      </c>
      <c r="D167" t="s">
        <v>543</v>
      </c>
      <c r="E167" t="s">
        <v>544</v>
      </c>
      <c r="F167" t="s">
        <v>270</v>
      </c>
      <c r="G167" t="s">
        <v>545</v>
      </c>
      <c r="H167" s="3">
        <v>1775422.32635</v>
      </c>
      <c r="I167">
        <v>179</v>
      </c>
      <c r="J167" s="3">
        <v>177.542232635</v>
      </c>
      <c r="K167">
        <v>374</v>
      </c>
      <c r="L167">
        <v>444</v>
      </c>
      <c r="M167">
        <v>406.12282003710601</v>
      </c>
      <c r="N167">
        <v>19.189846830054002</v>
      </c>
      <c r="O167">
        <v>0</v>
      </c>
      <c r="P167">
        <v>22.791824340820298</v>
      </c>
      <c r="Q167">
        <v>4.7255959510803196</v>
      </c>
      <c r="R167">
        <v>3.0603907108306898</v>
      </c>
      <c r="S167" t="s">
        <v>546</v>
      </c>
      <c r="T167" t="s">
        <v>619</v>
      </c>
      <c r="U167" t="s">
        <v>620</v>
      </c>
      <c r="V167" t="s">
        <v>620</v>
      </c>
      <c r="W167" s="3">
        <v>473</v>
      </c>
      <c r="X167" s="3">
        <v>1780000</v>
      </c>
      <c r="Y167">
        <v>3</v>
      </c>
      <c r="Z167" s="3">
        <v>184</v>
      </c>
      <c r="AA167" s="3">
        <v>266</v>
      </c>
      <c r="AB167" s="3">
        <v>338</v>
      </c>
      <c r="AC167" s="3">
        <v>379</v>
      </c>
      <c r="AD167" s="3">
        <v>459</v>
      </c>
      <c r="AE167" s="3">
        <v>484</v>
      </c>
      <c r="AF167" s="3">
        <v>494</v>
      </c>
      <c r="AG167" s="3">
        <v>488</v>
      </c>
      <c r="AH167" s="3">
        <v>481</v>
      </c>
      <c r="AI167" s="3">
        <v>453</v>
      </c>
      <c r="AJ167" s="3">
        <v>475</v>
      </c>
      <c r="AK167" s="3">
        <v>472</v>
      </c>
      <c r="AL167" s="3">
        <v>475</v>
      </c>
      <c r="AM167" s="3">
        <v>487</v>
      </c>
      <c r="AN167" s="3">
        <v>487</v>
      </c>
      <c r="AO167" s="3">
        <v>471</v>
      </c>
      <c r="AP167" s="3">
        <v>473</v>
      </c>
      <c r="AQ167" s="3">
        <v>492</v>
      </c>
      <c r="AR167" s="4">
        <v>265.7303370786517</v>
      </c>
      <c r="AS167" s="5">
        <f t="shared" si="22"/>
        <v>5.570652173913043</v>
      </c>
      <c r="AT167" s="5">
        <f t="shared" si="23"/>
        <v>3.007518796992481</v>
      </c>
      <c r="AU167" s="5">
        <f t="shared" si="24"/>
        <v>4.6153846153846159</v>
      </c>
      <c r="AV167" s="5">
        <f t="shared" si="25"/>
        <v>-0.4251012145748988</v>
      </c>
      <c r="AW167" s="5">
        <f t="shared" si="26"/>
        <v>4.9232736572890028</v>
      </c>
      <c r="AX167" s="5">
        <f t="shared" si="27"/>
        <v>1.9970414201183431</v>
      </c>
      <c r="AY167" s="5">
        <f t="shared" si="28"/>
        <v>4.2450058754406577</v>
      </c>
      <c r="AZ167">
        <f t="shared" si="29"/>
        <v>1780000</v>
      </c>
      <c r="BA167">
        <v>0</v>
      </c>
      <c r="BB167">
        <v>30000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1380000</v>
      </c>
      <c r="BK167">
        <v>360000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10000</v>
      </c>
      <c r="CB167">
        <v>20</v>
      </c>
      <c r="CC167">
        <v>24</v>
      </c>
      <c r="CD167">
        <v>29</v>
      </c>
      <c r="CE167">
        <v>36</v>
      </c>
      <c r="CF167" s="17">
        <v>11.111111111111111</v>
      </c>
      <c r="CG167" s="17">
        <v>13.333333333333334</v>
      </c>
      <c r="CH167" s="17">
        <v>16.111111111111111</v>
      </c>
      <c r="CI167" s="17">
        <v>20</v>
      </c>
      <c r="CJ167" s="18">
        <v>1</v>
      </c>
      <c r="CK167" s="18">
        <v>1.2</v>
      </c>
      <c r="CL167" s="18">
        <v>1.45</v>
      </c>
      <c r="CM167" s="18">
        <v>1.8</v>
      </c>
      <c r="CN167" s="18">
        <v>0</v>
      </c>
      <c r="CO167" s="18">
        <v>2.2222222222222223</v>
      </c>
      <c r="CP167" s="18">
        <v>5</v>
      </c>
      <c r="CQ167" s="18">
        <v>8.8888888888888893</v>
      </c>
      <c r="CR167" s="18">
        <f t="shared" si="30"/>
        <v>2.6467391304347827</v>
      </c>
      <c r="CS167" s="18">
        <f t="shared" si="31"/>
        <v>1.4704106280193237</v>
      </c>
      <c r="CT167">
        <v>0</v>
      </c>
      <c r="CU167">
        <v>97.191011235955088</v>
      </c>
      <c r="CV167">
        <v>1.68539325842697</v>
      </c>
      <c r="CW167">
        <v>0</v>
      </c>
      <c r="CX167">
        <v>1.1235955056179801</v>
      </c>
      <c r="CY167">
        <v>0</v>
      </c>
      <c r="CZ167">
        <v>98.876404494381987</v>
      </c>
      <c r="DA167">
        <v>0</v>
      </c>
      <c r="DB167">
        <v>0</v>
      </c>
      <c r="DC167">
        <v>1.1235955056179801</v>
      </c>
      <c r="DD167">
        <v>3.9325842696629199</v>
      </c>
      <c r="DE167">
        <v>96.067415730337103</v>
      </c>
      <c r="DF167">
        <v>0</v>
      </c>
      <c r="DG167">
        <v>0</v>
      </c>
      <c r="DH167">
        <v>0</v>
      </c>
      <c r="DI167">
        <v>1.68539325842697</v>
      </c>
      <c r="DJ167">
        <v>97.752808988764102</v>
      </c>
      <c r="DK167">
        <v>0</v>
      </c>
      <c r="DL167">
        <v>0</v>
      </c>
      <c r="DM167">
        <v>0.56179775280898903</v>
      </c>
      <c r="DN167">
        <v>1.68539325842697</v>
      </c>
      <c r="DO167">
        <v>97.752808988764102</v>
      </c>
      <c r="DP167">
        <v>0</v>
      </c>
      <c r="DQ167">
        <v>0</v>
      </c>
      <c r="DR167">
        <v>0.56179775280898903</v>
      </c>
      <c r="DS167" t="s">
        <v>312</v>
      </c>
      <c r="DT167" t="s">
        <v>313</v>
      </c>
      <c r="DU167">
        <v>504</v>
      </c>
      <c r="DV167" t="s">
        <v>547</v>
      </c>
      <c r="DW167" t="s">
        <v>548</v>
      </c>
      <c r="DX167">
        <v>86</v>
      </c>
      <c r="DY167">
        <v>130</v>
      </c>
      <c r="DZ167">
        <v>216</v>
      </c>
      <c r="EA167">
        <v>606779</v>
      </c>
      <c r="EB167">
        <v>388178</v>
      </c>
      <c r="EC167">
        <v>994957</v>
      </c>
      <c r="ED167" t="s">
        <v>274</v>
      </c>
      <c r="EE167" t="s">
        <v>274</v>
      </c>
      <c r="EF167" t="s">
        <v>274</v>
      </c>
      <c r="EG167" t="s">
        <v>274</v>
      </c>
    </row>
    <row r="168" spans="1:137" ht="14.55" customHeight="1" x14ac:dyDescent="0.3">
      <c r="A168" t="s">
        <v>621</v>
      </c>
      <c r="B168">
        <v>5853</v>
      </c>
      <c r="C168" t="s">
        <v>622</v>
      </c>
      <c r="D168" t="s">
        <v>543</v>
      </c>
      <c r="E168" t="s">
        <v>544</v>
      </c>
      <c r="F168" t="s">
        <v>270</v>
      </c>
      <c r="G168" t="s">
        <v>545</v>
      </c>
      <c r="H168" s="3">
        <v>3370797.8801500001</v>
      </c>
      <c r="I168">
        <v>340</v>
      </c>
      <c r="J168" s="3">
        <v>337.07978801500002</v>
      </c>
      <c r="K168">
        <v>405</v>
      </c>
      <c r="L168">
        <v>837</v>
      </c>
      <c r="M168">
        <v>543.85153350263704</v>
      </c>
      <c r="N168">
        <v>134.521532901303</v>
      </c>
      <c r="O168">
        <v>0</v>
      </c>
      <c r="P168">
        <v>33.0001831054688</v>
      </c>
      <c r="Q168">
        <v>8.6895847320556605</v>
      </c>
      <c r="R168">
        <v>7.0867514610290501</v>
      </c>
      <c r="S168" t="s">
        <v>546</v>
      </c>
      <c r="T168" t="s">
        <v>621</v>
      </c>
      <c r="U168" t="s">
        <v>622</v>
      </c>
      <c r="V168" t="s">
        <v>622</v>
      </c>
      <c r="W168" s="3">
        <v>783</v>
      </c>
      <c r="X168" s="3">
        <v>3370000</v>
      </c>
      <c r="Y168">
        <v>2</v>
      </c>
      <c r="Z168" s="3">
        <v>350</v>
      </c>
      <c r="AA168" s="3">
        <v>424</v>
      </c>
      <c r="AB168" s="3">
        <v>501</v>
      </c>
      <c r="AC168" s="3">
        <v>676</v>
      </c>
      <c r="AD168" s="3">
        <v>696</v>
      </c>
      <c r="AE168" s="3">
        <v>721</v>
      </c>
      <c r="AF168" s="3">
        <v>727</v>
      </c>
      <c r="AG168" s="3">
        <v>745</v>
      </c>
      <c r="AH168" s="3">
        <v>735</v>
      </c>
      <c r="AI168" s="3">
        <v>748</v>
      </c>
      <c r="AJ168" s="3">
        <v>785</v>
      </c>
      <c r="AK168" s="3">
        <v>768</v>
      </c>
      <c r="AL168" s="3">
        <v>779</v>
      </c>
      <c r="AM168" s="3">
        <v>768</v>
      </c>
      <c r="AN168" s="3">
        <v>738</v>
      </c>
      <c r="AO168" s="3">
        <v>755</v>
      </c>
      <c r="AP168" s="3">
        <v>783</v>
      </c>
      <c r="AQ168" s="3">
        <v>779</v>
      </c>
      <c r="AR168" s="4">
        <v>232.34421364985164</v>
      </c>
      <c r="AS168" s="5">
        <f t="shared" si="22"/>
        <v>2.6428571428571428</v>
      </c>
      <c r="AT168" s="5">
        <f t="shared" si="23"/>
        <v>2.0178197064989516</v>
      </c>
      <c r="AU168" s="5">
        <f t="shared" si="24"/>
        <v>4.5109780439121758</v>
      </c>
      <c r="AV168" s="5">
        <f t="shared" si="25"/>
        <v>0.77028885832187077</v>
      </c>
      <c r="AW168" s="5">
        <f t="shared" si="26"/>
        <v>2.5378151260504205</v>
      </c>
      <c r="AX168" s="5">
        <f t="shared" si="27"/>
        <v>2.8143712574850301</v>
      </c>
      <c r="AY168" s="5">
        <f t="shared" si="28"/>
        <v>3.3436293436293436</v>
      </c>
      <c r="AZ168">
        <f t="shared" si="29"/>
        <v>3400000</v>
      </c>
      <c r="BA168">
        <v>0</v>
      </c>
      <c r="BB168">
        <v>310000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1820000</v>
      </c>
      <c r="BK168">
        <v>230000</v>
      </c>
      <c r="BL168">
        <v>0</v>
      </c>
      <c r="BM168">
        <v>0</v>
      </c>
      <c r="BN168">
        <v>0</v>
      </c>
      <c r="BO168">
        <v>0</v>
      </c>
      <c r="BP168">
        <v>1040000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35</v>
      </c>
      <c r="CC168">
        <v>36</v>
      </c>
      <c r="CD168">
        <v>45</v>
      </c>
      <c r="CE168">
        <v>46</v>
      </c>
      <c r="CF168" s="17">
        <v>10.294117647058822</v>
      </c>
      <c r="CG168" s="17">
        <v>10.588235294117647</v>
      </c>
      <c r="CH168" s="17">
        <v>13.23529411764706</v>
      </c>
      <c r="CI168" s="17">
        <v>13.529411764705882</v>
      </c>
      <c r="CJ168" s="18">
        <v>1</v>
      </c>
      <c r="CK168" s="18">
        <v>1.0285714285714285</v>
      </c>
      <c r="CL168" s="18">
        <v>1.2857142857142858</v>
      </c>
      <c r="CM168" s="18">
        <v>1.3142857142857143</v>
      </c>
      <c r="CN168" s="18">
        <v>0</v>
      </c>
      <c r="CO168" s="18">
        <v>0.29411764705882354</v>
      </c>
      <c r="CP168" s="18">
        <v>2.9411764705882351</v>
      </c>
      <c r="CQ168" s="18">
        <v>3.2352941176470593</v>
      </c>
      <c r="CR168" s="18">
        <f t="shared" si="30"/>
        <v>2.1942857142857144</v>
      </c>
      <c r="CS168" s="18">
        <f t="shared" si="31"/>
        <v>1.6695652173913045</v>
      </c>
      <c r="CT168">
        <v>4.7058823529411802</v>
      </c>
      <c r="CU168">
        <v>64.999999999999972</v>
      </c>
      <c r="CV168">
        <v>30.294117647058801</v>
      </c>
      <c r="CW168">
        <v>0</v>
      </c>
      <c r="CX168">
        <v>0</v>
      </c>
      <c r="CY168">
        <v>9.4117647058823497</v>
      </c>
      <c r="CZ168">
        <v>60.000000000000043</v>
      </c>
      <c r="DA168">
        <v>30.588235294117698</v>
      </c>
      <c r="DB168">
        <v>0</v>
      </c>
      <c r="DC168">
        <v>0</v>
      </c>
      <c r="DD168">
        <v>9.4117647058823497</v>
      </c>
      <c r="DE168">
        <v>60.000000000000043</v>
      </c>
      <c r="DF168">
        <v>30.588235294117698</v>
      </c>
      <c r="DG168">
        <v>0</v>
      </c>
      <c r="DH168">
        <v>0</v>
      </c>
      <c r="DI168">
        <v>9.1176470588235308</v>
      </c>
      <c r="DJ168">
        <v>60.29411764705884</v>
      </c>
      <c r="DK168">
        <v>30.588235294117698</v>
      </c>
      <c r="DL168">
        <v>0</v>
      </c>
      <c r="DM168">
        <v>0</v>
      </c>
      <c r="DN168">
        <v>9.1176470588235308</v>
      </c>
      <c r="DO168">
        <v>60.29411764705884</v>
      </c>
      <c r="DP168">
        <v>30.588235294117698</v>
      </c>
      <c r="DQ168">
        <v>0</v>
      </c>
      <c r="DR168">
        <v>0</v>
      </c>
      <c r="DS168" t="s">
        <v>312</v>
      </c>
      <c r="DT168" t="s">
        <v>313</v>
      </c>
      <c r="DU168">
        <v>766</v>
      </c>
      <c r="DV168" t="s">
        <v>547</v>
      </c>
      <c r="DW168" t="s">
        <v>548</v>
      </c>
      <c r="DX168">
        <v>86</v>
      </c>
      <c r="DY168">
        <v>130</v>
      </c>
      <c r="DZ168">
        <v>216</v>
      </c>
      <c r="EA168">
        <v>606779</v>
      </c>
      <c r="EB168">
        <v>388178</v>
      </c>
      <c r="EC168">
        <v>994957</v>
      </c>
      <c r="ED168" t="s">
        <v>274</v>
      </c>
      <c r="EE168" t="s">
        <v>274</v>
      </c>
      <c r="EF168" t="s">
        <v>274</v>
      </c>
      <c r="EG168" t="s">
        <v>274</v>
      </c>
    </row>
    <row r="169" spans="1:137" ht="14.55" customHeight="1" x14ac:dyDescent="0.3">
      <c r="A169" t="s">
        <v>623</v>
      </c>
      <c r="B169">
        <v>5854</v>
      </c>
      <c r="C169" t="s">
        <v>624</v>
      </c>
      <c r="D169" t="s">
        <v>543</v>
      </c>
      <c r="E169" t="s">
        <v>544</v>
      </c>
      <c r="F169" t="s">
        <v>270</v>
      </c>
      <c r="G169" t="s">
        <v>545</v>
      </c>
      <c r="H169" s="3">
        <v>5682479.8365000002</v>
      </c>
      <c r="I169">
        <v>566</v>
      </c>
      <c r="J169" s="3">
        <v>568.24798365000004</v>
      </c>
      <c r="K169">
        <v>636</v>
      </c>
      <c r="L169">
        <v>902</v>
      </c>
      <c r="M169">
        <v>775.25072446968795</v>
      </c>
      <c r="N169">
        <v>52.849294717373503</v>
      </c>
      <c r="O169">
        <v>0</v>
      </c>
      <c r="P169">
        <v>31.024595260620099</v>
      </c>
      <c r="Q169">
        <v>7.1376910209655797</v>
      </c>
      <c r="R169">
        <v>4.4378948211669904</v>
      </c>
      <c r="S169" t="s">
        <v>546</v>
      </c>
      <c r="T169" t="s">
        <v>623</v>
      </c>
      <c r="U169" t="s">
        <v>624</v>
      </c>
      <c r="V169" t="s">
        <v>624</v>
      </c>
      <c r="W169" s="3">
        <v>387</v>
      </c>
      <c r="X169" s="3">
        <v>5680000</v>
      </c>
      <c r="Y169">
        <v>3</v>
      </c>
      <c r="Z169" s="3">
        <v>292</v>
      </c>
      <c r="AA169" s="3">
        <v>301</v>
      </c>
      <c r="AB169" s="3">
        <v>306</v>
      </c>
      <c r="AC169" s="3">
        <v>306</v>
      </c>
      <c r="AD169" s="3">
        <v>321</v>
      </c>
      <c r="AE169" s="3">
        <v>335</v>
      </c>
      <c r="AF169" s="3">
        <v>326</v>
      </c>
      <c r="AG169" s="3">
        <v>339</v>
      </c>
      <c r="AH169" s="3">
        <v>334</v>
      </c>
      <c r="AI169" s="3">
        <v>354</v>
      </c>
      <c r="AJ169" s="3">
        <v>355</v>
      </c>
      <c r="AK169" s="3">
        <v>371</v>
      </c>
      <c r="AL169" s="3">
        <v>350</v>
      </c>
      <c r="AM169" s="3">
        <v>359</v>
      </c>
      <c r="AN169" s="3">
        <v>359</v>
      </c>
      <c r="AO169" s="3">
        <v>391</v>
      </c>
      <c r="AP169" s="3">
        <v>387</v>
      </c>
      <c r="AQ169" s="3">
        <v>403</v>
      </c>
      <c r="AR169" s="4">
        <v>68.133802816901408</v>
      </c>
      <c r="AS169" s="5">
        <f t="shared" si="22"/>
        <v>0.38527397260273971</v>
      </c>
      <c r="AT169" s="5">
        <f t="shared" si="23"/>
        <v>0.18456995201181248</v>
      </c>
      <c r="AU169" s="5">
        <f t="shared" si="24"/>
        <v>0.65359477124183007</v>
      </c>
      <c r="AV169" s="5">
        <f t="shared" si="25"/>
        <v>1.871165644171779</v>
      </c>
      <c r="AW169" s="5">
        <f t="shared" si="26"/>
        <v>0.28203062046736505</v>
      </c>
      <c r="AX169" s="5">
        <f t="shared" si="27"/>
        <v>1.3235294117647058</v>
      </c>
      <c r="AY169" s="5">
        <f t="shared" si="28"/>
        <v>0.87930396149574241</v>
      </c>
      <c r="AZ169">
        <f t="shared" si="29"/>
        <v>5680000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3750000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240000</v>
      </c>
      <c r="BQ169">
        <v>0</v>
      </c>
      <c r="BR169">
        <v>1690000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26</v>
      </c>
      <c r="CC169">
        <v>31</v>
      </c>
      <c r="CD169">
        <v>34</v>
      </c>
      <c r="CE169">
        <v>36</v>
      </c>
      <c r="CF169" s="17">
        <v>4.5694200351493848</v>
      </c>
      <c r="CG169" s="17">
        <v>5.4481546572934976</v>
      </c>
      <c r="CH169" s="17">
        <v>5.9753954305799644</v>
      </c>
      <c r="CI169" s="17">
        <v>6.3268892794376104</v>
      </c>
      <c r="CJ169" s="18">
        <v>1</v>
      </c>
      <c r="CK169" s="18">
        <v>1.1923076923076923</v>
      </c>
      <c r="CL169" s="18">
        <v>1.3076923076923077</v>
      </c>
      <c r="CM169" s="18">
        <v>1.3846153846153846</v>
      </c>
      <c r="CN169" s="18">
        <v>0</v>
      </c>
      <c r="CO169" s="18">
        <v>0.87873462214411258</v>
      </c>
      <c r="CP169" s="18">
        <v>1.4059753954305798</v>
      </c>
      <c r="CQ169" s="18">
        <v>1.7574692442882252</v>
      </c>
      <c r="CR169" s="18">
        <f t="shared" si="30"/>
        <v>1.2294520547945205</v>
      </c>
      <c r="CS169" s="18">
        <f t="shared" si="31"/>
        <v>0.88793759512937587</v>
      </c>
      <c r="CT169">
        <v>0.88028169014084501</v>
      </c>
      <c r="CU169">
        <v>61.443661971830998</v>
      </c>
      <c r="CV169">
        <v>37.676056338028197</v>
      </c>
      <c r="CW169">
        <v>0</v>
      </c>
      <c r="CX169">
        <v>0</v>
      </c>
      <c r="CY169">
        <v>0</v>
      </c>
      <c r="CZ169">
        <v>66.021126760563405</v>
      </c>
      <c r="DA169">
        <v>33.978873239436602</v>
      </c>
      <c r="DB169">
        <v>0</v>
      </c>
      <c r="DC169">
        <v>0</v>
      </c>
      <c r="DD169">
        <v>0</v>
      </c>
      <c r="DE169">
        <v>66.021126760563405</v>
      </c>
      <c r="DF169">
        <v>33.978873239436602</v>
      </c>
      <c r="DG169">
        <v>0</v>
      </c>
      <c r="DH169">
        <v>0</v>
      </c>
      <c r="DI169">
        <v>0</v>
      </c>
      <c r="DJ169">
        <v>66.021126760563405</v>
      </c>
      <c r="DK169">
        <v>33.978873239436602</v>
      </c>
      <c r="DL169">
        <v>0</v>
      </c>
      <c r="DM169">
        <v>0</v>
      </c>
      <c r="DN169">
        <v>0</v>
      </c>
      <c r="DO169">
        <v>66.021126760563405</v>
      </c>
      <c r="DP169">
        <v>33.978873239436602</v>
      </c>
      <c r="DQ169">
        <v>0</v>
      </c>
      <c r="DR169">
        <v>0</v>
      </c>
      <c r="DS169" t="s">
        <v>312</v>
      </c>
      <c r="DT169" t="s">
        <v>337</v>
      </c>
      <c r="DU169">
        <v>414</v>
      </c>
      <c r="DV169" t="s">
        <v>547</v>
      </c>
      <c r="DW169" t="s">
        <v>548</v>
      </c>
      <c r="DX169">
        <v>86</v>
      </c>
      <c r="DY169">
        <v>130</v>
      </c>
      <c r="DZ169">
        <v>216</v>
      </c>
      <c r="EA169">
        <v>606779</v>
      </c>
      <c r="EB169">
        <v>388178</v>
      </c>
      <c r="EC169">
        <v>994957</v>
      </c>
      <c r="ED169" t="s">
        <v>274</v>
      </c>
      <c r="EE169" t="s">
        <v>274</v>
      </c>
      <c r="EF169" t="s">
        <v>274</v>
      </c>
      <c r="EG169" t="s">
        <v>274</v>
      </c>
    </row>
    <row r="170" spans="1:137" ht="14.55" customHeight="1" x14ac:dyDescent="0.3">
      <c r="A170" t="s">
        <v>625</v>
      </c>
      <c r="B170">
        <v>5855</v>
      </c>
      <c r="C170" t="s">
        <v>626</v>
      </c>
      <c r="D170" t="s">
        <v>543</v>
      </c>
      <c r="E170" t="s">
        <v>544</v>
      </c>
      <c r="F170" t="s">
        <v>270</v>
      </c>
      <c r="G170" t="s">
        <v>545</v>
      </c>
      <c r="H170" s="3">
        <v>1652160.1348999999</v>
      </c>
      <c r="I170">
        <v>163</v>
      </c>
      <c r="J170" s="3">
        <v>165.21601348999999</v>
      </c>
      <c r="K170">
        <v>374</v>
      </c>
      <c r="L170">
        <v>432</v>
      </c>
      <c r="M170">
        <v>403.85211830535599</v>
      </c>
      <c r="N170">
        <v>12.968930525760699</v>
      </c>
      <c r="O170">
        <v>0</v>
      </c>
      <c r="P170">
        <v>17.879035949706999</v>
      </c>
      <c r="Q170">
        <v>4.8017282485961896</v>
      </c>
      <c r="R170">
        <v>2.95080518722534</v>
      </c>
      <c r="S170" t="s">
        <v>546</v>
      </c>
      <c r="T170" t="s">
        <v>625</v>
      </c>
      <c r="U170" t="s">
        <v>626</v>
      </c>
      <c r="V170" t="s">
        <v>626</v>
      </c>
      <c r="W170" s="3">
        <v>639</v>
      </c>
      <c r="X170" s="3">
        <v>1650000</v>
      </c>
      <c r="Y170">
        <v>2</v>
      </c>
      <c r="Z170" s="3">
        <v>263</v>
      </c>
      <c r="AA170" s="3">
        <v>358</v>
      </c>
      <c r="AB170" s="3">
        <v>449</v>
      </c>
      <c r="AC170" s="3">
        <v>513</v>
      </c>
      <c r="AD170" s="3">
        <v>522</v>
      </c>
      <c r="AE170" s="3">
        <v>552</v>
      </c>
      <c r="AF170" s="3">
        <v>581</v>
      </c>
      <c r="AG170" s="3">
        <v>564</v>
      </c>
      <c r="AH170" s="3">
        <v>571</v>
      </c>
      <c r="AI170" s="3">
        <v>562</v>
      </c>
      <c r="AJ170" s="3">
        <v>570</v>
      </c>
      <c r="AK170" s="3">
        <v>617</v>
      </c>
      <c r="AL170" s="3">
        <v>641</v>
      </c>
      <c r="AM170" s="3">
        <v>638</v>
      </c>
      <c r="AN170" s="3">
        <v>639</v>
      </c>
      <c r="AO170" s="3">
        <v>633</v>
      </c>
      <c r="AP170" s="3">
        <v>639</v>
      </c>
      <c r="AQ170" s="3">
        <v>624</v>
      </c>
      <c r="AR170" s="4">
        <v>387.27272727272725</v>
      </c>
      <c r="AS170" s="5">
        <f t="shared" si="22"/>
        <v>4.5152091254752849</v>
      </c>
      <c r="AT170" s="5">
        <f t="shared" si="23"/>
        <v>2.824332712600869</v>
      </c>
      <c r="AU170" s="5">
        <f t="shared" si="24"/>
        <v>2.9398663697104679</v>
      </c>
      <c r="AV170" s="5">
        <f t="shared" si="25"/>
        <v>0.99827882960413072</v>
      </c>
      <c r="AW170" s="5">
        <f t="shared" si="26"/>
        <v>4.1601431447103554</v>
      </c>
      <c r="AX170" s="5">
        <f t="shared" si="27"/>
        <v>2.1158129175946545</v>
      </c>
      <c r="AY170" s="5">
        <f t="shared" si="28"/>
        <v>3.8639399856129892</v>
      </c>
      <c r="AZ170">
        <f t="shared" si="29"/>
        <v>1650000</v>
      </c>
      <c r="BA170">
        <v>0</v>
      </c>
      <c r="BB170">
        <v>430000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780000</v>
      </c>
      <c r="BK170">
        <v>190000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250000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32</v>
      </c>
      <c r="CC170">
        <v>41</v>
      </c>
      <c r="CD170">
        <v>49</v>
      </c>
      <c r="CE170">
        <v>53</v>
      </c>
      <c r="CF170" s="17">
        <v>19.631901840490798</v>
      </c>
      <c r="CG170" s="17">
        <v>25.153374233128833</v>
      </c>
      <c r="CH170" s="17">
        <v>30.061349693251532</v>
      </c>
      <c r="CI170" s="17">
        <v>32.515337423312886</v>
      </c>
      <c r="CJ170" s="18">
        <v>1</v>
      </c>
      <c r="CK170" s="18">
        <v>1.28125</v>
      </c>
      <c r="CL170" s="18">
        <v>1.53125</v>
      </c>
      <c r="CM170" s="18">
        <v>1.65625</v>
      </c>
      <c r="CN170" s="18">
        <v>0</v>
      </c>
      <c r="CO170" s="18">
        <v>5.5214723926380369</v>
      </c>
      <c r="CP170" s="18">
        <v>10.429447852760736</v>
      </c>
      <c r="CQ170" s="18">
        <v>12.883435582822086</v>
      </c>
      <c r="CR170" s="18">
        <f t="shared" si="30"/>
        <v>2.4258555133079849</v>
      </c>
      <c r="CS170" s="18">
        <f t="shared" si="31"/>
        <v>1.4646674797331229</v>
      </c>
      <c r="CT170">
        <v>0</v>
      </c>
      <c r="CU170">
        <v>76.969696969696997</v>
      </c>
      <c r="CV170">
        <v>23.030303030302999</v>
      </c>
      <c r="CW170">
        <v>0</v>
      </c>
      <c r="CX170">
        <v>0</v>
      </c>
      <c r="CY170">
        <v>0</v>
      </c>
      <c r="CZ170">
        <v>76.969696969696997</v>
      </c>
      <c r="DA170">
        <v>23.030303030302999</v>
      </c>
      <c r="DB170">
        <v>0</v>
      </c>
      <c r="DC170">
        <v>0</v>
      </c>
      <c r="DD170">
        <v>24.2424242424242</v>
      </c>
      <c r="DE170">
        <v>60.606060606060602</v>
      </c>
      <c r="DF170">
        <v>15.1515151515152</v>
      </c>
      <c r="DG170">
        <v>0</v>
      </c>
      <c r="DH170">
        <v>0</v>
      </c>
      <c r="DI170">
        <v>26.060606060606101</v>
      </c>
      <c r="DJ170">
        <v>58.787878787878803</v>
      </c>
      <c r="DK170">
        <v>15.1515151515152</v>
      </c>
      <c r="DL170">
        <v>0</v>
      </c>
      <c r="DM170">
        <v>0</v>
      </c>
      <c r="DN170">
        <v>26.060606060606101</v>
      </c>
      <c r="DO170">
        <v>58.787878787878803</v>
      </c>
      <c r="DP170">
        <v>15.1515151515152</v>
      </c>
      <c r="DQ170">
        <v>0</v>
      </c>
      <c r="DR170">
        <v>0</v>
      </c>
      <c r="DS170" t="s">
        <v>312</v>
      </c>
      <c r="DT170" t="s">
        <v>313</v>
      </c>
      <c r="DU170">
        <v>626</v>
      </c>
      <c r="DV170" t="s">
        <v>547</v>
      </c>
      <c r="DW170" t="s">
        <v>548</v>
      </c>
      <c r="DX170">
        <v>86</v>
      </c>
      <c r="DY170">
        <v>130</v>
      </c>
      <c r="DZ170">
        <v>216</v>
      </c>
      <c r="EA170">
        <v>606779</v>
      </c>
      <c r="EB170">
        <v>388178</v>
      </c>
      <c r="EC170">
        <v>994957</v>
      </c>
      <c r="ED170" t="s">
        <v>274</v>
      </c>
      <c r="EE170" t="s">
        <v>274</v>
      </c>
      <c r="EF170" t="s">
        <v>274</v>
      </c>
      <c r="EG170" t="s">
        <v>274</v>
      </c>
    </row>
    <row r="171" spans="1:137" ht="14.55" customHeight="1" x14ac:dyDescent="0.3">
      <c r="A171" t="s">
        <v>627</v>
      </c>
      <c r="B171">
        <v>5856</v>
      </c>
      <c r="C171" t="s">
        <v>628</v>
      </c>
      <c r="D171" t="s">
        <v>543</v>
      </c>
      <c r="E171" t="s">
        <v>544</v>
      </c>
      <c r="F171" t="s">
        <v>270</v>
      </c>
      <c r="G171" t="s">
        <v>545</v>
      </c>
      <c r="H171" s="3">
        <v>6949341.4323000005</v>
      </c>
      <c r="I171">
        <v>695</v>
      </c>
      <c r="J171" s="3">
        <v>694.93414323000002</v>
      </c>
      <c r="K171">
        <v>427</v>
      </c>
      <c r="L171">
        <v>908</v>
      </c>
      <c r="M171">
        <v>727.82886128757002</v>
      </c>
      <c r="N171">
        <v>101.148034195997</v>
      </c>
      <c r="O171">
        <v>0</v>
      </c>
      <c r="P171">
        <v>34.618679046630902</v>
      </c>
      <c r="Q171">
        <v>7.0076413154602104</v>
      </c>
      <c r="R171">
        <v>5.0124635696411097</v>
      </c>
      <c r="S171" t="s">
        <v>546</v>
      </c>
      <c r="T171" t="s">
        <v>627</v>
      </c>
      <c r="U171" t="s">
        <v>628</v>
      </c>
      <c r="V171" t="s">
        <v>628</v>
      </c>
      <c r="W171" s="3">
        <v>725</v>
      </c>
      <c r="X171" s="3">
        <v>6950000</v>
      </c>
      <c r="Y171">
        <v>3</v>
      </c>
      <c r="Z171" s="3">
        <v>300</v>
      </c>
      <c r="AA171" s="3">
        <v>415</v>
      </c>
      <c r="AB171" s="3">
        <v>488</v>
      </c>
      <c r="AC171" s="3">
        <v>623</v>
      </c>
      <c r="AD171" s="3">
        <v>662</v>
      </c>
      <c r="AE171" s="3">
        <v>647</v>
      </c>
      <c r="AF171" s="3">
        <v>664</v>
      </c>
      <c r="AG171" s="3">
        <v>667</v>
      </c>
      <c r="AH171" s="3">
        <v>658</v>
      </c>
      <c r="AI171" s="3">
        <v>663</v>
      </c>
      <c r="AJ171" s="3">
        <v>682</v>
      </c>
      <c r="AK171" s="3">
        <v>699</v>
      </c>
      <c r="AL171" s="3">
        <v>696</v>
      </c>
      <c r="AM171" s="3">
        <v>695</v>
      </c>
      <c r="AN171" s="3">
        <v>691</v>
      </c>
      <c r="AO171" s="3">
        <v>721</v>
      </c>
      <c r="AP171" s="3">
        <v>725</v>
      </c>
      <c r="AQ171" s="3">
        <v>741</v>
      </c>
      <c r="AR171" s="4">
        <v>104.31654676258992</v>
      </c>
      <c r="AS171" s="5">
        <f t="shared" si="22"/>
        <v>4.791666666666667</v>
      </c>
      <c r="AT171" s="5">
        <f t="shared" si="23"/>
        <v>1.9544846050870146</v>
      </c>
      <c r="AU171" s="5">
        <f t="shared" si="24"/>
        <v>3.6065573770491808</v>
      </c>
      <c r="AV171" s="5">
        <f t="shared" si="25"/>
        <v>0.91867469879518082</v>
      </c>
      <c r="AW171" s="5">
        <f t="shared" si="26"/>
        <v>3.6862745098039218</v>
      </c>
      <c r="AX171" s="5">
        <f t="shared" si="27"/>
        <v>2.4282786885245899</v>
      </c>
      <c r="AY171" s="5">
        <f t="shared" si="28"/>
        <v>3.8288288288288292</v>
      </c>
      <c r="AZ171">
        <f t="shared" si="29"/>
        <v>6970000</v>
      </c>
      <c r="BA171">
        <v>0</v>
      </c>
      <c r="BB171">
        <v>110000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40000</v>
      </c>
      <c r="BJ171">
        <v>4090000</v>
      </c>
      <c r="BK171">
        <v>770000</v>
      </c>
      <c r="BL171">
        <v>0</v>
      </c>
      <c r="BM171">
        <v>0</v>
      </c>
      <c r="BN171">
        <v>0</v>
      </c>
      <c r="BO171">
        <v>470000</v>
      </c>
      <c r="BP171">
        <v>480000</v>
      </c>
      <c r="BQ171">
        <v>0</v>
      </c>
      <c r="BR171">
        <v>1010000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30</v>
      </c>
      <c r="CC171">
        <v>41</v>
      </c>
      <c r="CD171">
        <v>51</v>
      </c>
      <c r="CE171">
        <v>59</v>
      </c>
      <c r="CF171" s="17">
        <v>4.2796005706134093</v>
      </c>
      <c r="CG171" s="17">
        <v>5.8487874465049927</v>
      </c>
      <c r="CH171" s="17">
        <v>7.2753209700427961</v>
      </c>
      <c r="CI171" s="17">
        <v>8.4165477888730376</v>
      </c>
      <c r="CJ171" s="18">
        <v>1</v>
      </c>
      <c r="CK171" s="18">
        <v>1.3666666666666667</v>
      </c>
      <c r="CL171" s="18">
        <v>1.7</v>
      </c>
      <c r="CM171" s="18">
        <v>1.9666666666666666</v>
      </c>
      <c r="CN171" s="18">
        <v>0</v>
      </c>
      <c r="CO171" s="18">
        <v>1.5691868758915835</v>
      </c>
      <c r="CP171" s="18">
        <v>2.9957203994293864</v>
      </c>
      <c r="CQ171" s="18">
        <v>4.1369472182596292</v>
      </c>
      <c r="CR171" s="18">
        <f t="shared" si="30"/>
        <v>2.3166666666666669</v>
      </c>
      <c r="CS171" s="18">
        <f t="shared" si="31"/>
        <v>1.1779661016949154</v>
      </c>
      <c r="CT171">
        <v>1.8651362984218101</v>
      </c>
      <c r="CU171">
        <v>75.753228120516539</v>
      </c>
      <c r="CV171">
        <v>22.381635581061701</v>
      </c>
      <c r="CW171">
        <v>0</v>
      </c>
      <c r="CX171">
        <v>0</v>
      </c>
      <c r="CY171">
        <v>0.71736011477761896</v>
      </c>
      <c r="CZ171">
        <v>80.774748923959791</v>
      </c>
      <c r="DA171">
        <v>18.5078909612626</v>
      </c>
      <c r="DB171">
        <v>0</v>
      </c>
      <c r="DC171">
        <v>0</v>
      </c>
      <c r="DD171">
        <v>0.71736011477761896</v>
      </c>
      <c r="DE171">
        <v>80.774748923959791</v>
      </c>
      <c r="DF171">
        <v>18.5078909612626</v>
      </c>
      <c r="DG171">
        <v>0</v>
      </c>
      <c r="DH171">
        <v>0</v>
      </c>
      <c r="DI171">
        <v>2.1520803443328549</v>
      </c>
      <c r="DJ171">
        <v>76.470588235294102</v>
      </c>
      <c r="DK171">
        <v>21.377331420373</v>
      </c>
      <c r="DL171">
        <v>0</v>
      </c>
      <c r="DM171">
        <v>0</v>
      </c>
      <c r="DN171">
        <v>2.1520803443328549</v>
      </c>
      <c r="DO171">
        <v>76.470588235294102</v>
      </c>
      <c r="DP171">
        <v>21.377331420373</v>
      </c>
      <c r="DQ171">
        <v>0</v>
      </c>
      <c r="DR171">
        <v>0</v>
      </c>
      <c r="DS171" t="s">
        <v>355</v>
      </c>
      <c r="DT171">
        <v>0</v>
      </c>
      <c r="DU171">
        <v>743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 t="s">
        <v>274</v>
      </c>
      <c r="EE171" t="s">
        <v>274</v>
      </c>
      <c r="EF171" t="s">
        <v>274</v>
      </c>
      <c r="EG171" t="s">
        <v>274</v>
      </c>
    </row>
    <row r="172" spans="1:137" ht="14.55" customHeight="1" x14ac:dyDescent="0.3">
      <c r="A172" t="s">
        <v>629</v>
      </c>
      <c r="B172">
        <v>5857</v>
      </c>
      <c r="C172" t="s">
        <v>630</v>
      </c>
      <c r="D172" t="s">
        <v>543</v>
      </c>
      <c r="E172" t="s">
        <v>544</v>
      </c>
      <c r="F172" t="s">
        <v>270</v>
      </c>
      <c r="G172" t="s">
        <v>545</v>
      </c>
      <c r="H172" s="3">
        <v>7759159.1070999997</v>
      </c>
      <c r="I172">
        <v>777</v>
      </c>
      <c r="J172" s="3">
        <v>775.91591070999993</v>
      </c>
      <c r="K172">
        <v>385</v>
      </c>
      <c r="L172">
        <v>904</v>
      </c>
      <c r="M172">
        <v>577.94870923913004</v>
      </c>
      <c r="N172">
        <v>147.14456559613501</v>
      </c>
      <c r="O172">
        <v>0</v>
      </c>
      <c r="P172">
        <v>40.005050659179702</v>
      </c>
      <c r="Q172">
        <v>9.0265626907348597</v>
      </c>
      <c r="R172">
        <v>7.0729432106018102</v>
      </c>
      <c r="S172" t="s">
        <v>546</v>
      </c>
      <c r="T172" t="s">
        <v>629</v>
      </c>
      <c r="U172" t="s">
        <v>630</v>
      </c>
      <c r="V172" t="s">
        <v>630</v>
      </c>
      <c r="W172" s="3">
        <v>1369</v>
      </c>
      <c r="X172" s="3">
        <v>7760000</v>
      </c>
      <c r="Y172">
        <v>2</v>
      </c>
      <c r="Z172" s="3">
        <v>570</v>
      </c>
      <c r="AA172" s="3">
        <v>762</v>
      </c>
      <c r="AB172" s="3">
        <v>731</v>
      </c>
      <c r="AC172" s="3">
        <v>868</v>
      </c>
      <c r="AD172" s="3">
        <v>915</v>
      </c>
      <c r="AE172" s="3">
        <v>926</v>
      </c>
      <c r="AF172" s="3">
        <v>939</v>
      </c>
      <c r="AG172" s="3">
        <v>938</v>
      </c>
      <c r="AH172" s="3">
        <v>964</v>
      </c>
      <c r="AI172" s="3">
        <v>996</v>
      </c>
      <c r="AJ172" s="3">
        <v>1052</v>
      </c>
      <c r="AK172" s="3">
        <v>1082</v>
      </c>
      <c r="AL172" s="3">
        <v>1134</v>
      </c>
      <c r="AM172" s="3">
        <v>1235</v>
      </c>
      <c r="AN172" s="3">
        <v>1309</v>
      </c>
      <c r="AO172" s="3">
        <v>1322</v>
      </c>
      <c r="AP172" s="3">
        <v>1369</v>
      </c>
      <c r="AQ172" s="3">
        <v>1428</v>
      </c>
      <c r="AR172" s="4">
        <v>176.41752577319588</v>
      </c>
      <c r="AS172" s="5">
        <f t="shared" si="22"/>
        <v>4.2105263157894735</v>
      </c>
      <c r="AT172" s="5">
        <f t="shared" si="23"/>
        <v>-0.45202682997958593</v>
      </c>
      <c r="AU172" s="5">
        <f t="shared" si="24"/>
        <v>2.8454172366621067</v>
      </c>
      <c r="AV172" s="5">
        <f t="shared" si="25"/>
        <v>4.5793397231096913</v>
      </c>
      <c r="AW172" s="5">
        <f t="shared" si="26"/>
        <v>1.6615067079463364</v>
      </c>
      <c r="AX172" s="5">
        <f t="shared" si="27"/>
        <v>4.3638850889192886</v>
      </c>
      <c r="AY172" s="5">
        <f t="shared" si="28"/>
        <v>3.7885253674727357</v>
      </c>
      <c r="AZ172">
        <f t="shared" si="29"/>
        <v>7770000</v>
      </c>
      <c r="BA172">
        <v>0</v>
      </c>
      <c r="BB172">
        <v>280000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2620000</v>
      </c>
      <c r="BK172">
        <v>1970000</v>
      </c>
      <c r="BL172">
        <v>0</v>
      </c>
      <c r="BM172">
        <v>0</v>
      </c>
      <c r="BN172">
        <v>0</v>
      </c>
      <c r="BO172">
        <v>0</v>
      </c>
      <c r="BP172">
        <v>2730000</v>
      </c>
      <c r="BQ172">
        <v>0</v>
      </c>
      <c r="BR172">
        <v>170000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70</v>
      </c>
      <c r="CC172">
        <v>71</v>
      </c>
      <c r="CD172">
        <v>76</v>
      </c>
      <c r="CE172">
        <v>83</v>
      </c>
      <c r="CF172" s="17">
        <v>9.043927648578812</v>
      </c>
      <c r="CG172" s="17">
        <v>9.1731266149870798</v>
      </c>
      <c r="CH172" s="17">
        <v>9.819121447028424</v>
      </c>
      <c r="CI172" s="17">
        <v>10.723514211886306</v>
      </c>
      <c r="CJ172" s="18">
        <v>1</v>
      </c>
      <c r="CK172" s="18">
        <v>1.0142857142857142</v>
      </c>
      <c r="CL172" s="18">
        <v>1.0857142857142856</v>
      </c>
      <c r="CM172" s="18">
        <v>1.1857142857142857</v>
      </c>
      <c r="CN172" s="18">
        <v>0</v>
      </c>
      <c r="CO172" s="18">
        <v>0.12919896640826875</v>
      </c>
      <c r="CP172" s="18">
        <v>0.77519379844961245</v>
      </c>
      <c r="CQ172" s="18">
        <v>1.6795865633074936</v>
      </c>
      <c r="CR172" s="18">
        <f t="shared" si="30"/>
        <v>2.1666666666666665</v>
      </c>
      <c r="CS172" s="18">
        <f t="shared" si="31"/>
        <v>1.827309236947791</v>
      </c>
      <c r="CT172">
        <v>3.34620334620335</v>
      </c>
      <c r="CU172">
        <v>55.727155727155676</v>
      </c>
      <c r="CV172">
        <v>40.9266409266409</v>
      </c>
      <c r="CW172">
        <v>0</v>
      </c>
      <c r="CX172">
        <v>0</v>
      </c>
      <c r="CY172">
        <v>3.34620334620335</v>
      </c>
      <c r="CZ172">
        <v>59.3307593307593</v>
      </c>
      <c r="DA172">
        <v>37.323037323037298</v>
      </c>
      <c r="DB172">
        <v>0</v>
      </c>
      <c r="DC172">
        <v>0</v>
      </c>
      <c r="DD172">
        <v>3.34620334620335</v>
      </c>
      <c r="DE172">
        <v>59.3307593307593</v>
      </c>
      <c r="DF172">
        <v>37.323037323037298</v>
      </c>
      <c r="DG172">
        <v>0</v>
      </c>
      <c r="DH172">
        <v>0</v>
      </c>
      <c r="DI172">
        <v>3.6036036036036001</v>
      </c>
      <c r="DJ172">
        <v>59.0733590733591</v>
      </c>
      <c r="DK172">
        <v>37.323037323037298</v>
      </c>
      <c r="DL172">
        <v>0</v>
      </c>
      <c r="DM172">
        <v>0</v>
      </c>
      <c r="DN172">
        <v>3.6036036036036001</v>
      </c>
      <c r="DO172">
        <v>59.0733590733591</v>
      </c>
      <c r="DP172">
        <v>37.323037323037298</v>
      </c>
      <c r="DQ172">
        <v>0</v>
      </c>
      <c r="DR172">
        <v>0</v>
      </c>
      <c r="DS172" t="s">
        <v>312</v>
      </c>
      <c r="DT172" t="s">
        <v>313</v>
      </c>
      <c r="DU172">
        <v>1446</v>
      </c>
      <c r="DV172" t="s">
        <v>547</v>
      </c>
      <c r="DW172" t="s">
        <v>548</v>
      </c>
      <c r="DX172">
        <v>86</v>
      </c>
      <c r="DY172">
        <v>130</v>
      </c>
      <c r="DZ172">
        <v>216</v>
      </c>
      <c r="EA172">
        <v>606779</v>
      </c>
      <c r="EB172">
        <v>388178</v>
      </c>
      <c r="EC172">
        <v>994957</v>
      </c>
      <c r="ED172" t="s">
        <v>274</v>
      </c>
      <c r="EE172" t="s">
        <v>274</v>
      </c>
      <c r="EF172" t="s">
        <v>274</v>
      </c>
      <c r="EG172" t="s">
        <v>274</v>
      </c>
    </row>
    <row r="173" spans="1:137" ht="14.55" customHeight="1" x14ac:dyDescent="0.3">
      <c r="A173" t="s">
        <v>631</v>
      </c>
      <c r="B173">
        <v>5858</v>
      </c>
      <c r="C173" t="s">
        <v>632</v>
      </c>
      <c r="D173" t="s">
        <v>543</v>
      </c>
      <c r="E173" t="s">
        <v>544</v>
      </c>
      <c r="F173" t="s">
        <v>270</v>
      </c>
      <c r="G173" t="s">
        <v>545</v>
      </c>
      <c r="H173" s="3">
        <v>2666226.4092000001</v>
      </c>
      <c r="I173">
        <v>266</v>
      </c>
      <c r="J173" s="3">
        <v>266.62264092000004</v>
      </c>
      <c r="K173">
        <v>392</v>
      </c>
      <c r="L173">
        <v>726</v>
      </c>
      <c r="M173">
        <v>475.13560999752502</v>
      </c>
      <c r="N173">
        <v>89.709682825797103</v>
      </c>
      <c r="O173">
        <v>0</v>
      </c>
      <c r="P173">
        <v>29.370510101318398</v>
      </c>
      <c r="Q173">
        <v>6.4508261680603001</v>
      </c>
      <c r="R173">
        <v>5.5367174148559597</v>
      </c>
      <c r="S173" t="s">
        <v>546</v>
      </c>
      <c r="T173" t="s">
        <v>631</v>
      </c>
      <c r="U173" t="s">
        <v>632</v>
      </c>
      <c r="V173" t="s">
        <v>632</v>
      </c>
      <c r="W173" s="3">
        <v>622</v>
      </c>
      <c r="X173" s="3">
        <v>2670000</v>
      </c>
      <c r="Y173">
        <v>3</v>
      </c>
      <c r="Z173" s="3">
        <v>209</v>
      </c>
      <c r="AA173" s="3">
        <v>313</v>
      </c>
      <c r="AB173" s="3">
        <v>352</v>
      </c>
      <c r="AC173" s="3">
        <v>501</v>
      </c>
      <c r="AD173" s="3">
        <v>519</v>
      </c>
      <c r="AE173" s="3">
        <v>498</v>
      </c>
      <c r="AF173" s="3">
        <v>526</v>
      </c>
      <c r="AG173" s="3">
        <v>533</v>
      </c>
      <c r="AH173" s="3">
        <v>560</v>
      </c>
      <c r="AI173" s="3">
        <v>596</v>
      </c>
      <c r="AJ173" s="3">
        <v>598</v>
      </c>
      <c r="AK173" s="3">
        <v>611</v>
      </c>
      <c r="AL173" s="3">
        <v>632</v>
      </c>
      <c r="AM173" s="3">
        <v>624</v>
      </c>
      <c r="AN173" s="3">
        <v>605</v>
      </c>
      <c r="AO173" s="3">
        <v>611</v>
      </c>
      <c r="AP173" s="3">
        <v>622</v>
      </c>
      <c r="AQ173" s="3">
        <v>619</v>
      </c>
      <c r="AR173" s="4">
        <v>232.95880149812734</v>
      </c>
      <c r="AS173" s="5">
        <f t="shared" si="22"/>
        <v>6.2200956937799043</v>
      </c>
      <c r="AT173" s="5">
        <f t="shared" si="23"/>
        <v>1.3844515441959531</v>
      </c>
      <c r="AU173" s="5">
        <f t="shared" si="24"/>
        <v>4.9431818181818183</v>
      </c>
      <c r="AV173" s="5">
        <f t="shared" si="25"/>
        <v>1.8250950570342206</v>
      </c>
      <c r="AW173" s="5">
        <f t="shared" si="26"/>
        <v>4.0247678018575854</v>
      </c>
      <c r="AX173" s="5">
        <f t="shared" si="27"/>
        <v>3.8352272727272729</v>
      </c>
      <c r="AY173" s="5">
        <f t="shared" si="28"/>
        <v>5.3407474460106039</v>
      </c>
      <c r="AZ173">
        <f t="shared" si="29"/>
        <v>2630000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1490000</v>
      </c>
      <c r="BK173">
        <v>630000</v>
      </c>
      <c r="BL173">
        <v>240000</v>
      </c>
      <c r="BM173">
        <v>0</v>
      </c>
      <c r="BN173">
        <v>0</v>
      </c>
      <c r="BO173">
        <v>0</v>
      </c>
      <c r="BP173">
        <v>160000</v>
      </c>
      <c r="BQ173">
        <v>0</v>
      </c>
      <c r="BR173">
        <v>110000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27</v>
      </c>
      <c r="CC173">
        <v>33</v>
      </c>
      <c r="CD173">
        <v>37</v>
      </c>
      <c r="CE173">
        <v>38</v>
      </c>
      <c r="CF173" s="17">
        <v>10.227272727272728</v>
      </c>
      <c r="CG173" s="17">
        <v>12.5</v>
      </c>
      <c r="CH173" s="17">
        <v>14.015151515151514</v>
      </c>
      <c r="CI173" s="17">
        <v>14.393939393939394</v>
      </c>
      <c r="CJ173" s="18">
        <v>1</v>
      </c>
      <c r="CK173" s="18">
        <v>1.2222222222222223</v>
      </c>
      <c r="CL173" s="18">
        <v>1.3703703703703705</v>
      </c>
      <c r="CM173" s="18">
        <v>1.4074074074074074</v>
      </c>
      <c r="CN173" s="18">
        <v>0</v>
      </c>
      <c r="CO173" s="18">
        <v>2.2727272727272729</v>
      </c>
      <c r="CP173" s="18">
        <v>3.7878787878787881</v>
      </c>
      <c r="CQ173" s="18">
        <v>4.1666666666666661</v>
      </c>
      <c r="CR173" s="18">
        <f t="shared" si="30"/>
        <v>2.9856459330143541</v>
      </c>
      <c r="CS173" s="18">
        <f t="shared" si="31"/>
        <v>2.1213800050365146</v>
      </c>
      <c r="CT173">
        <v>1.5209125475285199</v>
      </c>
      <c r="CU173">
        <v>88.593155893536192</v>
      </c>
      <c r="CV173">
        <v>9.8859315589353596</v>
      </c>
      <c r="CW173">
        <v>0</v>
      </c>
      <c r="CX173">
        <v>0</v>
      </c>
      <c r="CY173">
        <v>0</v>
      </c>
      <c r="CZ173">
        <v>87.452471482889806</v>
      </c>
      <c r="DA173">
        <v>12.547528517110299</v>
      </c>
      <c r="DB173">
        <v>0</v>
      </c>
      <c r="DC173">
        <v>0</v>
      </c>
      <c r="DD173">
        <v>0</v>
      </c>
      <c r="DE173">
        <v>88.973384030418302</v>
      </c>
      <c r="DF173">
        <v>11.026615969581799</v>
      </c>
      <c r="DG173">
        <v>0</v>
      </c>
      <c r="DH173">
        <v>0</v>
      </c>
      <c r="DI173">
        <v>0</v>
      </c>
      <c r="DJ173">
        <v>89.733840304182507</v>
      </c>
      <c r="DK173">
        <v>10.2661596958175</v>
      </c>
      <c r="DL173">
        <v>0</v>
      </c>
      <c r="DM173">
        <v>0</v>
      </c>
      <c r="DN173">
        <v>0</v>
      </c>
      <c r="DO173">
        <v>89.733840304182507</v>
      </c>
      <c r="DP173">
        <v>10.2661596958175</v>
      </c>
      <c r="DQ173">
        <v>0</v>
      </c>
      <c r="DR173">
        <v>0</v>
      </c>
      <c r="DS173" t="s">
        <v>312</v>
      </c>
      <c r="DT173" t="s">
        <v>313</v>
      </c>
      <c r="DU173">
        <v>614</v>
      </c>
      <c r="DV173" t="s">
        <v>547</v>
      </c>
      <c r="DW173" t="s">
        <v>548</v>
      </c>
      <c r="DX173">
        <v>86</v>
      </c>
      <c r="DY173">
        <v>130</v>
      </c>
      <c r="DZ173">
        <v>216</v>
      </c>
      <c r="EA173">
        <v>606779</v>
      </c>
      <c r="EB173">
        <v>388178</v>
      </c>
      <c r="EC173">
        <v>994957</v>
      </c>
      <c r="ED173" t="s">
        <v>274</v>
      </c>
      <c r="EE173" t="s">
        <v>274</v>
      </c>
      <c r="EF173" t="s">
        <v>274</v>
      </c>
      <c r="EG173" t="s">
        <v>274</v>
      </c>
    </row>
    <row r="174" spans="1:137" ht="14.55" customHeight="1" x14ac:dyDescent="0.3">
      <c r="A174" t="s">
        <v>633</v>
      </c>
      <c r="B174">
        <v>5859</v>
      </c>
      <c r="C174" t="s">
        <v>634</v>
      </c>
      <c r="D174" t="s">
        <v>543</v>
      </c>
      <c r="E174" t="s">
        <v>544</v>
      </c>
      <c r="F174" t="s">
        <v>270</v>
      </c>
      <c r="G174" t="s">
        <v>545</v>
      </c>
      <c r="H174" s="3">
        <v>3860287.4468999999</v>
      </c>
      <c r="I174">
        <v>382</v>
      </c>
      <c r="J174" s="3">
        <v>386.02874469</v>
      </c>
      <c r="K174">
        <v>377</v>
      </c>
      <c r="L174">
        <v>770</v>
      </c>
      <c r="M174">
        <v>569.42632747140203</v>
      </c>
      <c r="N174">
        <v>121.578666352509</v>
      </c>
      <c r="O174">
        <v>0</v>
      </c>
      <c r="P174">
        <v>37.782096862792997</v>
      </c>
      <c r="Q174">
        <v>9.2490386962890607</v>
      </c>
      <c r="R174">
        <v>6.20867919921875</v>
      </c>
      <c r="S174" t="s">
        <v>546</v>
      </c>
      <c r="T174" t="s">
        <v>633</v>
      </c>
      <c r="U174" t="s">
        <v>634</v>
      </c>
      <c r="V174" t="s">
        <v>634</v>
      </c>
      <c r="W174" s="3">
        <v>2686</v>
      </c>
      <c r="X174" s="3">
        <v>3860000</v>
      </c>
      <c r="Y174">
        <v>2</v>
      </c>
      <c r="Z174" s="3">
        <v>1191</v>
      </c>
      <c r="AA174" s="3">
        <v>1458</v>
      </c>
      <c r="AB174" s="3">
        <v>1711</v>
      </c>
      <c r="AC174" s="3">
        <v>2130</v>
      </c>
      <c r="AD174" s="3">
        <v>2219</v>
      </c>
      <c r="AE174" s="3">
        <v>2306</v>
      </c>
      <c r="AF174" s="3">
        <v>2370</v>
      </c>
      <c r="AG174" s="3">
        <v>2457</v>
      </c>
      <c r="AH174" s="3">
        <v>2561</v>
      </c>
      <c r="AI174" s="3">
        <v>2547</v>
      </c>
      <c r="AJ174" s="3">
        <v>2581</v>
      </c>
      <c r="AK174" s="3">
        <v>2629</v>
      </c>
      <c r="AL174" s="3">
        <v>2618</v>
      </c>
      <c r="AM174" s="3">
        <v>2693</v>
      </c>
      <c r="AN174" s="3">
        <v>2708</v>
      </c>
      <c r="AO174" s="3">
        <v>2654</v>
      </c>
      <c r="AP174" s="3">
        <v>2686</v>
      </c>
      <c r="AQ174" s="3">
        <v>2658</v>
      </c>
      <c r="AR174" s="4">
        <v>695.85492227979273</v>
      </c>
      <c r="AS174" s="5">
        <f t="shared" si="22"/>
        <v>2.8022670025188918</v>
      </c>
      <c r="AT174" s="5">
        <f t="shared" si="23"/>
        <v>1.928059746989788</v>
      </c>
      <c r="AU174" s="5">
        <f t="shared" si="24"/>
        <v>3.8515488018702513</v>
      </c>
      <c r="AV174" s="5">
        <f t="shared" si="25"/>
        <v>1.3333333333333333</v>
      </c>
      <c r="AW174" s="5">
        <f t="shared" si="26"/>
        <v>2.5682817207487529</v>
      </c>
      <c r="AX174" s="5">
        <f t="shared" si="27"/>
        <v>2.849210987726476</v>
      </c>
      <c r="AY174" s="5">
        <f t="shared" si="28"/>
        <v>3.3925613270701427</v>
      </c>
      <c r="AZ174">
        <f t="shared" si="29"/>
        <v>3810000</v>
      </c>
      <c r="BA174">
        <v>0</v>
      </c>
      <c r="BB174">
        <v>750000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260000</v>
      </c>
      <c r="BJ174">
        <v>720000</v>
      </c>
      <c r="BK174">
        <v>1520000</v>
      </c>
      <c r="BL174">
        <v>0</v>
      </c>
      <c r="BM174">
        <v>0</v>
      </c>
      <c r="BN174">
        <v>0</v>
      </c>
      <c r="BO174">
        <v>100000</v>
      </c>
      <c r="BP174">
        <v>460000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59</v>
      </c>
      <c r="CC174">
        <v>67</v>
      </c>
      <c r="CD174">
        <v>104</v>
      </c>
      <c r="CE174">
        <v>112</v>
      </c>
      <c r="CF174" s="17">
        <v>15.324675324675324</v>
      </c>
      <c r="CG174" s="17">
        <v>17.402597402597404</v>
      </c>
      <c r="CH174" s="17">
        <v>27.012987012987011</v>
      </c>
      <c r="CI174" s="17">
        <v>29.09090909090909</v>
      </c>
      <c r="CJ174" s="18">
        <v>1</v>
      </c>
      <c r="CK174" s="18">
        <v>1.1355932203389831</v>
      </c>
      <c r="CL174" s="18">
        <v>1.7627118644067796</v>
      </c>
      <c r="CM174" s="18">
        <v>1.8983050847457628</v>
      </c>
      <c r="CN174" s="18">
        <v>0</v>
      </c>
      <c r="CO174" s="18">
        <v>2.0779220779220777</v>
      </c>
      <c r="CP174" s="18">
        <v>11.688311688311687</v>
      </c>
      <c r="CQ174" s="18">
        <v>13.766233766233766</v>
      </c>
      <c r="CR174" s="18">
        <f t="shared" si="30"/>
        <v>2.2611251049538201</v>
      </c>
      <c r="CS174" s="18">
        <f t="shared" si="31"/>
        <v>1.1911284035024587</v>
      </c>
      <c r="CT174">
        <v>4.9868766404199496</v>
      </c>
      <c r="CU174">
        <v>80.052493438320241</v>
      </c>
      <c r="CV174">
        <v>14.9606299212598</v>
      </c>
      <c r="CW174">
        <v>0</v>
      </c>
      <c r="CX174">
        <v>0</v>
      </c>
      <c r="CY174">
        <v>18.8976377952756</v>
      </c>
      <c r="CZ174">
        <v>69.028871391076095</v>
      </c>
      <c r="DA174">
        <v>12.0734908136483</v>
      </c>
      <c r="DB174">
        <v>0</v>
      </c>
      <c r="DC174">
        <v>0</v>
      </c>
      <c r="DD174">
        <v>18.8976377952756</v>
      </c>
      <c r="DE174">
        <v>69.028871391076095</v>
      </c>
      <c r="DF174">
        <v>12.0734908136483</v>
      </c>
      <c r="DG174">
        <v>0</v>
      </c>
      <c r="DH174">
        <v>0</v>
      </c>
      <c r="DI174">
        <v>26.509186351706003</v>
      </c>
      <c r="DJ174">
        <v>61.417322834645695</v>
      </c>
      <c r="DK174">
        <v>12.0734908136483</v>
      </c>
      <c r="DL174">
        <v>0</v>
      </c>
      <c r="DM174">
        <v>0</v>
      </c>
      <c r="DN174">
        <v>26.509186351706003</v>
      </c>
      <c r="DO174">
        <v>61.417322834645695</v>
      </c>
      <c r="DP174">
        <v>12.0734908136483</v>
      </c>
      <c r="DQ174">
        <v>0</v>
      </c>
      <c r="DR174">
        <v>0</v>
      </c>
      <c r="DS174" t="s">
        <v>355</v>
      </c>
      <c r="DT174">
        <v>0</v>
      </c>
      <c r="DU174">
        <v>2767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 t="s">
        <v>274</v>
      </c>
      <c r="EE174" t="s">
        <v>274</v>
      </c>
      <c r="EF174" t="s">
        <v>274</v>
      </c>
      <c r="EG174" t="s">
        <v>274</v>
      </c>
    </row>
    <row r="175" spans="1:137" ht="14.55" customHeight="1" x14ac:dyDescent="0.3">
      <c r="A175" t="s">
        <v>635</v>
      </c>
      <c r="B175">
        <v>5860</v>
      </c>
      <c r="C175" t="s">
        <v>636</v>
      </c>
      <c r="D175" t="s">
        <v>543</v>
      </c>
      <c r="E175" t="s">
        <v>544</v>
      </c>
      <c r="F175" t="s">
        <v>270</v>
      </c>
      <c r="G175" t="s">
        <v>545</v>
      </c>
      <c r="H175" s="3">
        <v>2908630.2715500002</v>
      </c>
      <c r="I175">
        <v>287</v>
      </c>
      <c r="J175" s="3">
        <v>290.863027155</v>
      </c>
      <c r="K175">
        <v>374</v>
      </c>
      <c r="L175">
        <v>658</v>
      </c>
      <c r="M175">
        <v>427.31025118805201</v>
      </c>
      <c r="N175">
        <v>47.223775864806001</v>
      </c>
      <c r="O175">
        <v>0</v>
      </c>
      <c r="P175">
        <v>32.677051544189503</v>
      </c>
      <c r="Q175">
        <v>6.1612696647643999</v>
      </c>
      <c r="R175">
        <v>4.8506965637206996</v>
      </c>
      <c r="S175" t="s">
        <v>546</v>
      </c>
      <c r="T175" t="s">
        <v>635</v>
      </c>
      <c r="U175" t="s">
        <v>636</v>
      </c>
      <c r="V175" t="s">
        <v>636</v>
      </c>
      <c r="W175" s="3">
        <v>1496</v>
      </c>
      <c r="X175" s="3">
        <v>2910000</v>
      </c>
      <c r="Y175">
        <v>2</v>
      </c>
      <c r="Z175" s="3">
        <v>772</v>
      </c>
      <c r="AA175" s="3">
        <v>970</v>
      </c>
      <c r="AB175" s="3">
        <v>1129</v>
      </c>
      <c r="AC175" s="3">
        <v>1223</v>
      </c>
      <c r="AD175" s="3">
        <v>1245</v>
      </c>
      <c r="AE175" s="3">
        <v>1274</v>
      </c>
      <c r="AF175" s="3">
        <v>1321</v>
      </c>
      <c r="AG175" s="3">
        <v>1339</v>
      </c>
      <c r="AH175" s="3">
        <v>1380</v>
      </c>
      <c r="AI175" s="3">
        <v>1388</v>
      </c>
      <c r="AJ175" s="3">
        <v>1407</v>
      </c>
      <c r="AK175" s="3">
        <v>1413</v>
      </c>
      <c r="AL175" s="3">
        <v>1465</v>
      </c>
      <c r="AM175" s="3">
        <v>1459</v>
      </c>
      <c r="AN175" s="3">
        <v>1508</v>
      </c>
      <c r="AO175" s="3">
        <v>1536</v>
      </c>
      <c r="AP175" s="3">
        <v>1496</v>
      </c>
      <c r="AQ175" s="3">
        <v>1518</v>
      </c>
      <c r="AR175" s="4">
        <v>514.08934707903779</v>
      </c>
      <c r="AS175" s="5">
        <f t="shared" si="22"/>
        <v>3.2059585492227982</v>
      </c>
      <c r="AT175" s="5">
        <f t="shared" si="23"/>
        <v>1.8213058419243988</v>
      </c>
      <c r="AU175" s="5">
        <f t="shared" si="24"/>
        <v>1.7006200177147917</v>
      </c>
      <c r="AV175" s="5">
        <f t="shared" si="25"/>
        <v>1.3247539742619228</v>
      </c>
      <c r="AW175" s="5">
        <f t="shared" si="26"/>
        <v>2.7202072538860103</v>
      </c>
      <c r="AX175" s="5">
        <f t="shared" si="27"/>
        <v>1.62533215234721</v>
      </c>
      <c r="AY175" s="5">
        <f t="shared" si="28"/>
        <v>2.5346590113429492</v>
      </c>
      <c r="AZ175">
        <f t="shared" si="29"/>
        <v>2880000</v>
      </c>
      <c r="BA175">
        <v>0</v>
      </c>
      <c r="BB175">
        <v>790000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10000</v>
      </c>
      <c r="BJ175">
        <v>580000</v>
      </c>
      <c r="BK175">
        <v>1410000</v>
      </c>
      <c r="BL175">
        <v>0</v>
      </c>
      <c r="BM175">
        <v>0</v>
      </c>
      <c r="BN175">
        <v>0</v>
      </c>
      <c r="BO175">
        <v>0</v>
      </c>
      <c r="BP175">
        <v>70000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20000</v>
      </c>
      <c r="CB175">
        <v>75</v>
      </c>
      <c r="CC175">
        <v>81</v>
      </c>
      <c r="CD175">
        <v>89</v>
      </c>
      <c r="CE175">
        <v>96</v>
      </c>
      <c r="CF175" s="17">
        <v>26.132404181184672</v>
      </c>
      <c r="CG175" s="17">
        <v>28.222996515679444</v>
      </c>
      <c r="CH175" s="17">
        <v>31.010452961672474</v>
      </c>
      <c r="CI175" s="17">
        <v>33.449477351916379</v>
      </c>
      <c r="CJ175" s="18">
        <v>1</v>
      </c>
      <c r="CK175" s="18">
        <v>1.08</v>
      </c>
      <c r="CL175" s="18">
        <v>1.1866666666666668</v>
      </c>
      <c r="CM175" s="18">
        <v>1.28</v>
      </c>
      <c r="CN175" s="18">
        <v>0</v>
      </c>
      <c r="CO175" s="18">
        <v>2.0905923344947737</v>
      </c>
      <c r="CP175" s="18">
        <v>4.8780487804878048</v>
      </c>
      <c r="CQ175" s="18">
        <v>7.3170731707317067</v>
      </c>
      <c r="CR175" s="18">
        <f t="shared" si="30"/>
        <v>1.8898963730569949</v>
      </c>
      <c r="CS175" s="18">
        <f t="shared" si="31"/>
        <v>1.4764815414507773</v>
      </c>
      <c r="CT175">
        <v>10.4166666666667</v>
      </c>
      <c r="CU175">
        <v>81.944444444444514</v>
      </c>
      <c r="CV175">
        <v>3.8194444444444402</v>
      </c>
      <c r="CW175">
        <v>0</v>
      </c>
      <c r="CX175">
        <v>3.8194444444444402</v>
      </c>
      <c r="CY175">
        <v>28.819444444444422</v>
      </c>
      <c r="CZ175">
        <v>68.0555555555556</v>
      </c>
      <c r="DA175">
        <v>2.4305555555555598</v>
      </c>
      <c r="DB175">
        <v>0</v>
      </c>
      <c r="DC175">
        <v>0.69444444444444497</v>
      </c>
      <c r="DD175">
        <v>28.819444444444422</v>
      </c>
      <c r="DE175">
        <v>68.0555555555556</v>
      </c>
      <c r="DF175">
        <v>2.4305555555555598</v>
      </c>
      <c r="DG175">
        <v>0</v>
      </c>
      <c r="DH175">
        <v>0.69444444444444497</v>
      </c>
      <c r="DI175">
        <v>27.777777777777821</v>
      </c>
      <c r="DJ175">
        <v>69.0972222222222</v>
      </c>
      <c r="DK175">
        <v>2.4305555555555598</v>
      </c>
      <c r="DL175">
        <v>0</v>
      </c>
      <c r="DM175">
        <v>0.69444444444444497</v>
      </c>
      <c r="DN175">
        <v>27.777777777777821</v>
      </c>
      <c r="DO175">
        <v>69.0972222222222</v>
      </c>
      <c r="DP175">
        <v>2.4305555555555598</v>
      </c>
      <c r="DQ175">
        <v>0</v>
      </c>
      <c r="DR175">
        <v>0.69444444444444497</v>
      </c>
      <c r="DS175" t="s">
        <v>355</v>
      </c>
      <c r="DT175">
        <v>0</v>
      </c>
      <c r="DU175">
        <v>1547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 t="s">
        <v>274</v>
      </c>
      <c r="EE175" t="s">
        <v>274</v>
      </c>
      <c r="EF175" t="s">
        <v>274</v>
      </c>
      <c r="EG175" t="s">
        <v>274</v>
      </c>
    </row>
    <row r="176" spans="1:137" ht="14.55" customHeight="1" x14ac:dyDescent="0.3">
      <c r="A176" t="s">
        <v>637</v>
      </c>
      <c r="B176">
        <v>5861</v>
      </c>
      <c r="C176" t="s">
        <v>638</v>
      </c>
      <c r="D176" t="s">
        <v>543</v>
      </c>
      <c r="E176" t="s">
        <v>544</v>
      </c>
      <c r="F176" t="s">
        <v>270</v>
      </c>
      <c r="G176" t="s">
        <v>545</v>
      </c>
      <c r="H176" s="3">
        <v>2763550.07485</v>
      </c>
      <c r="I176">
        <v>276</v>
      </c>
      <c r="J176" s="3">
        <v>276.35500748499999</v>
      </c>
      <c r="K176">
        <v>370</v>
      </c>
      <c r="L176">
        <v>447</v>
      </c>
      <c r="M176">
        <v>397.50513494148601</v>
      </c>
      <c r="N176">
        <v>16.2217338044766</v>
      </c>
      <c r="O176">
        <v>0</v>
      </c>
      <c r="P176">
        <v>16.028753280639702</v>
      </c>
      <c r="Q176">
        <v>4.1820368766784703</v>
      </c>
      <c r="R176">
        <v>2.5281858444213898</v>
      </c>
      <c r="S176" t="s">
        <v>546</v>
      </c>
      <c r="T176" t="s">
        <v>637</v>
      </c>
      <c r="U176" t="s">
        <v>638</v>
      </c>
      <c r="V176" t="s">
        <v>638</v>
      </c>
      <c r="W176" s="3">
        <v>6249</v>
      </c>
      <c r="X176" s="3">
        <v>2740000</v>
      </c>
      <c r="Y176">
        <v>2</v>
      </c>
      <c r="Z176" s="3">
        <v>3380</v>
      </c>
      <c r="AA176" s="3">
        <v>3806</v>
      </c>
      <c r="AB176" s="3">
        <v>4108</v>
      </c>
      <c r="AC176" s="3">
        <v>4837</v>
      </c>
      <c r="AD176" s="3">
        <v>5015</v>
      </c>
      <c r="AE176" s="3">
        <v>5394</v>
      </c>
      <c r="AF176" s="3">
        <v>5624</v>
      </c>
      <c r="AG176" s="3">
        <v>5806</v>
      </c>
      <c r="AH176" s="3">
        <v>5847</v>
      </c>
      <c r="AI176" s="3">
        <v>5921</v>
      </c>
      <c r="AJ176" s="3">
        <v>5921</v>
      </c>
      <c r="AK176" s="3">
        <v>6067</v>
      </c>
      <c r="AL176" s="3">
        <v>6109</v>
      </c>
      <c r="AM176" s="3">
        <v>6168</v>
      </c>
      <c r="AN176" s="3">
        <v>6218</v>
      </c>
      <c r="AO176" s="3">
        <v>6259</v>
      </c>
      <c r="AP176" s="3">
        <v>6249</v>
      </c>
      <c r="AQ176" s="3">
        <v>6260</v>
      </c>
      <c r="AR176" s="4">
        <v>2280.6569343065694</v>
      </c>
      <c r="AS176" s="5">
        <f t="shared" si="22"/>
        <v>1.5754437869822484</v>
      </c>
      <c r="AT176" s="5">
        <f t="shared" si="23"/>
        <v>0.8816488585274711</v>
      </c>
      <c r="AU176" s="5">
        <f t="shared" si="24"/>
        <v>3.6903602726387534</v>
      </c>
      <c r="AV176" s="5">
        <f t="shared" si="25"/>
        <v>1.1113086770981506</v>
      </c>
      <c r="AW176" s="5">
        <f t="shared" si="26"/>
        <v>1.2669683257918551</v>
      </c>
      <c r="AX176" s="5">
        <f t="shared" si="27"/>
        <v>2.6058909444985394</v>
      </c>
      <c r="AY176" s="5">
        <f t="shared" si="28"/>
        <v>2.2940988325603708</v>
      </c>
      <c r="AZ176">
        <f t="shared" si="29"/>
        <v>2770000</v>
      </c>
      <c r="BA176">
        <v>0</v>
      </c>
      <c r="BB176">
        <v>1730000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670000</v>
      </c>
      <c r="BK176">
        <v>340000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30000</v>
      </c>
      <c r="CB176">
        <v>148</v>
      </c>
      <c r="CC176">
        <v>154</v>
      </c>
      <c r="CD176">
        <v>173</v>
      </c>
      <c r="CE176">
        <v>191</v>
      </c>
      <c r="CF176" s="17">
        <v>54.612546125461257</v>
      </c>
      <c r="CG176" s="17">
        <v>56.826568265682653</v>
      </c>
      <c r="CH176" s="17">
        <v>63.837638376383765</v>
      </c>
      <c r="CI176" s="17">
        <v>70.479704797047972</v>
      </c>
      <c r="CJ176" s="18">
        <v>1</v>
      </c>
      <c r="CK176" s="18">
        <v>1.0405405405405406</v>
      </c>
      <c r="CL176" s="18">
        <v>1.1689189189189189</v>
      </c>
      <c r="CM176" s="18">
        <v>1.2905405405405406</v>
      </c>
      <c r="CN176" s="18">
        <v>0</v>
      </c>
      <c r="CO176" s="18">
        <v>2.214022140221402</v>
      </c>
      <c r="CP176" s="18">
        <v>9.2250922509225095</v>
      </c>
      <c r="CQ176" s="18">
        <v>15.867158671586715</v>
      </c>
      <c r="CR176" s="18">
        <f t="shared" si="30"/>
        <v>1.8248520710059171</v>
      </c>
      <c r="CS176" s="18">
        <f t="shared" si="31"/>
        <v>1.4140215000464698</v>
      </c>
      <c r="CT176">
        <v>49.097472924187684</v>
      </c>
      <c r="CU176">
        <v>45.848375451263536</v>
      </c>
      <c r="CV176">
        <v>0</v>
      </c>
      <c r="CW176">
        <v>0</v>
      </c>
      <c r="CX176">
        <v>5.0541516245487399</v>
      </c>
      <c r="CY176">
        <v>52.707581227436798</v>
      </c>
      <c r="CZ176">
        <v>46.570397111913387</v>
      </c>
      <c r="DA176">
        <v>0</v>
      </c>
      <c r="DB176">
        <v>0</v>
      </c>
      <c r="DC176">
        <v>0.72202166064981999</v>
      </c>
      <c r="DD176">
        <v>54.873646209386301</v>
      </c>
      <c r="DE176">
        <v>44.40433212996389</v>
      </c>
      <c r="DF176">
        <v>0</v>
      </c>
      <c r="DG176">
        <v>0</v>
      </c>
      <c r="DH176">
        <v>0.72202166064981999</v>
      </c>
      <c r="DI176">
        <v>62.4548736462094</v>
      </c>
      <c r="DJ176">
        <v>36.462093862815898</v>
      </c>
      <c r="DK176">
        <v>0</v>
      </c>
      <c r="DL176">
        <v>0</v>
      </c>
      <c r="DM176">
        <v>1.08303249097473</v>
      </c>
      <c r="DN176">
        <v>62.4548736462094</v>
      </c>
      <c r="DO176">
        <v>36.462093862815898</v>
      </c>
      <c r="DP176">
        <v>0</v>
      </c>
      <c r="DQ176">
        <v>0</v>
      </c>
      <c r="DR176">
        <v>1.08303249097473</v>
      </c>
      <c r="DS176" t="s">
        <v>355</v>
      </c>
      <c r="DT176">
        <v>0</v>
      </c>
      <c r="DU176">
        <v>6322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 t="s">
        <v>274</v>
      </c>
      <c r="EE176" t="s">
        <v>274</v>
      </c>
      <c r="EF176" t="s">
        <v>274</v>
      </c>
      <c r="EG176" t="s">
        <v>274</v>
      </c>
    </row>
    <row r="177" spans="1:137" ht="14.55" customHeight="1" x14ac:dyDescent="0.3">
      <c r="A177" t="s">
        <v>639</v>
      </c>
      <c r="B177">
        <v>5862</v>
      </c>
      <c r="C177" t="s">
        <v>640</v>
      </c>
      <c r="D177" t="s">
        <v>543</v>
      </c>
      <c r="E177" t="s">
        <v>544</v>
      </c>
      <c r="F177" t="s">
        <v>270</v>
      </c>
      <c r="G177" t="s">
        <v>545</v>
      </c>
      <c r="H177" s="3">
        <v>1085668.4206000001</v>
      </c>
      <c r="I177">
        <v>110</v>
      </c>
      <c r="J177" s="3">
        <v>108.56684206000001</v>
      </c>
      <c r="K177">
        <v>429</v>
      </c>
      <c r="L177">
        <v>819</v>
      </c>
      <c r="M177">
        <v>592.32870090634401</v>
      </c>
      <c r="N177">
        <v>111.32567608198001</v>
      </c>
      <c r="O177">
        <v>0.33761471509933499</v>
      </c>
      <c r="P177">
        <v>36.679481506347699</v>
      </c>
      <c r="Q177">
        <v>10.6916828155518</v>
      </c>
      <c r="R177">
        <v>6.34096336364746</v>
      </c>
      <c r="S177" t="s">
        <v>546</v>
      </c>
      <c r="T177" t="s">
        <v>639</v>
      </c>
      <c r="U177" t="s">
        <v>640</v>
      </c>
      <c r="V177" t="s">
        <v>640</v>
      </c>
      <c r="W177" s="3">
        <v>230</v>
      </c>
      <c r="X177" s="3">
        <v>1090000</v>
      </c>
      <c r="Y177">
        <v>3</v>
      </c>
      <c r="Z177" s="3">
        <v>140</v>
      </c>
      <c r="AA177" s="3">
        <v>181</v>
      </c>
      <c r="AB177" s="3">
        <v>193</v>
      </c>
      <c r="AC177" s="3">
        <v>209</v>
      </c>
      <c r="AD177" s="3">
        <v>217</v>
      </c>
      <c r="AE177" s="3">
        <v>210</v>
      </c>
      <c r="AF177" s="3">
        <v>217</v>
      </c>
      <c r="AG177" s="3">
        <v>226</v>
      </c>
      <c r="AH177" s="3">
        <v>229</v>
      </c>
      <c r="AI177" s="3">
        <v>225</v>
      </c>
      <c r="AJ177" s="3">
        <v>225</v>
      </c>
      <c r="AK177" s="3">
        <v>228</v>
      </c>
      <c r="AL177" s="3">
        <v>230</v>
      </c>
      <c r="AM177" s="3">
        <v>236</v>
      </c>
      <c r="AN177" s="3">
        <v>235</v>
      </c>
      <c r="AO177" s="3">
        <v>248</v>
      </c>
      <c r="AP177" s="3">
        <v>230</v>
      </c>
      <c r="AQ177" s="3">
        <v>238</v>
      </c>
      <c r="AR177" s="4">
        <v>211.00917431192661</v>
      </c>
      <c r="AS177" s="5">
        <f t="shared" si="22"/>
        <v>3.660714285714286</v>
      </c>
      <c r="AT177" s="5">
        <f t="shared" si="23"/>
        <v>0.73664825046040505</v>
      </c>
      <c r="AU177" s="5">
        <f t="shared" si="24"/>
        <v>1.2435233160621761</v>
      </c>
      <c r="AV177" s="5">
        <f t="shared" si="25"/>
        <v>0.59907834101382484</v>
      </c>
      <c r="AW177" s="5">
        <f t="shared" si="26"/>
        <v>2.2268907563025211</v>
      </c>
      <c r="AX177" s="5">
        <f t="shared" si="27"/>
        <v>0.95854922279792731</v>
      </c>
      <c r="AY177" s="5">
        <f t="shared" si="28"/>
        <v>1.7374517374517375</v>
      </c>
      <c r="AZ177">
        <f t="shared" si="29"/>
        <v>1090000</v>
      </c>
      <c r="BA177">
        <v>0</v>
      </c>
      <c r="BB177">
        <v>10000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10000</v>
      </c>
      <c r="BK177">
        <v>600000</v>
      </c>
      <c r="BL177">
        <v>0</v>
      </c>
      <c r="BM177">
        <v>0</v>
      </c>
      <c r="BN177">
        <v>0</v>
      </c>
      <c r="BO177">
        <v>10000</v>
      </c>
      <c r="BP177">
        <v>460000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7</v>
      </c>
      <c r="CC177">
        <v>8</v>
      </c>
      <c r="CD177">
        <v>8</v>
      </c>
      <c r="CE177">
        <v>8</v>
      </c>
      <c r="CF177" s="17">
        <v>6.4220183486238538</v>
      </c>
      <c r="CG177" s="17">
        <v>7.3394495412844041</v>
      </c>
      <c r="CH177" s="17">
        <v>7.3394495412844041</v>
      </c>
      <c r="CI177" s="17">
        <v>7.3394495412844041</v>
      </c>
      <c r="CJ177" s="18">
        <v>1</v>
      </c>
      <c r="CK177" s="18">
        <v>1.1428571428571428</v>
      </c>
      <c r="CL177" s="18">
        <v>1.1428571428571428</v>
      </c>
      <c r="CM177" s="18">
        <v>1.1428571428571428</v>
      </c>
      <c r="CN177" s="18">
        <v>0</v>
      </c>
      <c r="CO177" s="18">
        <v>0.91743119266055051</v>
      </c>
      <c r="CP177" s="18">
        <v>0.91743119266055051</v>
      </c>
      <c r="CQ177" s="18">
        <v>0.91743119266055051</v>
      </c>
      <c r="CR177" s="18">
        <f t="shared" si="30"/>
        <v>1.6857142857142857</v>
      </c>
      <c r="CS177" s="18">
        <f t="shared" si="31"/>
        <v>1.4750000000000001</v>
      </c>
      <c r="CT177">
        <v>0</v>
      </c>
      <c r="CU177">
        <v>56.880733944954159</v>
      </c>
      <c r="CV177">
        <v>43.119266055045898</v>
      </c>
      <c r="CW177">
        <v>0</v>
      </c>
      <c r="CX177">
        <v>0</v>
      </c>
      <c r="CY177">
        <v>0</v>
      </c>
      <c r="CZ177">
        <v>57.798165137614703</v>
      </c>
      <c r="DA177">
        <v>42.201834862385297</v>
      </c>
      <c r="DB177">
        <v>0</v>
      </c>
      <c r="DC177">
        <v>0</v>
      </c>
      <c r="DD177">
        <v>0</v>
      </c>
      <c r="DE177">
        <v>57.798165137614703</v>
      </c>
      <c r="DF177">
        <v>42.201834862385297</v>
      </c>
      <c r="DG177">
        <v>0</v>
      </c>
      <c r="DH177">
        <v>0</v>
      </c>
      <c r="DI177">
        <v>0.91743119266054995</v>
      </c>
      <c r="DJ177">
        <v>56.880733944954102</v>
      </c>
      <c r="DK177">
        <v>42.201834862385297</v>
      </c>
      <c r="DL177">
        <v>0</v>
      </c>
      <c r="DM177">
        <v>0</v>
      </c>
      <c r="DN177">
        <v>0.91743119266054995</v>
      </c>
      <c r="DO177">
        <v>56.880733944954102</v>
      </c>
      <c r="DP177">
        <v>42.201834862385297</v>
      </c>
      <c r="DQ177">
        <v>0</v>
      </c>
      <c r="DR177">
        <v>0</v>
      </c>
      <c r="DS177" t="s">
        <v>355</v>
      </c>
      <c r="DT177">
        <v>0</v>
      </c>
      <c r="DU177">
        <v>249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 t="s">
        <v>274</v>
      </c>
      <c r="EE177" t="s">
        <v>274</v>
      </c>
      <c r="EF177" t="s">
        <v>274</v>
      </c>
      <c r="EG177" t="s">
        <v>274</v>
      </c>
    </row>
    <row r="178" spans="1:137" ht="14.55" customHeight="1" x14ac:dyDescent="0.3">
      <c r="A178" t="s">
        <v>641</v>
      </c>
      <c r="B178">
        <v>5863</v>
      </c>
      <c r="C178" t="s">
        <v>642</v>
      </c>
      <c r="D178" t="s">
        <v>543</v>
      </c>
      <c r="E178" t="s">
        <v>544</v>
      </c>
      <c r="F178" t="s">
        <v>270</v>
      </c>
      <c r="G178" t="s">
        <v>545</v>
      </c>
      <c r="H178" s="3">
        <v>1097120.92765</v>
      </c>
      <c r="I178">
        <v>108</v>
      </c>
      <c r="J178" s="3">
        <v>109.71209276499999</v>
      </c>
      <c r="K178">
        <v>415</v>
      </c>
      <c r="L178">
        <v>734</v>
      </c>
      <c r="M178">
        <v>558.94417767106904</v>
      </c>
      <c r="N178">
        <v>117.950784822188</v>
      </c>
      <c r="O178">
        <v>0.33761471509933499</v>
      </c>
      <c r="P178">
        <v>31.999660491943398</v>
      </c>
      <c r="Q178">
        <v>8.75999259948731</v>
      </c>
      <c r="R178">
        <v>7.0895223617553702</v>
      </c>
      <c r="S178" t="s">
        <v>546</v>
      </c>
      <c r="T178" t="s">
        <v>641</v>
      </c>
      <c r="U178" t="s">
        <v>642</v>
      </c>
      <c r="V178" t="s">
        <v>642</v>
      </c>
      <c r="W178" s="3">
        <v>355</v>
      </c>
      <c r="X178" s="3">
        <v>1100000</v>
      </c>
      <c r="Y178">
        <v>3</v>
      </c>
      <c r="Z178" s="3">
        <v>161</v>
      </c>
      <c r="AA178" s="3">
        <v>234</v>
      </c>
      <c r="AB178" s="3">
        <v>274</v>
      </c>
      <c r="AC178" s="3">
        <v>319</v>
      </c>
      <c r="AD178" s="3">
        <v>321</v>
      </c>
      <c r="AE178" s="3">
        <v>324</v>
      </c>
      <c r="AF178" s="3">
        <v>350</v>
      </c>
      <c r="AG178" s="3">
        <v>352</v>
      </c>
      <c r="AH178" s="3">
        <v>344</v>
      </c>
      <c r="AI178" s="3">
        <v>341</v>
      </c>
      <c r="AJ178" s="3">
        <v>350</v>
      </c>
      <c r="AK178" s="3">
        <v>351</v>
      </c>
      <c r="AL178" s="3">
        <v>349</v>
      </c>
      <c r="AM178" s="3">
        <v>352</v>
      </c>
      <c r="AN178" s="3">
        <v>370</v>
      </c>
      <c r="AO178" s="3">
        <v>358</v>
      </c>
      <c r="AP178" s="3">
        <v>355</v>
      </c>
      <c r="AQ178" s="3">
        <v>385</v>
      </c>
      <c r="AR178" s="4">
        <v>322.72727272727275</v>
      </c>
      <c r="AS178" s="5">
        <f t="shared" si="22"/>
        <v>5.6677018633540373</v>
      </c>
      <c r="AT178" s="5">
        <f t="shared" si="23"/>
        <v>1.899335232668566</v>
      </c>
      <c r="AU178" s="5">
        <f t="shared" si="24"/>
        <v>2.773722627737226</v>
      </c>
      <c r="AV178" s="5">
        <f t="shared" si="25"/>
        <v>0.14285714285714285</v>
      </c>
      <c r="AW178" s="5">
        <f t="shared" si="26"/>
        <v>4.1286079649251004</v>
      </c>
      <c r="AX178" s="5">
        <f t="shared" si="27"/>
        <v>1.478102189781022</v>
      </c>
      <c r="AY178" s="5">
        <f t="shared" si="28"/>
        <v>3.2566728218902137</v>
      </c>
      <c r="AZ178">
        <f t="shared" si="29"/>
        <v>1080000</v>
      </c>
      <c r="BA178">
        <v>0</v>
      </c>
      <c r="BB178">
        <v>130000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460000</v>
      </c>
      <c r="BK178">
        <v>180000</v>
      </c>
      <c r="BL178">
        <v>90000</v>
      </c>
      <c r="BM178">
        <v>0</v>
      </c>
      <c r="BN178">
        <v>0</v>
      </c>
      <c r="BO178">
        <v>0</v>
      </c>
      <c r="BP178">
        <v>220000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9</v>
      </c>
      <c r="CC178">
        <v>12</v>
      </c>
      <c r="CD178">
        <v>15</v>
      </c>
      <c r="CE178">
        <v>16</v>
      </c>
      <c r="CF178" s="17">
        <v>8.2568807339449553</v>
      </c>
      <c r="CG178" s="17">
        <v>11.009174311926607</v>
      </c>
      <c r="CH178" s="17">
        <v>13.761467889908257</v>
      </c>
      <c r="CI178" s="17">
        <v>14.678899082568808</v>
      </c>
      <c r="CJ178" s="18">
        <v>1</v>
      </c>
      <c r="CK178" s="18">
        <v>1.3333333333333333</v>
      </c>
      <c r="CL178" s="18">
        <v>1.6666666666666667</v>
      </c>
      <c r="CM178" s="18">
        <v>1.7777777777777777</v>
      </c>
      <c r="CN178" s="18">
        <v>0</v>
      </c>
      <c r="CO178" s="18">
        <v>2.7522935779816518</v>
      </c>
      <c r="CP178" s="18">
        <v>5.5045871559633035</v>
      </c>
      <c r="CQ178" s="18">
        <v>6.4220183486238538</v>
      </c>
      <c r="CR178" s="18">
        <f t="shared" si="30"/>
        <v>2.1863354037267082</v>
      </c>
      <c r="CS178" s="18">
        <f t="shared" si="31"/>
        <v>1.2298136645962734</v>
      </c>
      <c r="CT178">
        <v>0</v>
      </c>
      <c r="CU178">
        <v>86.111111111111128</v>
      </c>
      <c r="CV178">
        <v>13.8888888888889</v>
      </c>
      <c r="CW178">
        <v>0</v>
      </c>
      <c r="CX178">
        <v>0</v>
      </c>
      <c r="CY178">
        <v>12.037037037037001</v>
      </c>
      <c r="CZ178">
        <v>67.592592592592595</v>
      </c>
      <c r="DA178">
        <v>20.370370370370399</v>
      </c>
      <c r="DB178">
        <v>0</v>
      </c>
      <c r="DC178">
        <v>0</v>
      </c>
      <c r="DD178">
        <v>12.037037037037001</v>
      </c>
      <c r="DE178">
        <v>67.592592592592638</v>
      </c>
      <c r="DF178">
        <v>20.370370370370399</v>
      </c>
      <c r="DG178">
        <v>0</v>
      </c>
      <c r="DH178">
        <v>0</v>
      </c>
      <c r="DI178">
        <v>12.037037037037001</v>
      </c>
      <c r="DJ178">
        <v>67.592592592592609</v>
      </c>
      <c r="DK178">
        <v>20.370370370370399</v>
      </c>
      <c r="DL178">
        <v>0</v>
      </c>
      <c r="DM178">
        <v>0</v>
      </c>
      <c r="DN178">
        <v>12.037037037037001</v>
      </c>
      <c r="DO178">
        <v>67.592592592592609</v>
      </c>
      <c r="DP178">
        <v>20.370370370370399</v>
      </c>
      <c r="DQ178">
        <v>0</v>
      </c>
      <c r="DR178">
        <v>0</v>
      </c>
      <c r="DS178" t="s">
        <v>312</v>
      </c>
      <c r="DT178" t="s">
        <v>313</v>
      </c>
      <c r="DU178">
        <v>379</v>
      </c>
      <c r="DV178" t="s">
        <v>547</v>
      </c>
      <c r="DW178" t="s">
        <v>548</v>
      </c>
      <c r="DX178">
        <v>86</v>
      </c>
      <c r="DY178">
        <v>130</v>
      </c>
      <c r="DZ178">
        <v>216</v>
      </c>
      <c r="EA178">
        <v>606779</v>
      </c>
      <c r="EB178">
        <v>388178</v>
      </c>
      <c r="EC178">
        <v>994957</v>
      </c>
      <c r="ED178" t="s">
        <v>274</v>
      </c>
      <c r="EE178" t="s">
        <v>274</v>
      </c>
      <c r="EF178" t="s">
        <v>274</v>
      </c>
      <c r="EG178" t="s">
        <v>274</v>
      </c>
    </row>
    <row r="179" spans="1:137" ht="14.55" customHeight="1" x14ac:dyDescent="0.3">
      <c r="A179" t="s">
        <v>643</v>
      </c>
      <c r="B179">
        <v>6601</v>
      </c>
      <c r="C179" t="s">
        <v>644</v>
      </c>
      <c r="D179" t="s">
        <v>543</v>
      </c>
      <c r="E179" t="s">
        <v>645</v>
      </c>
      <c r="F179" t="s">
        <v>270</v>
      </c>
      <c r="G179" t="s">
        <v>646</v>
      </c>
      <c r="H179" s="3">
        <v>2926549.27232</v>
      </c>
      <c r="I179">
        <v>293</v>
      </c>
      <c r="J179" s="3">
        <v>292.65492723199998</v>
      </c>
      <c r="K179">
        <v>344</v>
      </c>
      <c r="L179">
        <v>436</v>
      </c>
      <c r="M179">
        <v>385.32978723404301</v>
      </c>
      <c r="N179">
        <v>19.064604491287898</v>
      </c>
      <c r="O179">
        <v>0</v>
      </c>
      <c r="P179">
        <v>30.1863117218018</v>
      </c>
      <c r="Q179">
        <v>4.69832420349121</v>
      </c>
      <c r="R179">
        <v>4.5848808288574201</v>
      </c>
      <c r="S179" t="s">
        <v>647</v>
      </c>
      <c r="T179" t="s">
        <v>643</v>
      </c>
      <c r="U179" t="s">
        <v>644</v>
      </c>
      <c r="V179" t="s">
        <v>644</v>
      </c>
      <c r="W179" s="3">
        <v>1169</v>
      </c>
      <c r="X179" s="3">
        <v>2930000</v>
      </c>
      <c r="Y179">
        <v>3</v>
      </c>
      <c r="Z179" s="3">
        <v>438</v>
      </c>
      <c r="AA179" s="3">
        <v>495</v>
      </c>
      <c r="AB179" s="3">
        <v>743</v>
      </c>
      <c r="AC179" s="3">
        <v>899</v>
      </c>
      <c r="AD179" s="3">
        <v>1101</v>
      </c>
      <c r="AE179" s="3">
        <v>1128</v>
      </c>
      <c r="AF179" s="3">
        <v>1144</v>
      </c>
      <c r="AG179" s="3">
        <v>1161</v>
      </c>
      <c r="AH179" s="3">
        <v>1144</v>
      </c>
      <c r="AI179" s="3">
        <v>1108</v>
      </c>
      <c r="AJ179" s="3">
        <v>1118</v>
      </c>
      <c r="AK179" s="3">
        <v>1151</v>
      </c>
      <c r="AL179" s="3">
        <v>1160</v>
      </c>
      <c r="AM179" s="3">
        <v>1163</v>
      </c>
      <c r="AN179" s="3">
        <v>1169</v>
      </c>
      <c r="AO179" s="3">
        <v>1184</v>
      </c>
      <c r="AP179" s="3">
        <v>1169</v>
      </c>
      <c r="AQ179" s="3">
        <v>1160</v>
      </c>
      <c r="AR179" s="4">
        <v>398.97610921501706</v>
      </c>
      <c r="AS179" s="5">
        <f t="shared" si="22"/>
        <v>1.6267123287671232</v>
      </c>
      <c r="AT179" s="5">
        <f t="shared" si="23"/>
        <v>5.566778900112233</v>
      </c>
      <c r="AU179" s="5">
        <f t="shared" si="24"/>
        <v>5.397039030955586</v>
      </c>
      <c r="AV179" s="5">
        <f t="shared" si="25"/>
        <v>0.21853146853146851</v>
      </c>
      <c r="AW179" s="5">
        <f t="shared" si="26"/>
        <v>4.0961590115498252</v>
      </c>
      <c r="AX179" s="5">
        <f t="shared" si="27"/>
        <v>2.8667563930013453</v>
      </c>
      <c r="AY179" s="5">
        <f t="shared" si="28"/>
        <v>4.5106750586202633</v>
      </c>
      <c r="AZ179">
        <f t="shared" si="29"/>
        <v>2930000</v>
      </c>
      <c r="BA179">
        <v>0</v>
      </c>
      <c r="BB179">
        <v>300000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1420000</v>
      </c>
      <c r="BK179">
        <v>0</v>
      </c>
      <c r="BL179">
        <v>0</v>
      </c>
      <c r="BM179">
        <v>0</v>
      </c>
      <c r="BN179">
        <v>20000</v>
      </c>
      <c r="BO179">
        <v>40000</v>
      </c>
      <c r="BP179">
        <v>730000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420000</v>
      </c>
      <c r="CA179">
        <v>0</v>
      </c>
      <c r="CB179">
        <v>46</v>
      </c>
      <c r="CC179">
        <v>54</v>
      </c>
      <c r="CD179">
        <v>58</v>
      </c>
      <c r="CE179">
        <v>54</v>
      </c>
      <c r="CF179" s="17">
        <v>15.972222222222221</v>
      </c>
      <c r="CG179" s="17">
        <v>18.75</v>
      </c>
      <c r="CH179" s="17">
        <v>20.138888888888889</v>
      </c>
      <c r="CI179" s="17">
        <v>18.75</v>
      </c>
      <c r="CJ179" s="18">
        <v>1</v>
      </c>
      <c r="CK179" s="18">
        <v>1.173913043478261</v>
      </c>
      <c r="CL179" s="18">
        <v>1.2608695652173914</v>
      </c>
      <c r="CM179" s="18">
        <v>1.173913043478261</v>
      </c>
      <c r="CN179" s="18">
        <v>0</v>
      </c>
      <c r="CO179" s="18">
        <v>2.7777777777777777</v>
      </c>
      <c r="CP179" s="18">
        <v>4.1666666666666661</v>
      </c>
      <c r="CQ179" s="18">
        <v>2.7777777777777777</v>
      </c>
      <c r="CR179" s="18">
        <f t="shared" si="30"/>
        <v>2.6552511415525113</v>
      </c>
      <c r="CS179" s="18">
        <f t="shared" si="31"/>
        <v>2.26188060206325</v>
      </c>
      <c r="CT179">
        <v>12.969283276450501</v>
      </c>
      <c r="CU179">
        <v>47.098976109215002</v>
      </c>
      <c r="CV179">
        <v>23.890784982935202</v>
      </c>
      <c r="CW179">
        <v>0</v>
      </c>
      <c r="CX179">
        <v>16.040955631399299</v>
      </c>
      <c r="CY179">
        <v>12.969283276450501</v>
      </c>
      <c r="CZ179">
        <v>47.098976109215002</v>
      </c>
      <c r="DA179">
        <v>23.890784982935202</v>
      </c>
      <c r="DB179">
        <v>0</v>
      </c>
      <c r="DC179">
        <v>16.040955631399299</v>
      </c>
      <c r="DD179">
        <v>9.8976109215017107</v>
      </c>
      <c r="DE179">
        <v>51.194539249146786</v>
      </c>
      <c r="DF179">
        <v>24.914675767918101</v>
      </c>
      <c r="DG179">
        <v>0</v>
      </c>
      <c r="DH179">
        <v>13.9931740614334</v>
      </c>
      <c r="DI179">
        <v>10.238907849829401</v>
      </c>
      <c r="DJ179">
        <v>50.511945392491469</v>
      </c>
      <c r="DK179">
        <v>24.914675767918101</v>
      </c>
      <c r="DL179">
        <v>0</v>
      </c>
      <c r="DM179">
        <v>14.334470989761099</v>
      </c>
      <c r="DN179">
        <v>10.238907849829401</v>
      </c>
      <c r="DO179">
        <v>50.511945392491469</v>
      </c>
      <c r="DP179">
        <v>24.914675767918101</v>
      </c>
      <c r="DQ179">
        <v>0</v>
      </c>
      <c r="DR179">
        <v>14.334470989761099</v>
      </c>
      <c r="DS179" t="s">
        <v>312</v>
      </c>
      <c r="DT179" t="s">
        <v>313</v>
      </c>
      <c r="DU179">
        <v>1145</v>
      </c>
      <c r="DV179" t="s">
        <v>547</v>
      </c>
      <c r="DW179" t="s">
        <v>548</v>
      </c>
      <c r="DX179">
        <v>86</v>
      </c>
      <c r="DY179">
        <v>130</v>
      </c>
      <c r="DZ179">
        <v>216</v>
      </c>
      <c r="EA179">
        <v>606779</v>
      </c>
      <c r="EB179">
        <v>388178</v>
      </c>
      <c r="EC179">
        <v>994957</v>
      </c>
      <c r="ED179" t="s">
        <v>274</v>
      </c>
      <c r="EE179" t="s">
        <v>274</v>
      </c>
      <c r="EF179" t="s">
        <v>274</v>
      </c>
      <c r="EG179" t="s">
        <v>274</v>
      </c>
    </row>
    <row r="180" spans="1:137" ht="14.55" customHeight="1" x14ac:dyDescent="0.3">
      <c r="A180" t="s">
        <v>648</v>
      </c>
      <c r="B180">
        <v>6602</v>
      </c>
      <c r="C180" t="s">
        <v>649</v>
      </c>
      <c r="D180" t="s">
        <v>543</v>
      </c>
      <c r="E180" t="s">
        <v>645</v>
      </c>
      <c r="F180" t="s">
        <v>270</v>
      </c>
      <c r="G180" t="s">
        <v>646</v>
      </c>
      <c r="H180" s="3">
        <v>3858919.0107100001</v>
      </c>
      <c r="I180">
        <v>383</v>
      </c>
      <c r="J180" s="3">
        <v>385.89190107100001</v>
      </c>
      <c r="K180">
        <v>374</v>
      </c>
      <c r="L180">
        <v>443</v>
      </c>
      <c r="M180">
        <v>416.105578370979</v>
      </c>
      <c r="N180">
        <v>14.476525512756</v>
      </c>
      <c r="O180">
        <v>0</v>
      </c>
      <c r="P180">
        <v>15.5034084320068</v>
      </c>
      <c r="Q180">
        <v>3.9938812255859402</v>
      </c>
      <c r="R180">
        <v>2.2722632884979301</v>
      </c>
      <c r="S180" t="s">
        <v>647</v>
      </c>
      <c r="T180" t="s">
        <v>648</v>
      </c>
      <c r="U180" t="s">
        <v>649</v>
      </c>
      <c r="V180" t="s">
        <v>649</v>
      </c>
      <c r="W180" s="3">
        <v>2387</v>
      </c>
      <c r="X180" s="3">
        <v>3850000</v>
      </c>
      <c r="Y180">
        <v>2</v>
      </c>
      <c r="Z180" s="3">
        <v>1326</v>
      </c>
      <c r="AA180" s="3">
        <v>1544</v>
      </c>
      <c r="AB180" s="3">
        <v>1961</v>
      </c>
      <c r="AC180" s="3">
        <v>2226</v>
      </c>
      <c r="AD180" s="3">
        <v>2201</v>
      </c>
      <c r="AE180" s="3">
        <v>2204</v>
      </c>
      <c r="AF180" s="3">
        <v>2265</v>
      </c>
      <c r="AG180" s="3">
        <v>2272</v>
      </c>
      <c r="AH180" s="3">
        <v>2258</v>
      </c>
      <c r="AI180" s="3">
        <v>2265</v>
      </c>
      <c r="AJ180" s="3">
        <v>2350</v>
      </c>
      <c r="AK180" s="3">
        <v>2398</v>
      </c>
      <c r="AL180" s="3">
        <v>2426</v>
      </c>
      <c r="AM180" s="3">
        <v>2495</v>
      </c>
      <c r="AN180" s="3">
        <v>2456</v>
      </c>
      <c r="AO180" s="3">
        <v>2403</v>
      </c>
      <c r="AP180" s="3">
        <v>2387</v>
      </c>
      <c r="AQ180" s="3">
        <v>2381</v>
      </c>
      <c r="AR180" s="4">
        <v>620</v>
      </c>
      <c r="AS180" s="5">
        <f t="shared" si="22"/>
        <v>2.0550527903469078</v>
      </c>
      <c r="AT180" s="5">
        <f t="shared" si="23"/>
        <v>3.0008635578583767</v>
      </c>
      <c r="AU180" s="5">
        <f t="shared" si="24"/>
        <v>1.5502294747577767</v>
      </c>
      <c r="AV180" s="5">
        <f t="shared" si="25"/>
        <v>0.53863134657836642</v>
      </c>
      <c r="AW180" s="5">
        <f t="shared" si="26"/>
        <v>2.8169638896282496</v>
      </c>
      <c r="AX180" s="5">
        <f t="shared" si="27"/>
        <v>1.0861805201427843</v>
      </c>
      <c r="AY180" s="5">
        <f t="shared" si="28"/>
        <v>2.162569809628633</v>
      </c>
      <c r="AZ180">
        <f t="shared" si="29"/>
        <v>3820000</v>
      </c>
      <c r="BA180">
        <v>0</v>
      </c>
      <c r="BB180">
        <v>970000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2490000</v>
      </c>
      <c r="BK180">
        <v>360000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108</v>
      </c>
      <c r="CC180">
        <v>113</v>
      </c>
      <c r="CD180">
        <v>118</v>
      </c>
      <c r="CE180">
        <v>122</v>
      </c>
      <c r="CF180" s="17">
        <v>28.272251308900525</v>
      </c>
      <c r="CG180" s="17">
        <v>29.581151832460733</v>
      </c>
      <c r="CH180" s="17">
        <v>30.890052356020941</v>
      </c>
      <c r="CI180" s="17">
        <v>31.937172774869111</v>
      </c>
      <c r="CJ180" s="18">
        <v>1</v>
      </c>
      <c r="CK180" s="18">
        <v>1.0462962962962963</v>
      </c>
      <c r="CL180" s="18">
        <v>1.0925925925925926</v>
      </c>
      <c r="CM180" s="18">
        <v>1.1296296296296295</v>
      </c>
      <c r="CN180" s="18">
        <v>0</v>
      </c>
      <c r="CO180" s="18">
        <v>1.3089005235602094</v>
      </c>
      <c r="CP180" s="18">
        <v>2.6178010471204187</v>
      </c>
      <c r="CQ180" s="18">
        <v>3.664921465968586</v>
      </c>
      <c r="CR180" s="18">
        <f t="shared" si="30"/>
        <v>1.8815987933634992</v>
      </c>
      <c r="CS180" s="18">
        <f t="shared" si="31"/>
        <v>1.6656776203545731</v>
      </c>
      <c r="CT180">
        <v>30.6282722513089</v>
      </c>
      <c r="CU180">
        <v>67.8010471204189</v>
      </c>
      <c r="CV180">
        <v>0.26178010471204199</v>
      </c>
      <c r="CW180">
        <v>0</v>
      </c>
      <c r="CX180">
        <v>1.30890052356021</v>
      </c>
      <c r="CY180">
        <v>30.6282722513089</v>
      </c>
      <c r="CZ180">
        <v>68.062827225130889</v>
      </c>
      <c r="DA180">
        <v>0</v>
      </c>
      <c r="DB180">
        <v>0</v>
      </c>
      <c r="DC180">
        <v>1.30890052356021</v>
      </c>
      <c r="DD180">
        <v>25.3926701570681</v>
      </c>
      <c r="DE180">
        <v>74.607329842931918</v>
      </c>
      <c r="DF180">
        <v>0</v>
      </c>
      <c r="DG180">
        <v>0</v>
      </c>
      <c r="DH180">
        <v>0</v>
      </c>
      <c r="DI180">
        <v>25.3926701570681</v>
      </c>
      <c r="DJ180">
        <v>74.607329842931918</v>
      </c>
      <c r="DK180">
        <v>0</v>
      </c>
      <c r="DL180">
        <v>0</v>
      </c>
      <c r="DM180">
        <v>0</v>
      </c>
      <c r="DN180">
        <v>25.3926701570681</v>
      </c>
      <c r="DO180">
        <v>74.607329842931918</v>
      </c>
      <c r="DP180">
        <v>0</v>
      </c>
      <c r="DQ180">
        <v>0</v>
      </c>
      <c r="DR180">
        <v>0</v>
      </c>
      <c r="DS180" t="s">
        <v>564</v>
      </c>
      <c r="DT180" t="s">
        <v>313</v>
      </c>
      <c r="DU180">
        <v>2417</v>
      </c>
      <c r="DV180" t="s">
        <v>547</v>
      </c>
      <c r="DW180" t="s">
        <v>548</v>
      </c>
      <c r="DX180">
        <v>86</v>
      </c>
      <c r="DY180">
        <v>130</v>
      </c>
      <c r="DZ180">
        <v>216</v>
      </c>
      <c r="EA180">
        <v>606779</v>
      </c>
      <c r="EB180">
        <v>388178</v>
      </c>
      <c r="EC180">
        <v>994957</v>
      </c>
      <c r="ED180" t="s">
        <v>274</v>
      </c>
      <c r="EE180" t="s">
        <v>274</v>
      </c>
      <c r="EF180" t="s">
        <v>274</v>
      </c>
      <c r="EG180" t="s">
        <v>274</v>
      </c>
    </row>
    <row r="181" spans="1:137" ht="14.55" customHeight="1" x14ac:dyDescent="0.3">
      <c r="A181" t="s">
        <v>650</v>
      </c>
      <c r="B181">
        <v>6603</v>
      </c>
      <c r="C181" t="s">
        <v>651</v>
      </c>
      <c r="D181" t="s">
        <v>543</v>
      </c>
      <c r="E181" t="s">
        <v>645</v>
      </c>
      <c r="F181" t="s">
        <v>270</v>
      </c>
      <c r="G181" t="s">
        <v>646</v>
      </c>
      <c r="H181" s="3">
        <v>4618292.5809599999</v>
      </c>
      <c r="I181">
        <v>461</v>
      </c>
      <c r="J181" s="3">
        <v>461.82925809599999</v>
      </c>
      <c r="K181">
        <v>337</v>
      </c>
      <c r="L181">
        <v>442</v>
      </c>
      <c r="M181">
        <v>399.41832783593901</v>
      </c>
      <c r="N181">
        <v>27.3557930712402</v>
      </c>
      <c r="O181">
        <v>0</v>
      </c>
      <c r="P181">
        <v>34.395637512207003</v>
      </c>
      <c r="Q181">
        <v>6.19749212265015</v>
      </c>
      <c r="R181">
        <v>4.6280608177185103</v>
      </c>
      <c r="S181" t="s">
        <v>647</v>
      </c>
      <c r="T181" t="s">
        <v>650</v>
      </c>
      <c r="U181" t="s">
        <v>651</v>
      </c>
      <c r="V181" t="s">
        <v>651</v>
      </c>
      <c r="W181" s="3">
        <v>1712</v>
      </c>
      <c r="X181" s="3">
        <v>4620000</v>
      </c>
      <c r="Y181">
        <v>2</v>
      </c>
      <c r="Z181" s="3">
        <v>1820</v>
      </c>
      <c r="AA181" s="3">
        <v>1778</v>
      </c>
      <c r="AB181" s="3">
        <v>1748</v>
      </c>
      <c r="AC181" s="3">
        <v>1732</v>
      </c>
      <c r="AD181" s="3">
        <v>1743</v>
      </c>
      <c r="AE181" s="3">
        <v>1747</v>
      </c>
      <c r="AF181" s="3">
        <v>1770</v>
      </c>
      <c r="AG181" s="3">
        <v>1748</v>
      </c>
      <c r="AH181" s="3">
        <v>1758</v>
      </c>
      <c r="AI181" s="3">
        <v>1771</v>
      </c>
      <c r="AJ181" s="3">
        <v>1770</v>
      </c>
      <c r="AK181" s="3">
        <v>1775</v>
      </c>
      <c r="AL181" s="3">
        <v>1771</v>
      </c>
      <c r="AM181" s="3">
        <v>1761</v>
      </c>
      <c r="AN181" s="3">
        <v>1763</v>
      </c>
      <c r="AO181" s="3">
        <v>1757</v>
      </c>
      <c r="AP181" s="3">
        <v>1712</v>
      </c>
      <c r="AQ181" s="3">
        <v>1756</v>
      </c>
      <c r="AR181" s="4">
        <v>370.56277056277054</v>
      </c>
      <c r="AS181" s="5">
        <f t="shared" si="22"/>
        <v>-0.28846153846153849</v>
      </c>
      <c r="AT181" s="5">
        <f t="shared" si="23"/>
        <v>-0.18747656542932134</v>
      </c>
      <c r="AU181" s="5">
        <f t="shared" si="24"/>
        <v>0.12585812356979406</v>
      </c>
      <c r="AV181" s="5">
        <f t="shared" si="25"/>
        <v>-0.32768361581920907</v>
      </c>
      <c r="AW181" s="5">
        <f t="shared" si="26"/>
        <v>-0.23270846800258566</v>
      </c>
      <c r="AX181" s="5">
        <f t="shared" si="27"/>
        <v>-0.10297482837528604</v>
      </c>
      <c r="AY181" s="5">
        <f t="shared" si="28"/>
        <v>-0.16038016038016037</v>
      </c>
      <c r="AZ181">
        <f t="shared" si="29"/>
        <v>4610000</v>
      </c>
      <c r="BA181">
        <v>0</v>
      </c>
      <c r="BB181">
        <v>340000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2590000</v>
      </c>
      <c r="BK181">
        <v>0</v>
      </c>
      <c r="BL181">
        <v>0</v>
      </c>
      <c r="BM181">
        <v>0</v>
      </c>
      <c r="BN181">
        <v>900000</v>
      </c>
      <c r="BO181">
        <v>0</v>
      </c>
      <c r="BP181">
        <v>520000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260000</v>
      </c>
      <c r="CA181">
        <v>0</v>
      </c>
      <c r="CB181">
        <v>68</v>
      </c>
      <c r="CC181">
        <v>67</v>
      </c>
      <c r="CD181">
        <v>70</v>
      </c>
      <c r="CE181">
        <v>71</v>
      </c>
      <c r="CF181" s="17">
        <v>14.71861471861472</v>
      </c>
      <c r="CG181" s="17">
        <v>14.502164502164502</v>
      </c>
      <c r="CH181" s="17">
        <v>15.151515151515152</v>
      </c>
      <c r="CI181" s="17">
        <v>15.367965367965366</v>
      </c>
      <c r="CJ181" s="18">
        <v>1</v>
      </c>
      <c r="CK181" s="18">
        <v>0.98529411764705888</v>
      </c>
      <c r="CL181" s="18">
        <v>1.0294117647058822</v>
      </c>
      <c r="CM181" s="18">
        <v>1.0441176470588236</v>
      </c>
      <c r="CN181" s="18">
        <v>0</v>
      </c>
      <c r="CO181" s="18">
        <v>-0.21645021645021645</v>
      </c>
      <c r="CP181" s="18">
        <v>0.4329004329004329</v>
      </c>
      <c r="CQ181" s="18">
        <v>0.64935064935064934</v>
      </c>
      <c r="CR181" s="18">
        <f t="shared" si="30"/>
        <v>0.96758241758241759</v>
      </c>
      <c r="CS181" s="18">
        <f t="shared" si="31"/>
        <v>0.92669865345921676</v>
      </c>
      <c r="CT181">
        <v>5.6399132321041199</v>
      </c>
      <c r="CU181">
        <v>76.138828633405623</v>
      </c>
      <c r="CV181">
        <v>10.8459869848156</v>
      </c>
      <c r="CW181">
        <v>0</v>
      </c>
      <c r="CX181">
        <v>7.3752711496746199</v>
      </c>
      <c r="CY181">
        <v>5.6399132321041199</v>
      </c>
      <c r="CZ181">
        <v>76.138828633405623</v>
      </c>
      <c r="DA181">
        <v>10.8459869848156</v>
      </c>
      <c r="DB181">
        <v>0</v>
      </c>
      <c r="DC181">
        <v>7.3752711496746199</v>
      </c>
      <c r="DD181">
        <v>7.3752711496746199</v>
      </c>
      <c r="DE181">
        <v>75.054229934924095</v>
      </c>
      <c r="DF181">
        <v>12.1475054229935</v>
      </c>
      <c r="DG181">
        <v>0</v>
      </c>
      <c r="DH181">
        <v>5.4229934924078096</v>
      </c>
      <c r="DI181">
        <v>7.3752711496746199</v>
      </c>
      <c r="DJ181">
        <v>75.704989154012992</v>
      </c>
      <c r="DK181">
        <v>11.279826464208201</v>
      </c>
      <c r="DL181">
        <v>0</v>
      </c>
      <c r="DM181">
        <v>5.6399132321041199</v>
      </c>
      <c r="DN181">
        <v>7.3752711496746199</v>
      </c>
      <c r="DO181">
        <v>75.704989154012992</v>
      </c>
      <c r="DP181">
        <v>11.279826464208201</v>
      </c>
      <c r="DQ181">
        <v>0</v>
      </c>
      <c r="DR181">
        <v>5.6399132321041199</v>
      </c>
      <c r="DS181" t="s">
        <v>312</v>
      </c>
      <c r="DT181" t="s">
        <v>313</v>
      </c>
      <c r="DU181">
        <v>1708</v>
      </c>
      <c r="DV181" t="s">
        <v>547</v>
      </c>
      <c r="DW181" t="s">
        <v>548</v>
      </c>
      <c r="DX181">
        <v>86</v>
      </c>
      <c r="DY181">
        <v>130</v>
      </c>
      <c r="DZ181">
        <v>216</v>
      </c>
      <c r="EA181">
        <v>606779</v>
      </c>
      <c r="EB181">
        <v>388178</v>
      </c>
      <c r="EC181">
        <v>994957</v>
      </c>
      <c r="ED181" t="s">
        <v>274</v>
      </c>
      <c r="EE181" t="s">
        <v>274</v>
      </c>
      <c r="EF181" t="s">
        <v>274</v>
      </c>
      <c r="EG181" t="s">
        <v>274</v>
      </c>
    </row>
    <row r="182" spans="1:137" ht="14.55" customHeight="1" x14ac:dyDescent="0.3">
      <c r="A182" t="s">
        <v>652</v>
      </c>
      <c r="B182">
        <v>6604</v>
      </c>
      <c r="C182" t="s">
        <v>653</v>
      </c>
      <c r="D182" t="s">
        <v>543</v>
      </c>
      <c r="E182" t="s">
        <v>645</v>
      </c>
      <c r="F182" t="s">
        <v>270</v>
      </c>
      <c r="G182" t="s">
        <v>646</v>
      </c>
      <c r="H182" s="3">
        <v>5172041.01755</v>
      </c>
      <c r="I182">
        <v>516</v>
      </c>
      <c r="J182" s="3">
        <v>517.20410175500001</v>
      </c>
      <c r="K182">
        <v>362</v>
      </c>
      <c r="L182">
        <v>455</v>
      </c>
      <c r="M182">
        <v>417.45866974240698</v>
      </c>
      <c r="N182">
        <v>18.455287714441798</v>
      </c>
      <c r="O182">
        <v>0</v>
      </c>
      <c r="P182">
        <v>20.8142910003662</v>
      </c>
      <c r="Q182">
        <v>4.5130286216735804</v>
      </c>
      <c r="R182">
        <v>2.9463083744049099</v>
      </c>
      <c r="S182" t="s">
        <v>647</v>
      </c>
      <c r="T182" t="s">
        <v>652</v>
      </c>
      <c r="U182" t="s">
        <v>653</v>
      </c>
      <c r="V182" t="s">
        <v>653</v>
      </c>
      <c r="W182" s="3">
        <v>1401</v>
      </c>
      <c r="X182" s="3">
        <v>5170000</v>
      </c>
      <c r="Y182">
        <v>3</v>
      </c>
      <c r="Z182" s="3">
        <v>529</v>
      </c>
      <c r="AA182" s="3">
        <v>983</v>
      </c>
      <c r="AB182" s="3">
        <v>1178</v>
      </c>
      <c r="AC182" s="3">
        <v>1297</v>
      </c>
      <c r="AD182" s="3">
        <v>1306</v>
      </c>
      <c r="AE182" s="3">
        <v>1373</v>
      </c>
      <c r="AF182" s="3">
        <v>1378</v>
      </c>
      <c r="AG182" s="3">
        <v>1383</v>
      </c>
      <c r="AH182" s="3">
        <v>1427</v>
      </c>
      <c r="AI182" s="3">
        <v>1443</v>
      </c>
      <c r="AJ182" s="3">
        <v>1426</v>
      </c>
      <c r="AK182" s="3">
        <v>1450</v>
      </c>
      <c r="AL182" s="3">
        <v>1426</v>
      </c>
      <c r="AM182" s="3">
        <v>1405</v>
      </c>
      <c r="AN182" s="3">
        <v>1434</v>
      </c>
      <c r="AO182" s="3">
        <v>1416</v>
      </c>
      <c r="AP182" s="3">
        <v>1401</v>
      </c>
      <c r="AQ182" s="3">
        <v>1391</v>
      </c>
      <c r="AR182" s="4">
        <v>270.9864603481625</v>
      </c>
      <c r="AS182" s="5">
        <f t="shared" si="22"/>
        <v>10.727788279773156</v>
      </c>
      <c r="AT182" s="5">
        <f t="shared" si="23"/>
        <v>2.204136995591726</v>
      </c>
      <c r="AU182" s="5">
        <f t="shared" si="24"/>
        <v>1.6977928692699491</v>
      </c>
      <c r="AV182" s="5">
        <f t="shared" si="25"/>
        <v>0.16690856313497821</v>
      </c>
      <c r="AW182" s="5">
        <f t="shared" si="26"/>
        <v>7.2167241187590339</v>
      </c>
      <c r="AX182" s="5">
        <f t="shared" si="27"/>
        <v>0.9465195246179966</v>
      </c>
      <c r="AY182" s="5">
        <f t="shared" si="28"/>
        <v>4.4551167424513354</v>
      </c>
      <c r="AZ182">
        <f t="shared" si="29"/>
        <v>5170000</v>
      </c>
      <c r="BA182">
        <v>0</v>
      </c>
      <c r="BB182">
        <v>370000</v>
      </c>
      <c r="BC182">
        <v>0</v>
      </c>
      <c r="BD182">
        <v>0</v>
      </c>
      <c r="BE182">
        <v>0</v>
      </c>
      <c r="BF182">
        <v>0</v>
      </c>
      <c r="BG182">
        <v>400000</v>
      </c>
      <c r="BH182">
        <v>0</v>
      </c>
      <c r="BI182">
        <v>0</v>
      </c>
      <c r="BJ182">
        <v>1800000</v>
      </c>
      <c r="BK182">
        <v>0</v>
      </c>
      <c r="BL182">
        <v>0</v>
      </c>
      <c r="BM182">
        <v>0</v>
      </c>
      <c r="BN182">
        <v>2430000</v>
      </c>
      <c r="BO182">
        <v>0</v>
      </c>
      <c r="BP182">
        <v>170000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85</v>
      </c>
      <c r="CC182">
        <v>102</v>
      </c>
      <c r="CD182">
        <v>111</v>
      </c>
      <c r="CE182">
        <v>129</v>
      </c>
      <c r="CF182" s="17">
        <v>16.441005802707931</v>
      </c>
      <c r="CG182" s="17">
        <v>19.729206963249517</v>
      </c>
      <c r="CH182" s="17">
        <v>21.470019342359766</v>
      </c>
      <c r="CI182" s="17">
        <v>24.951644100580271</v>
      </c>
      <c r="CJ182" s="18">
        <v>1</v>
      </c>
      <c r="CK182" s="18">
        <v>1.2</v>
      </c>
      <c r="CL182" s="18">
        <v>1.3058823529411765</v>
      </c>
      <c r="CM182" s="18">
        <v>1.5176470588235293</v>
      </c>
      <c r="CN182" s="18">
        <v>0</v>
      </c>
      <c r="CO182" s="18">
        <v>3.2882011605415857</v>
      </c>
      <c r="CP182" s="18">
        <v>5.029013539651837</v>
      </c>
      <c r="CQ182" s="18">
        <v>8.5106382978723403</v>
      </c>
      <c r="CR182" s="18">
        <f t="shared" si="30"/>
        <v>2.655954631379962</v>
      </c>
      <c r="CS182" s="18">
        <f t="shared" si="31"/>
        <v>1.7500476253278821</v>
      </c>
      <c r="CT182">
        <v>5.2224371373307497</v>
      </c>
      <c r="CU182">
        <v>88.974854932301696</v>
      </c>
      <c r="CV182">
        <v>3.67504835589942</v>
      </c>
      <c r="CW182">
        <v>2.12765957446809</v>
      </c>
      <c r="CX182">
        <v>0</v>
      </c>
      <c r="CY182">
        <v>10.444874274661499</v>
      </c>
      <c r="CZ182">
        <v>83.752417794970995</v>
      </c>
      <c r="DA182">
        <v>3.67504835589942</v>
      </c>
      <c r="DB182">
        <v>2.12765957446809</v>
      </c>
      <c r="DC182">
        <v>0</v>
      </c>
      <c r="DD182">
        <v>12.76595744680851</v>
      </c>
      <c r="DE182">
        <v>83.752417794971109</v>
      </c>
      <c r="DF182">
        <v>3.4816247582205002</v>
      </c>
      <c r="DG182">
        <v>0</v>
      </c>
      <c r="DH182">
        <v>0</v>
      </c>
      <c r="DI182">
        <v>17.021276595744681</v>
      </c>
      <c r="DJ182">
        <v>79.690522243713701</v>
      </c>
      <c r="DK182">
        <v>3.2882011605415902</v>
      </c>
      <c r="DL182">
        <v>0</v>
      </c>
      <c r="DM182">
        <v>0</v>
      </c>
      <c r="DN182">
        <v>14.89361702127659</v>
      </c>
      <c r="DO182">
        <v>81.818181818181799</v>
      </c>
      <c r="DP182">
        <v>3.2882011605415902</v>
      </c>
      <c r="DQ182">
        <v>0</v>
      </c>
      <c r="DR182">
        <v>0</v>
      </c>
      <c r="DS182" t="s">
        <v>312</v>
      </c>
      <c r="DT182" t="s">
        <v>313</v>
      </c>
      <c r="DU182">
        <v>1377</v>
      </c>
      <c r="DV182" t="s">
        <v>547</v>
      </c>
      <c r="DW182" t="s">
        <v>548</v>
      </c>
      <c r="DX182">
        <v>86</v>
      </c>
      <c r="DY182">
        <v>130</v>
      </c>
      <c r="DZ182">
        <v>216</v>
      </c>
      <c r="EA182">
        <v>606779</v>
      </c>
      <c r="EB182">
        <v>388178</v>
      </c>
      <c r="EC182">
        <v>994957</v>
      </c>
      <c r="ED182" t="s">
        <v>274</v>
      </c>
      <c r="EE182" t="s">
        <v>274</v>
      </c>
      <c r="EF182" t="s">
        <v>274</v>
      </c>
      <c r="EG182" t="s">
        <v>274</v>
      </c>
    </row>
    <row r="183" spans="1:137" ht="14.55" customHeight="1" x14ac:dyDescent="0.3">
      <c r="A183" t="s">
        <v>654</v>
      </c>
      <c r="B183">
        <v>6605</v>
      </c>
      <c r="C183" t="s">
        <v>655</v>
      </c>
      <c r="D183" t="s">
        <v>543</v>
      </c>
      <c r="E183" t="s">
        <v>645</v>
      </c>
      <c r="F183" t="s">
        <v>270</v>
      </c>
      <c r="G183" t="s">
        <v>646</v>
      </c>
      <c r="H183" s="3">
        <v>4997012.3468300002</v>
      </c>
      <c r="I183">
        <v>500</v>
      </c>
      <c r="J183" s="3">
        <v>499.701234683</v>
      </c>
      <c r="K183">
        <v>421</v>
      </c>
      <c r="L183">
        <v>498</v>
      </c>
      <c r="M183">
        <v>465.854849409579</v>
      </c>
      <c r="N183">
        <v>11.333224618994</v>
      </c>
      <c r="O183">
        <v>0</v>
      </c>
      <c r="P183">
        <v>21.3930263519287</v>
      </c>
      <c r="Q183">
        <v>3.84723949432373</v>
      </c>
      <c r="R183">
        <v>2.4813308715820299</v>
      </c>
      <c r="S183" t="s">
        <v>647</v>
      </c>
      <c r="T183" t="s">
        <v>654</v>
      </c>
      <c r="U183" t="s">
        <v>655</v>
      </c>
      <c r="V183" t="s">
        <v>655</v>
      </c>
      <c r="W183" s="3">
        <v>2277</v>
      </c>
      <c r="X183" s="3">
        <v>5000000</v>
      </c>
      <c r="Y183">
        <v>2</v>
      </c>
      <c r="Z183" s="3">
        <v>1586</v>
      </c>
      <c r="AA183" s="3">
        <v>1659</v>
      </c>
      <c r="AB183" s="3">
        <v>2069</v>
      </c>
      <c r="AC183" s="3">
        <v>2098</v>
      </c>
      <c r="AD183" s="3">
        <v>2122</v>
      </c>
      <c r="AE183" s="3">
        <v>2157</v>
      </c>
      <c r="AF183" s="3">
        <v>2189</v>
      </c>
      <c r="AG183" s="3">
        <v>2212</v>
      </c>
      <c r="AH183" s="3">
        <v>2191</v>
      </c>
      <c r="AI183" s="3">
        <v>2220</v>
      </c>
      <c r="AJ183" s="3">
        <v>2219</v>
      </c>
      <c r="AK183" s="3">
        <v>2241</v>
      </c>
      <c r="AL183" s="3">
        <v>2260</v>
      </c>
      <c r="AM183" s="3">
        <v>2244</v>
      </c>
      <c r="AN183" s="3">
        <v>2215</v>
      </c>
      <c r="AO183" s="3">
        <v>2299</v>
      </c>
      <c r="AP183" s="3">
        <v>2277</v>
      </c>
      <c r="AQ183" s="3">
        <v>2396</v>
      </c>
      <c r="AR183" s="4">
        <v>455.4</v>
      </c>
      <c r="AS183" s="5">
        <f t="shared" si="22"/>
        <v>0.57534678436317777</v>
      </c>
      <c r="AT183" s="5">
        <f t="shared" si="23"/>
        <v>2.7459647712812272</v>
      </c>
      <c r="AU183" s="5">
        <f t="shared" si="24"/>
        <v>0.57999033349444173</v>
      </c>
      <c r="AV183" s="5">
        <f t="shared" si="25"/>
        <v>0.4020100502512563</v>
      </c>
      <c r="AW183" s="5">
        <f t="shared" si="26"/>
        <v>1.7914101327794671</v>
      </c>
      <c r="AX183" s="5">
        <f t="shared" si="27"/>
        <v>0.50265828902851617</v>
      </c>
      <c r="AY183" s="5">
        <f t="shared" si="28"/>
        <v>1.1775331447462594</v>
      </c>
      <c r="AZ183">
        <f t="shared" si="29"/>
        <v>5030000</v>
      </c>
      <c r="BA183">
        <v>0</v>
      </c>
      <c r="BB183">
        <v>540000</v>
      </c>
      <c r="BC183">
        <v>0</v>
      </c>
      <c r="BD183">
        <v>60000</v>
      </c>
      <c r="BE183">
        <v>0</v>
      </c>
      <c r="BF183">
        <v>0</v>
      </c>
      <c r="BG183">
        <v>280000</v>
      </c>
      <c r="BH183">
        <v>0</v>
      </c>
      <c r="BI183">
        <v>0</v>
      </c>
      <c r="BJ183">
        <v>3110000</v>
      </c>
      <c r="BK183">
        <v>0</v>
      </c>
      <c r="BL183">
        <v>0</v>
      </c>
      <c r="BM183">
        <v>0</v>
      </c>
      <c r="BN183">
        <v>0</v>
      </c>
      <c r="BO183">
        <v>1040000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93</v>
      </c>
      <c r="CC183">
        <v>116</v>
      </c>
      <c r="CD183">
        <v>122</v>
      </c>
      <c r="CE183">
        <v>129</v>
      </c>
      <c r="CF183" s="17">
        <v>18.525896414342629</v>
      </c>
      <c r="CG183" s="17">
        <v>23.107569721115535</v>
      </c>
      <c r="CH183" s="17">
        <v>24.302788844621514</v>
      </c>
      <c r="CI183" s="17">
        <v>25.697211155378486</v>
      </c>
      <c r="CJ183" s="18">
        <v>1</v>
      </c>
      <c r="CK183" s="18">
        <v>1.2473118279569892</v>
      </c>
      <c r="CL183" s="18">
        <v>1.3118279569892473</v>
      </c>
      <c r="CM183" s="18">
        <v>1.3870967741935485</v>
      </c>
      <c r="CN183" s="18">
        <v>0</v>
      </c>
      <c r="CO183" s="18">
        <v>4.5816733067729087</v>
      </c>
      <c r="CP183" s="18">
        <v>5.7768924302788838</v>
      </c>
      <c r="CQ183" s="18">
        <v>7.1713147410358573</v>
      </c>
      <c r="CR183" s="18">
        <f t="shared" si="30"/>
        <v>1.4148802017654476</v>
      </c>
      <c r="CS183" s="18">
        <f t="shared" si="31"/>
        <v>1.0200299129006714</v>
      </c>
      <c r="CT183">
        <v>9.9403578528827001</v>
      </c>
      <c r="CU183">
        <v>90.059642147117302</v>
      </c>
      <c r="CV183">
        <v>0</v>
      </c>
      <c r="CW183">
        <v>0</v>
      </c>
      <c r="CX183">
        <v>0</v>
      </c>
      <c r="CY183">
        <v>8.3499005964214703</v>
      </c>
      <c r="CZ183">
        <v>91.650099403578494</v>
      </c>
      <c r="DA183">
        <v>0</v>
      </c>
      <c r="DB183">
        <v>0</v>
      </c>
      <c r="DC183">
        <v>0</v>
      </c>
      <c r="DD183">
        <v>18.489065606361777</v>
      </c>
      <c r="DE183">
        <v>81.510934393638109</v>
      </c>
      <c r="DF183">
        <v>0</v>
      </c>
      <c r="DG183">
        <v>0</v>
      </c>
      <c r="DH183">
        <v>0</v>
      </c>
      <c r="DI183">
        <v>17.49502982107353</v>
      </c>
      <c r="DJ183">
        <v>82.504970178926399</v>
      </c>
      <c r="DK183">
        <v>0</v>
      </c>
      <c r="DL183">
        <v>0</v>
      </c>
      <c r="DM183">
        <v>0</v>
      </c>
      <c r="DN183">
        <v>17.49502982107353</v>
      </c>
      <c r="DO183">
        <v>82.504970178926399</v>
      </c>
      <c r="DP183">
        <v>0</v>
      </c>
      <c r="DQ183">
        <v>0</v>
      </c>
      <c r="DR183">
        <v>0</v>
      </c>
      <c r="DS183" t="s">
        <v>312</v>
      </c>
      <c r="DT183" t="s">
        <v>313</v>
      </c>
      <c r="DU183">
        <v>2531</v>
      </c>
      <c r="DV183" t="s">
        <v>547</v>
      </c>
      <c r="DW183" t="s">
        <v>548</v>
      </c>
      <c r="DX183">
        <v>86</v>
      </c>
      <c r="DY183">
        <v>130</v>
      </c>
      <c r="DZ183">
        <v>216</v>
      </c>
      <c r="EA183">
        <v>606779</v>
      </c>
      <c r="EB183">
        <v>388178</v>
      </c>
      <c r="EC183">
        <v>994957</v>
      </c>
      <c r="ED183" t="s">
        <v>274</v>
      </c>
      <c r="EE183" t="s">
        <v>274</v>
      </c>
      <c r="EF183" t="s">
        <v>274</v>
      </c>
      <c r="EG183" t="s">
        <v>274</v>
      </c>
    </row>
    <row r="184" spans="1:137" ht="14.55" customHeight="1" x14ac:dyDescent="0.3">
      <c r="A184" t="s">
        <v>656</v>
      </c>
      <c r="B184">
        <v>6606</v>
      </c>
      <c r="C184" t="s">
        <v>657</v>
      </c>
      <c r="D184" t="s">
        <v>543</v>
      </c>
      <c r="E184" t="s">
        <v>645</v>
      </c>
      <c r="F184" t="s">
        <v>270</v>
      </c>
      <c r="G184" t="s">
        <v>646</v>
      </c>
      <c r="H184" s="3">
        <v>4359876.7510299999</v>
      </c>
      <c r="I184">
        <v>437</v>
      </c>
      <c r="J184" s="3">
        <v>435.98767510399995</v>
      </c>
      <c r="K184">
        <v>373</v>
      </c>
      <c r="L184">
        <v>446</v>
      </c>
      <c r="M184">
        <v>410.736921910538</v>
      </c>
      <c r="N184">
        <v>14.8661480986024</v>
      </c>
      <c r="O184">
        <v>0</v>
      </c>
      <c r="P184">
        <v>15.237627983093301</v>
      </c>
      <c r="Q184">
        <v>3.8301651477813698</v>
      </c>
      <c r="R184">
        <v>2.3183245658874498</v>
      </c>
      <c r="S184" t="s">
        <v>647</v>
      </c>
      <c r="T184" t="s">
        <v>656</v>
      </c>
      <c r="U184" t="s">
        <v>657</v>
      </c>
      <c r="V184" t="s">
        <v>657</v>
      </c>
      <c r="W184" s="3">
        <v>3380</v>
      </c>
      <c r="X184" s="3">
        <v>4360000</v>
      </c>
      <c r="Y184">
        <v>2</v>
      </c>
      <c r="Z184" s="3">
        <v>1085</v>
      </c>
      <c r="AA184" s="3">
        <v>1509</v>
      </c>
      <c r="AB184" s="3">
        <v>1808</v>
      </c>
      <c r="AC184" s="3">
        <v>2940</v>
      </c>
      <c r="AD184" s="3">
        <v>2974</v>
      </c>
      <c r="AE184" s="3">
        <v>3159</v>
      </c>
      <c r="AF184" s="3">
        <v>3180</v>
      </c>
      <c r="AG184" s="3">
        <v>3231</v>
      </c>
      <c r="AH184" s="3">
        <v>3136</v>
      </c>
      <c r="AI184" s="3">
        <v>3200</v>
      </c>
      <c r="AJ184" s="3">
        <v>3247</v>
      </c>
      <c r="AK184" s="3">
        <v>3236</v>
      </c>
      <c r="AL184" s="3">
        <v>3260</v>
      </c>
      <c r="AM184" s="3">
        <v>3348</v>
      </c>
      <c r="AN184" s="3">
        <v>3322</v>
      </c>
      <c r="AO184" s="3">
        <v>3300</v>
      </c>
      <c r="AP184" s="3">
        <v>3380</v>
      </c>
      <c r="AQ184" s="3">
        <v>3467</v>
      </c>
      <c r="AR184" s="4">
        <v>775.2293577981651</v>
      </c>
      <c r="AS184" s="5">
        <f t="shared" si="22"/>
        <v>4.8847926267281103</v>
      </c>
      <c r="AT184" s="5">
        <f t="shared" si="23"/>
        <v>2.2016051837125397</v>
      </c>
      <c r="AU184" s="5">
        <f t="shared" si="24"/>
        <v>7.5884955752212395</v>
      </c>
      <c r="AV184" s="5">
        <f t="shared" si="25"/>
        <v>0.62893081761006298</v>
      </c>
      <c r="AW184" s="5">
        <f t="shared" si="26"/>
        <v>3.9197614529682836</v>
      </c>
      <c r="AX184" s="5">
        <f t="shared" si="27"/>
        <v>4.3473451327433628</v>
      </c>
      <c r="AY184" s="5">
        <f t="shared" si="28"/>
        <v>5.716776684518619</v>
      </c>
      <c r="AZ184">
        <f t="shared" si="29"/>
        <v>4380000</v>
      </c>
      <c r="BA184">
        <v>0</v>
      </c>
      <c r="BB184">
        <v>1330000</v>
      </c>
      <c r="BC184">
        <v>0</v>
      </c>
      <c r="BD184">
        <v>0</v>
      </c>
      <c r="BE184">
        <v>0</v>
      </c>
      <c r="BF184">
        <v>210000</v>
      </c>
      <c r="BG184">
        <v>0</v>
      </c>
      <c r="BH184">
        <v>0</v>
      </c>
      <c r="BI184">
        <v>0</v>
      </c>
      <c r="BJ184">
        <v>2030000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440000</v>
      </c>
      <c r="BQ184">
        <v>0</v>
      </c>
      <c r="BR184">
        <v>370000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146</v>
      </c>
      <c r="CC184">
        <v>163</v>
      </c>
      <c r="CD184">
        <v>194</v>
      </c>
      <c r="CE184">
        <v>199</v>
      </c>
      <c r="CF184" s="17">
        <v>33.333333333333329</v>
      </c>
      <c r="CG184" s="17">
        <v>37.214611872146122</v>
      </c>
      <c r="CH184" s="17">
        <v>44.292237442922371</v>
      </c>
      <c r="CI184" s="17">
        <v>45.433789954337897</v>
      </c>
      <c r="CJ184" s="18">
        <v>1</v>
      </c>
      <c r="CK184" s="18">
        <v>1.1164383561643836</v>
      </c>
      <c r="CL184" s="18">
        <v>1.3287671232876712</v>
      </c>
      <c r="CM184" s="18">
        <v>1.3630136986301369</v>
      </c>
      <c r="CN184" s="18">
        <v>0</v>
      </c>
      <c r="CO184" s="18">
        <v>3.8812785388127851</v>
      </c>
      <c r="CP184" s="18">
        <v>10.95890410958904</v>
      </c>
      <c r="CQ184" s="18">
        <v>12.100456621004566</v>
      </c>
      <c r="CR184" s="18">
        <f t="shared" si="30"/>
        <v>3.0857142857142859</v>
      </c>
      <c r="CS184" s="18">
        <f t="shared" si="31"/>
        <v>2.2638908829863604</v>
      </c>
      <c r="CT184">
        <v>30.13698630136982</v>
      </c>
      <c r="CU184">
        <v>59.1324200913242</v>
      </c>
      <c r="CV184">
        <v>10.730593607305901</v>
      </c>
      <c r="CW184">
        <v>0</v>
      </c>
      <c r="CX184">
        <v>0</v>
      </c>
      <c r="CY184">
        <v>30.13698630136982</v>
      </c>
      <c r="CZ184">
        <v>59.1324200913242</v>
      </c>
      <c r="DA184">
        <v>10.730593607305901</v>
      </c>
      <c r="DB184">
        <v>0</v>
      </c>
      <c r="DC184">
        <v>0</v>
      </c>
      <c r="DD184">
        <v>33.789954337899509</v>
      </c>
      <c r="DE184">
        <v>48.85844748858451</v>
      </c>
      <c r="DF184">
        <v>17.351598173515999</v>
      </c>
      <c r="DG184">
        <v>0</v>
      </c>
      <c r="DH184">
        <v>0</v>
      </c>
      <c r="DI184">
        <v>35.159817351598207</v>
      </c>
      <c r="DJ184">
        <v>46.3470319634703</v>
      </c>
      <c r="DK184">
        <v>18.4931506849315</v>
      </c>
      <c r="DL184">
        <v>0</v>
      </c>
      <c r="DM184">
        <v>0</v>
      </c>
      <c r="DN184">
        <v>35.159817351598207</v>
      </c>
      <c r="DO184">
        <v>46.3470319634703</v>
      </c>
      <c r="DP184">
        <v>18.4931506849315</v>
      </c>
      <c r="DQ184">
        <v>0</v>
      </c>
      <c r="DR184">
        <v>0</v>
      </c>
      <c r="DS184" t="s">
        <v>371</v>
      </c>
      <c r="DT184" t="s">
        <v>313</v>
      </c>
      <c r="DU184">
        <v>4075</v>
      </c>
      <c r="DV184" t="s">
        <v>547</v>
      </c>
      <c r="DW184" t="s">
        <v>548</v>
      </c>
      <c r="DX184">
        <v>86</v>
      </c>
      <c r="DY184">
        <v>130</v>
      </c>
      <c r="DZ184">
        <v>216</v>
      </c>
      <c r="EA184">
        <v>606779</v>
      </c>
      <c r="EB184">
        <v>388178</v>
      </c>
      <c r="EC184">
        <v>994957</v>
      </c>
      <c r="ED184" t="s">
        <v>274</v>
      </c>
      <c r="EE184" t="s">
        <v>274</v>
      </c>
      <c r="EF184" t="s">
        <v>274</v>
      </c>
      <c r="EG184" t="s">
        <v>274</v>
      </c>
    </row>
    <row r="185" spans="1:137" ht="14.55" customHeight="1" x14ac:dyDescent="0.3">
      <c r="A185" t="s">
        <v>658</v>
      </c>
      <c r="B185">
        <v>6607</v>
      </c>
      <c r="C185" t="s">
        <v>659</v>
      </c>
      <c r="D185" t="s">
        <v>543</v>
      </c>
      <c r="E185" t="s">
        <v>645</v>
      </c>
      <c r="F185" t="s">
        <v>270</v>
      </c>
      <c r="G185" t="s">
        <v>646</v>
      </c>
      <c r="H185" s="3">
        <v>12953950.9988</v>
      </c>
      <c r="I185">
        <v>1302</v>
      </c>
      <c r="J185" s="3">
        <v>1295.3950998800001</v>
      </c>
      <c r="K185">
        <v>356</v>
      </c>
      <c r="L185">
        <v>499</v>
      </c>
      <c r="M185">
        <v>420.98630207002299</v>
      </c>
      <c r="N185">
        <v>25.107157342200601</v>
      </c>
      <c r="O185">
        <v>0</v>
      </c>
      <c r="P185">
        <v>36.549247741699197</v>
      </c>
      <c r="Q185">
        <v>4.9156970977783203</v>
      </c>
      <c r="R185">
        <v>3.4073457717895499</v>
      </c>
      <c r="S185" t="s">
        <v>647</v>
      </c>
      <c r="T185" t="s">
        <v>658</v>
      </c>
      <c r="U185" t="s">
        <v>659</v>
      </c>
      <c r="V185" t="s">
        <v>659</v>
      </c>
      <c r="W185" s="3">
        <v>10244</v>
      </c>
      <c r="X185" s="3">
        <v>12950000</v>
      </c>
      <c r="Y185">
        <v>1</v>
      </c>
      <c r="Z185" s="3">
        <v>8493</v>
      </c>
      <c r="AA185" s="3">
        <v>9035</v>
      </c>
      <c r="AB185" s="3">
        <v>8637</v>
      </c>
      <c r="AC185" s="3">
        <v>9393</v>
      </c>
      <c r="AD185" s="3">
        <v>9420</v>
      </c>
      <c r="AE185" s="3">
        <v>9582</v>
      </c>
      <c r="AF185" s="3">
        <v>9605</v>
      </c>
      <c r="AG185" s="3">
        <v>9650</v>
      </c>
      <c r="AH185" s="3">
        <v>9594</v>
      </c>
      <c r="AI185" s="3">
        <v>9640</v>
      </c>
      <c r="AJ185" s="3">
        <v>9758</v>
      </c>
      <c r="AK185" s="3">
        <v>9813</v>
      </c>
      <c r="AL185" s="3">
        <v>9932</v>
      </c>
      <c r="AM185" s="3">
        <v>10045</v>
      </c>
      <c r="AN185" s="3">
        <v>10007</v>
      </c>
      <c r="AO185" s="3">
        <v>10234</v>
      </c>
      <c r="AP185" s="3">
        <v>10244</v>
      </c>
      <c r="AQ185" s="3">
        <v>10258</v>
      </c>
      <c r="AR185" s="4">
        <v>791.04247104247099</v>
      </c>
      <c r="AS185" s="5">
        <f t="shared" si="22"/>
        <v>0.79771576592487925</v>
      </c>
      <c r="AT185" s="5">
        <f t="shared" si="23"/>
        <v>-0.4894545901740146</v>
      </c>
      <c r="AU185" s="5">
        <f t="shared" si="24"/>
        <v>1.1207595229825169</v>
      </c>
      <c r="AV185" s="5">
        <f t="shared" si="25"/>
        <v>0.66527850078084327</v>
      </c>
      <c r="AW185" s="5">
        <f t="shared" si="26"/>
        <v>9.9736114862758962E-2</v>
      </c>
      <c r="AX185" s="5">
        <f t="shared" si="27"/>
        <v>0.93029987264096337</v>
      </c>
      <c r="AY185" s="5">
        <f t="shared" si="28"/>
        <v>0.55721564022517744</v>
      </c>
      <c r="AZ185">
        <f t="shared" si="29"/>
        <v>13040000</v>
      </c>
      <c r="BA185">
        <v>0</v>
      </c>
      <c r="BB185">
        <v>1920000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20000</v>
      </c>
      <c r="BJ185">
        <v>6510000</v>
      </c>
      <c r="BK185">
        <v>1070000</v>
      </c>
      <c r="BL185">
        <v>0</v>
      </c>
      <c r="BM185">
        <v>0</v>
      </c>
      <c r="BN185">
        <v>950000</v>
      </c>
      <c r="BO185">
        <v>0</v>
      </c>
      <c r="BP185">
        <v>2010000</v>
      </c>
      <c r="BQ185">
        <v>0</v>
      </c>
      <c r="BR185">
        <v>170000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390000</v>
      </c>
      <c r="CA185">
        <v>0</v>
      </c>
      <c r="CB185">
        <v>205</v>
      </c>
      <c r="CC185">
        <v>254</v>
      </c>
      <c r="CD185">
        <v>280</v>
      </c>
      <c r="CE185">
        <v>291</v>
      </c>
      <c r="CF185" s="17">
        <v>15.805705474171164</v>
      </c>
      <c r="CG185" s="17">
        <v>19.583654587509638</v>
      </c>
      <c r="CH185" s="17">
        <v>21.588280647648421</v>
      </c>
      <c r="CI185" s="17">
        <v>22.436391673091748</v>
      </c>
      <c r="CJ185" s="18">
        <v>1</v>
      </c>
      <c r="CK185" s="18">
        <v>1.2390243902439024</v>
      </c>
      <c r="CL185" s="18">
        <v>1.3658536585365855</v>
      </c>
      <c r="CM185" s="18">
        <v>1.4195121951219511</v>
      </c>
      <c r="CN185" s="18">
        <v>0</v>
      </c>
      <c r="CO185" s="18">
        <v>3.7779491133384733</v>
      </c>
      <c r="CP185" s="18">
        <v>5.7825751734772552</v>
      </c>
      <c r="CQ185" s="18">
        <v>6.6306861989205865</v>
      </c>
      <c r="CR185" s="18">
        <f t="shared" si="30"/>
        <v>1.1827387260096549</v>
      </c>
      <c r="CS185" s="18">
        <f t="shared" si="31"/>
        <v>0.83320082072845114</v>
      </c>
      <c r="CT185">
        <v>6.8251533742331301</v>
      </c>
      <c r="CU185">
        <v>77.760736196319101</v>
      </c>
      <c r="CV185">
        <v>11.5030674846626</v>
      </c>
      <c r="CW185">
        <v>0</v>
      </c>
      <c r="CX185">
        <v>3.9110429447852799</v>
      </c>
      <c r="CY185">
        <v>6.8251533742331301</v>
      </c>
      <c r="CZ185">
        <v>77.760736196319101</v>
      </c>
      <c r="DA185">
        <v>11.5030674846626</v>
      </c>
      <c r="DB185">
        <v>0</v>
      </c>
      <c r="DC185">
        <v>3.9110429447852799</v>
      </c>
      <c r="DD185">
        <v>22.392638036809849</v>
      </c>
      <c r="DE185">
        <v>63.343558282208541</v>
      </c>
      <c r="DF185">
        <v>11.2730061349693</v>
      </c>
      <c r="DG185">
        <v>0</v>
      </c>
      <c r="DH185">
        <v>2.9907975460122702</v>
      </c>
      <c r="DI185">
        <v>14.877300613496935</v>
      </c>
      <c r="DJ185">
        <v>65.414110429447874</v>
      </c>
      <c r="DK185">
        <v>16.717791411042899</v>
      </c>
      <c r="DL185">
        <v>0</v>
      </c>
      <c r="DM185">
        <v>2.9907975460122702</v>
      </c>
      <c r="DN185">
        <v>14.877300613496935</v>
      </c>
      <c r="DO185">
        <v>65.414110429447874</v>
      </c>
      <c r="DP185">
        <v>16.717791411042899</v>
      </c>
      <c r="DQ185">
        <v>0</v>
      </c>
      <c r="DR185">
        <v>2.9907975460122702</v>
      </c>
      <c r="DS185" t="s">
        <v>371</v>
      </c>
      <c r="DT185" t="s">
        <v>313</v>
      </c>
      <c r="DU185">
        <v>10250</v>
      </c>
      <c r="DV185" t="s">
        <v>547</v>
      </c>
      <c r="DW185" t="s">
        <v>548</v>
      </c>
      <c r="DX185">
        <v>86</v>
      </c>
      <c r="DY185">
        <v>130</v>
      </c>
      <c r="DZ185">
        <v>216</v>
      </c>
      <c r="EA185">
        <v>606779</v>
      </c>
      <c r="EB185">
        <v>388178</v>
      </c>
      <c r="EC185">
        <v>994957</v>
      </c>
      <c r="ED185" t="s">
        <v>274</v>
      </c>
      <c r="EE185" t="s">
        <v>274</v>
      </c>
      <c r="EF185" t="s">
        <v>274</v>
      </c>
      <c r="EG185" t="s">
        <v>274</v>
      </c>
    </row>
    <row r="186" spans="1:137" ht="14.55" customHeight="1" x14ac:dyDescent="0.3">
      <c r="A186" t="s">
        <v>660</v>
      </c>
      <c r="B186">
        <v>6608</v>
      </c>
      <c r="C186" t="s">
        <v>661</v>
      </c>
      <c r="D186" t="s">
        <v>543</v>
      </c>
      <c r="E186" t="s">
        <v>645</v>
      </c>
      <c r="F186" t="s">
        <v>270</v>
      </c>
      <c r="G186" t="s">
        <v>646</v>
      </c>
      <c r="H186" s="3">
        <v>2696694.8056299998</v>
      </c>
      <c r="I186">
        <v>264</v>
      </c>
      <c r="J186" s="3">
        <v>269.66948056299998</v>
      </c>
      <c r="K186">
        <v>373</v>
      </c>
      <c r="L186">
        <v>430</v>
      </c>
      <c r="M186">
        <v>395.22456484432502</v>
      </c>
      <c r="N186">
        <v>13.3496026093129</v>
      </c>
      <c r="O186">
        <v>0</v>
      </c>
      <c r="P186">
        <v>22.090259552001999</v>
      </c>
      <c r="Q186">
        <v>4.9262757301330602</v>
      </c>
      <c r="R186">
        <v>3.2632126808166499</v>
      </c>
      <c r="S186" t="s">
        <v>647</v>
      </c>
      <c r="T186" t="s">
        <v>660</v>
      </c>
      <c r="U186" t="s">
        <v>662</v>
      </c>
      <c r="V186" t="s">
        <v>662</v>
      </c>
      <c r="W186" s="3">
        <v>22621</v>
      </c>
      <c r="X186" s="3">
        <v>2700000</v>
      </c>
      <c r="Y186">
        <v>1</v>
      </c>
      <c r="Z186" s="3">
        <v>12954</v>
      </c>
      <c r="AA186" s="3">
        <v>14752</v>
      </c>
      <c r="AB186" s="3">
        <v>16586</v>
      </c>
      <c r="AC186" s="3">
        <v>18967</v>
      </c>
      <c r="AD186" s="3">
        <v>19099</v>
      </c>
      <c r="AE186" s="3">
        <v>19721</v>
      </c>
      <c r="AF186" s="3">
        <v>20071</v>
      </c>
      <c r="AG186" s="3">
        <v>20262</v>
      </c>
      <c r="AH186" s="3">
        <v>20004</v>
      </c>
      <c r="AI186" s="3">
        <v>20375</v>
      </c>
      <c r="AJ186" s="3">
        <v>20630</v>
      </c>
      <c r="AK186" s="3">
        <v>20910</v>
      </c>
      <c r="AL186" s="3">
        <v>21342</v>
      </c>
      <c r="AM186" s="3">
        <v>21868</v>
      </c>
      <c r="AN186" s="3">
        <v>22336</v>
      </c>
      <c r="AO186" s="3">
        <v>22458</v>
      </c>
      <c r="AP186" s="3">
        <v>22621</v>
      </c>
      <c r="AQ186" s="3">
        <v>22536</v>
      </c>
      <c r="AR186" s="4">
        <v>8378.1481481481478</v>
      </c>
      <c r="AS186" s="5">
        <f t="shared" si="22"/>
        <v>1.7349853327157636</v>
      </c>
      <c r="AT186" s="5">
        <f t="shared" si="23"/>
        <v>1.381356953482767</v>
      </c>
      <c r="AU186" s="5">
        <f t="shared" si="24"/>
        <v>2.1011696611600144</v>
      </c>
      <c r="AV186" s="5">
        <f t="shared" si="25"/>
        <v>1.2704897613472175</v>
      </c>
      <c r="AW186" s="5">
        <f t="shared" si="26"/>
        <v>1.6492748095069429</v>
      </c>
      <c r="AX186" s="5">
        <f t="shared" si="27"/>
        <v>1.819305438321476</v>
      </c>
      <c r="AY186" s="5">
        <f t="shared" si="28"/>
        <v>2.0169080613730914</v>
      </c>
      <c r="AZ186">
        <f t="shared" si="29"/>
        <v>2650000</v>
      </c>
      <c r="BA186">
        <v>0</v>
      </c>
      <c r="BB186">
        <v>1840000</v>
      </c>
      <c r="BC186">
        <v>690000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10000</v>
      </c>
      <c r="BJ186">
        <v>110000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213</v>
      </c>
      <c r="CC186">
        <v>219</v>
      </c>
      <c r="CD186">
        <v>227</v>
      </c>
      <c r="CE186">
        <v>235</v>
      </c>
      <c r="CF186" s="17">
        <v>80.377358490566039</v>
      </c>
      <c r="CG186" s="17">
        <v>82.64150943396227</v>
      </c>
      <c r="CH186" s="17">
        <v>85.660377358490564</v>
      </c>
      <c r="CI186" s="17">
        <v>88.679245283018872</v>
      </c>
      <c r="CJ186" s="18">
        <v>1</v>
      </c>
      <c r="CK186" s="18">
        <v>1.028169014084507</v>
      </c>
      <c r="CL186" s="18">
        <v>1.0657276995305165</v>
      </c>
      <c r="CM186" s="18">
        <v>1.1032863849765258</v>
      </c>
      <c r="CN186" s="18">
        <v>0</v>
      </c>
      <c r="CO186" s="18">
        <v>2.2641509433962264</v>
      </c>
      <c r="CP186" s="18">
        <v>5.2830188679245289</v>
      </c>
      <c r="CQ186" s="18">
        <v>8.3018867924528301</v>
      </c>
      <c r="CR186" s="18">
        <f t="shared" si="30"/>
        <v>1.6881272193916936</v>
      </c>
      <c r="CS186" s="18">
        <f t="shared" si="31"/>
        <v>1.5300897775763012</v>
      </c>
      <c r="CT186">
        <v>93.20754716981132</v>
      </c>
      <c r="CU186">
        <v>3.0188679245282999</v>
      </c>
      <c r="CV186">
        <v>3.7735849056603801</v>
      </c>
      <c r="CW186">
        <v>0</v>
      </c>
      <c r="CX186">
        <v>0</v>
      </c>
      <c r="CY186">
        <v>93.20754716981132</v>
      </c>
      <c r="CZ186">
        <v>3.0188679245282999</v>
      </c>
      <c r="DA186">
        <v>3.7735849056603801</v>
      </c>
      <c r="DB186">
        <v>0</v>
      </c>
      <c r="DC186">
        <v>0</v>
      </c>
      <c r="DD186">
        <v>96.981132075471734</v>
      </c>
      <c r="DE186">
        <v>3.0188679245282999</v>
      </c>
      <c r="DF186">
        <v>0</v>
      </c>
      <c r="DG186">
        <v>0</v>
      </c>
      <c r="DH186">
        <v>0</v>
      </c>
      <c r="DI186">
        <v>95.849056603773548</v>
      </c>
      <c r="DJ186">
        <v>4.1509433962264204</v>
      </c>
      <c r="DK186">
        <v>0</v>
      </c>
      <c r="DL186">
        <v>0</v>
      </c>
      <c r="DM186">
        <v>0</v>
      </c>
      <c r="DN186">
        <v>95.849056603773548</v>
      </c>
      <c r="DO186">
        <v>4.1509433962264204</v>
      </c>
      <c r="DP186">
        <v>0</v>
      </c>
      <c r="DQ186">
        <v>0</v>
      </c>
      <c r="DR186">
        <v>0</v>
      </c>
      <c r="DS186" t="s">
        <v>371</v>
      </c>
      <c r="DT186" t="s">
        <v>313</v>
      </c>
      <c r="DU186">
        <v>22164</v>
      </c>
      <c r="DV186" t="s">
        <v>547</v>
      </c>
      <c r="DW186" t="s">
        <v>548</v>
      </c>
      <c r="DX186">
        <v>86</v>
      </c>
      <c r="DY186">
        <v>130</v>
      </c>
      <c r="DZ186">
        <v>216</v>
      </c>
      <c r="EA186">
        <v>606779</v>
      </c>
      <c r="EB186">
        <v>388178</v>
      </c>
      <c r="EC186">
        <v>994957</v>
      </c>
      <c r="ED186" t="s">
        <v>274</v>
      </c>
      <c r="EE186" t="s">
        <v>274</v>
      </c>
      <c r="EF186" t="s">
        <v>274</v>
      </c>
      <c r="EG186" t="s">
        <v>274</v>
      </c>
    </row>
    <row r="187" spans="1:137" ht="14.55" customHeight="1" x14ac:dyDescent="0.3">
      <c r="A187" t="s">
        <v>663</v>
      </c>
      <c r="B187">
        <v>6609</v>
      </c>
      <c r="C187" t="s">
        <v>664</v>
      </c>
      <c r="D187" t="s">
        <v>543</v>
      </c>
      <c r="E187" t="s">
        <v>645</v>
      </c>
      <c r="F187" t="s">
        <v>270</v>
      </c>
      <c r="G187" t="s">
        <v>646</v>
      </c>
      <c r="H187" s="3">
        <v>4383519.2882000003</v>
      </c>
      <c r="I187">
        <v>436</v>
      </c>
      <c r="J187" s="3">
        <v>438.35192882000001</v>
      </c>
      <c r="K187">
        <v>337</v>
      </c>
      <c r="L187">
        <v>445</v>
      </c>
      <c r="M187">
        <v>412.87026128983501</v>
      </c>
      <c r="N187">
        <v>27.181333367220802</v>
      </c>
      <c r="O187">
        <v>0</v>
      </c>
      <c r="P187">
        <v>44.317600250244098</v>
      </c>
      <c r="Q187">
        <v>5.7844076156616202</v>
      </c>
      <c r="R187">
        <v>5.2715659141540501</v>
      </c>
      <c r="S187" t="s">
        <v>647</v>
      </c>
      <c r="T187" t="s">
        <v>663</v>
      </c>
      <c r="U187" t="s">
        <v>664</v>
      </c>
      <c r="V187" t="s">
        <v>664</v>
      </c>
      <c r="W187" s="3">
        <v>986</v>
      </c>
      <c r="X187" s="3">
        <v>4380000</v>
      </c>
      <c r="Y187">
        <v>3</v>
      </c>
      <c r="Z187" s="3">
        <v>507</v>
      </c>
      <c r="AA187" s="3">
        <v>664</v>
      </c>
      <c r="AB187" s="3">
        <v>751</v>
      </c>
      <c r="AC187" s="3">
        <v>802</v>
      </c>
      <c r="AD187" s="3">
        <v>790</v>
      </c>
      <c r="AE187" s="3">
        <v>807</v>
      </c>
      <c r="AF187" s="3">
        <v>836</v>
      </c>
      <c r="AG187" s="3">
        <v>863</v>
      </c>
      <c r="AH187" s="3">
        <v>886</v>
      </c>
      <c r="AI187" s="3">
        <v>867</v>
      </c>
      <c r="AJ187" s="3">
        <v>861</v>
      </c>
      <c r="AK187" s="3">
        <v>870</v>
      </c>
      <c r="AL187" s="3">
        <v>865</v>
      </c>
      <c r="AM187" s="3">
        <v>894</v>
      </c>
      <c r="AN187" s="3">
        <v>956</v>
      </c>
      <c r="AO187" s="3">
        <v>974</v>
      </c>
      <c r="AP187" s="3">
        <v>986</v>
      </c>
      <c r="AQ187" s="3">
        <v>971</v>
      </c>
      <c r="AR187" s="4">
        <v>225.11415525114154</v>
      </c>
      <c r="AS187" s="5">
        <f t="shared" si="22"/>
        <v>3.8708086785009863</v>
      </c>
      <c r="AT187" s="5">
        <f t="shared" si="23"/>
        <v>1.4558232931726907</v>
      </c>
      <c r="AU187" s="5">
        <f t="shared" si="24"/>
        <v>1.1318242343541944</v>
      </c>
      <c r="AV187" s="5">
        <f t="shared" si="25"/>
        <v>1.7942583732057416</v>
      </c>
      <c r="AW187" s="5">
        <f t="shared" si="26"/>
        <v>2.8309548671539622</v>
      </c>
      <c r="AX187" s="5">
        <f t="shared" si="27"/>
        <v>1.5645805592543274</v>
      </c>
      <c r="AY187" s="5">
        <f t="shared" si="28"/>
        <v>2.5534410149794766</v>
      </c>
      <c r="AZ187">
        <f t="shared" si="29"/>
        <v>4370000</v>
      </c>
      <c r="BA187">
        <v>0</v>
      </c>
      <c r="BB187">
        <v>260000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830000</v>
      </c>
      <c r="BK187">
        <v>0</v>
      </c>
      <c r="BL187">
        <v>0</v>
      </c>
      <c r="BM187">
        <v>0</v>
      </c>
      <c r="BN187">
        <v>1740000</v>
      </c>
      <c r="BO187">
        <v>430000</v>
      </c>
      <c r="BP187">
        <v>1030000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80000</v>
      </c>
      <c r="CA187">
        <v>0</v>
      </c>
      <c r="CB187">
        <v>54</v>
      </c>
      <c r="CC187">
        <v>54</v>
      </c>
      <c r="CD187">
        <v>50</v>
      </c>
      <c r="CE187">
        <v>51</v>
      </c>
      <c r="CF187" s="17">
        <v>12.217194570135746</v>
      </c>
      <c r="CG187" s="17">
        <v>12.217194570135746</v>
      </c>
      <c r="CH187" s="17">
        <v>11.312217194570136</v>
      </c>
      <c r="CI187" s="17">
        <v>11.538461538461538</v>
      </c>
      <c r="CJ187" s="18">
        <v>1</v>
      </c>
      <c r="CK187" s="18">
        <v>1</v>
      </c>
      <c r="CL187" s="18">
        <v>0.92592592592592593</v>
      </c>
      <c r="CM187" s="18">
        <v>0.94444444444444442</v>
      </c>
      <c r="CN187" s="18">
        <v>0</v>
      </c>
      <c r="CO187" s="18">
        <v>0</v>
      </c>
      <c r="CP187" s="18">
        <v>-0.90497737556561098</v>
      </c>
      <c r="CQ187" s="18">
        <v>-0.67873303167420818</v>
      </c>
      <c r="CR187" s="18">
        <f t="shared" si="30"/>
        <v>1.7633136094674555</v>
      </c>
      <c r="CS187" s="18">
        <f t="shared" si="31"/>
        <v>1.8670379394361294</v>
      </c>
      <c r="CT187">
        <v>6.1784897025171599</v>
      </c>
      <c r="CU187">
        <v>58.581235697940464</v>
      </c>
      <c r="CV187">
        <v>22.425629290617799</v>
      </c>
      <c r="CW187">
        <v>11.212814645308899</v>
      </c>
      <c r="CX187">
        <v>1.6018306636155599</v>
      </c>
      <c r="CY187">
        <v>6.1784897025171599</v>
      </c>
      <c r="CZ187">
        <v>58.581235697940464</v>
      </c>
      <c r="DA187">
        <v>22.425629290617799</v>
      </c>
      <c r="DB187">
        <v>11.212814645308899</v>
      </c>
      <c r="DC187">
        <v>1.6018306636155599</v>
      </c>
      <c r="DD187">
        <v>5.9496567505720801</v>
      </c>
      <c r="DE187">
        <v>67.048054919908509</v>
      </c>
      <c r="DF187">
        <v>25.171624713958799</v>
      </c>
      <c r="DG187">
        <v>0</v>
      </c>
      <c r="DH187">
        <v>1.8306636155606399</v>
      </c>
      <c r="DI187">
        <v>5.9496567505720801</v>
      </c>
      <c r="DJ187">
        <v>68.649885583523997</v>
      </c>
      <c r="DK187">
        <v>23.569794050343202</v>
      </c>
      <c r="DL187">
        <v>0</v>
      </c>
      <c r="DM187">
        <v>1.8306636155606399</v>
      </c>
      <c r="DN187">
        <v>5.9496567505720801</v>
      </c>
      <c r="DO187">
        <v>68.649885583523997</v>
      </c>
      <c r="DP187">
        <v>23.569794050343202</v>
      </c>
      <c r="DQ187">
        <v>0</v>
      </c>
      <c r="DR187">
        <v>1.8306636155606399</v>
      </c>
      <c r="DS187" t="s">
        <v>312</v>
      </c>
      <c r="DT187" t="s">
        <v>313</v>
      </c>
      <c r="DU187">
        <v>1021</v>
      </c>
      <c r="DV187" t="s">
        <v>547</v>
      </c>
      <c r="DW187" t="s">
        <v>548</v>
      </c>
      <c r="DX187">
        <v>86</v>
      </c>
      <c r="DY187">
        <v>130</v>
      </c>
      <c r="DZ187">
        <v>216</v>
      </c>
      <c r="EA187">
        <v>606779</v>
      </c>
      <c r="EB187">
        <v>388178</v>
      </c>
      <c r="EC187">
        <v>994957</v>
      </c>
      <c r="ED187" t="s">
        <v>274</v>
      </c>
      <c r="EE187" t="s">
        <v>274</v>
      </c>
      <c r="EF187" t="s">
        <v>274</v>
      </c>
      <c r="EG187" t="s">
        <v>274</v>
      </c>
    </row>
    <row r="188" spans="1:137" ht="14.55" customHeight="1" x14ac:dyDescent="0.3">
      <c r="A188" t="s">
        <v>665</v>
      </c>
      <c r="B188">
        <v>6610</v>
      </c>
      <c r="C188" t="s">
        <v>666</v>
      </c>
      <c r="D188" t="s">
        <v>543</v>
      </c>
      <c r="E188" t="s">
        <v>645</v>
      </c>
      <c r="F188" t="s">
        <v>270</v>
      </c>
      <c r="G188" t="s">
        <v>646</v>
      </c>
      <c r="H188" s="3">
        <v>4650099.7298499998</v>
      </c>
      <c r="I188">
        <v>464</v>
      </c>
      <c r="J188" s="3">
        <v>465.00998299700001</v>
      </c>
      <c r="K188">
        <v>363</v>
      </c>
      <c r="L188">
        <v>494</v>
      </c>
      <c r="M188">
        <v>429.78731555051098</v>
      </c>
      <c r="N188">
        <v>32.6499556877895</v>
      </c>
      <c r="O188">
        <v>0</v>
      </c>
      <c r="P188">
        <v>18.756301879882798</v>
      </c>
      <c r="Q188">
        <v>4.4724674224853498</v>
      </c>
      <c r="R188">
        <v>2.7956809997558598</v>
      </c>
      <c r="S188" t="s">
        <v>647</v>
      </c>
      <c r="T188" t="s">
        <v>665</v>
      </c>
      <c r="U188" t="s">
        <v>666</v>
      </c>
      <c r="V188" t="s">
        <v>666</v>
      </c>
      <c r="W188" s="3">
        <v>791</v>
      </c>
      <c r="X188" s="3">
        <v>4660000</v>
      </c>
      <c r="Y188">
        <v>2</v>
      </c>
      <c r="Z188" s="3">
        <v>587</v>
      </c>
      <c r="AA188" s="3">
        <v>643</v>
      </c>
      <c r="AB188" s="3">
        <v>639</v>
      </c>
      <c r="AC188" s="3">
        <v>630</v>
      </c>
      <c r="AD188" s="3">
        <v>637</v>
      </c>
      <c r="AE188" s="3">
        <v>653</v>
      </c>
      <c r="AF188" s="3">
        <v>673</v>
      </c>
      <c r="AG188" s="3">
        <v>670</v>
      </c>
      <c r="AH188" s="3">
        <v>649</v>
      </c>
      <c r="AI188" s="3">
        <v>623</v>
      </c>
      <c r="AJ188" s="3">
        <v>657</v>
      </c>
      <c r="AK188" s="3">
        <v>683</v>
      </c>
      <c r="AL188" s="3">
        <v>679</v>
      </c>
      <c r="AM188" s="3">
        <v>766</v>
      </c>
      <c r="AN188" s="3">
        <v>787</v>
      </c>
      <c r="AO188" s="3">
        <v>799</v>
      </c>
      <c r="AP188" s="3">
        <v>791</v>
      </c>
      <c r="AQ188" s="3">
        <v>792</v>
      </c>
      <c r="AR188" s="4">
        <v>169.74248927038627</v>
      </c>
      <c r="AS188" s="5">
        <f t="shared" si="22"/>
        <v>1.192504258943782</v>
      </c>
      <c r="AT188" s="5">
        <f t="shared" si="23"/>
        <v>-6.9120442370831175E-2</v>
      </c>
      <c r="AU188" s="5">
        <f t="shared" si="24"/>
        <v>0.53208137715179971</v>
      </c>
      <c r="AV188" s="5">
        <f t="shared" si="25"/>
        <v>1.7533432392273403</v>
      </c>
      <c r="AW188" s="5">
        <f t="shared" si="26"/>
        <v>0.52109429802585427</v>
      </c>
      <c r="AX188" s="5">
        <f t="shared" si="27"/>
        <v>1.1893583724569639</v>
      </c>
      <c r="AY188" s="5">
        <f t="shared" si="28"/>
        <v>0.93926976380127991</v>
      </c>
      <c r="AZ188">
        <f t="shared" si="29"/>
        <v>4660000</v>
      </c>
      <c r="BA188">
        <v>0</v>
      </c>
      <c r="BB188">
        <v>10000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1840000</v>
      </c>
      <c r="BK188">
        <v>220000</v>
      </c>
      <c r="BL188">
        <v>0</v>
      </c>
      <c r="BM188">
        <v>0</v>
      </c>
      <c r="BN188">
        <v>0</v>
      </c>
      <c r="BO188">
        <v>2040000</v>
      </c>
      <c r="BP188">
        <v>550000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64</v>
      </c>
      <c r="CC188">
        <v>73</v>
      </c>
      <c r="CD188">
        <v>77</v>
      </c>
      <c r="CE188">
        <v>85</v>
      </c>
      <c r="CF188" s="17">
        <v>13.704496788008566</v>
      </c>
      <c r="CG188" s="17">
        <v>15.631691648822269</v>
      </c>
      <c r="CH188" s="17">
        <v>16.488222698072803</v>
      </c>
      <c r="CI188" s="17">
        <v>18.201284796573873</v>
      </c>
      <c r="CJ188" s="18">
        <v>1</v>
      </c>
      <c r="CK188" s="18">
        <v>1.140625</v>
      </c>
      <c r="CL188" s="18">
        <v>1.203125</v>
      </c>
      <c r="CM188" s="18">
        <v>1.328125</v>
      </c>
      <c r="CN188" s="18">
        <v>0</v>
      </c>
      <c r="CO188" s="18">
        <v>1.9271948608137044</v>
      </c>
      <c r="CP188" s="18">
        <v>2.7837259100642395</v>
      </c>
      <c r="CQ188" s="18">
        <v>4.4967880085653107</v>
      </c>
      <c r="CR188" s="18">
        <f t="shared" si="30"/>
        <v>1.3049403747870527</v>
      </c>
      <c r="CS188" s="18">
        <f t="shared" si="31"/>
        <v>0.98254334101613383</v>
      </c>
      <c r="CT188">
        <v>12.8755364806867</v>
      </c>
      <c r="CU188">
        <v>73.819742489270396</v>
      </c>
      <c r="CV188">
        <v>12.8755364806867</v>
      </c>
      <c r="CW188">
        <v>0</v>
      </c>
      <c r="CX188">
        <v>0.42918454935622302</v>
      </c>
      <c r="CY188">
        <v>12.8755364806867</v>
      </c>
      <c r="CZ188">
        <v>73.819742489270396</v>
      </c>
      <c r="DA188">
        <v>12.8755364806867</v>
      </c>
      <c r="DB188">
        <v>0</v>
      </c>
      <c r="DC188">
        <v>0.42918454935622302</v>
      </c>
      <c r="DD188">
        <v>0.21459227467811201</v>
      </c>
      <c r="DE188">
        <v>87.553648068669546</v>
      </c>
      <c r="DF188">
        <v>12.2317596566524</v>
      </c>
      <c r="DG188">
        <v>0</v>
      </c>
      <c r="DH188">
        <v>0</v>
      </c>
      <c r="DI188">
        <v>0.21459227467811201</v>
      </c>
      <c r="DJ188">
        <v>87.982832618025753</v>
      </c>
      <c r="DK188">
        <v>11.8025751072961</v>
      </c>
      <c r="DL188">
        <v>0</v>
      </c>
      <c r="DM188">
        <v>0</v>
      </c>
      <c r="DN188">
        <v>0.21459227467811201</v>
      </c>
      <c r="DO188">
        <v>87.982832618025753</v>
      </c>
      <c r="DP188">
        <v>11.8025751072961</v>
      </c>
      <c r="DQ188">
        <v>0</v>
      </c>
      <c r="DR188">
        <v>0</v>
      </c>
      <c r="DS188" t="s">
        <v>312</v>
      </c>
      <c r="DT188" t="s">
        <v>313</v>
      </c>
      <c r="DU188">
        <v>845</v>
      </c>
      <c r="DV188" t="s">
        <v>547</v>
      </c>
      <c r="DW188" t="s">
        <v>548</v>
      </c>
      <c r="DX188">
        <v>86</v>
      </c>
      <c r="DY188">
        <v>130</v>
      </c>
      <c r="DZ188">
        <v>216</v>
      </c>
      <c r="EA188">
        <v>606779</v>
      </c>
      <c r="EB188">
        <v>388178</v>
      </c>
      <c r="EC188">
        <v>994957</v>
      </c>
      <c r="ED188" t="s">
        <v>274</v>
      </c>
      <c r="EE188" t="s">
        <v>274</v>
      </c>
      <c r="EF188" t="s">
        <v>274</v>
      </c>
      <c r="EG188" t="s">
        <v>274</v>
      </c>
    </row>
    <row r="189" spans="1:137" ht="14.55" customHeight="1" x14ac:dyDescent="0.3">
      <c r="A189" t="s">
        <v>667</v>
      </c>
      <c r="B189">
        <v>6611</v>
      </c>
      <c r="C189" t="s">
        <v>668</v>
      </c>
      <c r="D189" t="s">
        <v>543</v>
      </c>
      <c r="E189" t="s">
        <v>645</v>
      </c>
      <c r="F189" t="s">
        <v>270</v>
      </c>
      <c r="G189" t="s">
        <v>646</v>
      </c>
      <c r="H189" s="3">
        <v>5380927.9734399999</v>
      </c>
      <c r="I189">
        <v>540</v>
      </c>
      <c r="J189" s="3">
        <v>538.09279718499999</v>
      </c>
      <c r="K189">
        <v>318</v>
      </c>
      <c r="L189">
        <v>443</v>
      </c>
      <c r="M189">
        <v>379.74938393297202</v>
      </c>
      <c r="N189">
        <v>29.3232823031801</v>
      </c>
      <c r="O189">
        <v>0</v>
      </c>
      <c r="P189">
        <v>37.239910125732401</v>
      </c>
      <c r="Q189">
        <v>5.8431420326232901</v>
      </c>
      <c r="R189">
        <v>4.6322388648986799</v>
      </c>
      <c r="S189" t="s">
        <v>647</v>
      </c>
      <c r="T189" t="s">
        <v>667</v>
      </c>
      <c r="U189" t="s">
        <v>668</v>
      </c>
      <c r="V189" t="s">
        <v>668</v>
      </c>
      <c r="W189" s="3">
        <v>1698</v>
      </c>
      <c r="X189" s="3">
        <v>5380000</v>
      </c>
      <c r="Y189">
        <v>3</v>
      </c>
      <c r="Z189" s="3">
        <v>547</v>
      </c>
      <c r="AA189" s="3">
        <v>655</v>
      </c>
      <c r="AB189" s="3">
        <v>877</v>
      </c>
      <c r="AC189" s="3">
        <v>1022</v>
      </c>
      <c r="AD189" s="3">
        <v>1081</v>
      </c>
      <c r="AE189" s="3">
        <v>1120</v>
      </c>
      <c r="AF189" s="3">
        <v>1117</v>
      </c>
      <c r="AG189" s="3">
        <v>1150</v>
      </c>
      <c r="AH189" s="3">
        <v>1134</v>
      </c>
      <c r="AI189" s="3">
        <v>1129</v>
      </c>
      <c r="AJ189" s="3">
        <v>1373</v>
      </c>
      <c r="AK189" s="3">
        <v>1519</v>
      </c>
      <c r="AL189" s="3">
        <v>1598</v>
      </c>
      <c r="AM189" s="3">
        <v>1647</v>
      </c>
      <c r="AN189" s="3">
        <v>1691</v>
      </c>
      <c r="AO189" s="3">
        <v>1686</v>
      </c>
      <c r="AP189" s="3">
        <v>1698</v>
      </c>
      <c r="AQ189" s="3">
        <v>1708</v>
      </c>
      <c r="AR189" s="4">
        <v>315.61338289962828</v>
      </c>
      <c r="AS189" s="5">
        <f t="shared" si="22"/>
        <v>2.4680073126142599</v>
      </c>
      <c r="AT189" s="5">
        <f t="shared" si="23"/>
        <v>3.7659033078880402</v>
      </c>
      <c r="AU189" s="5">
        <f t="shared" si="24"/>
        <v>2.7366020524515395</v>
      </c>
      <c r="AV189" s="5">
        <f t="shared" si="25"/>
        <v>5.2014324082363474</v>
      </c>
      <c r="AW189" s="5">
        <f t="shared" si="26"/>
        <v>3.5487686848048177</v>
      </c>
      <c r="AX189" s="5">
        <f t="shared" si="27"/>
        <v>4.6807297605473206</v>
      </c>
      <c r="AY189" s="5">
        <f t="shared" si="28"/>
        <v>5.6870398735115373</v>
      </c>
      <c r="AZ189">
        <f t="shared" si="29"/>
        <v>5410000</v>
      </c>
      <c r="BA189">
        <v>0</v>
      </c>
      <c r="BB189">
        <v>260000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1830000</v>
      </c>
      <c r="BK189">
        <v>0</v>
      </c>
      <c r="BL189">
        <v>0</v>
      </c>
      <c r="BM189">
        <v>260000</v>
      </c>
      <c r="BN189">
        <v>1280000</v>
      </c>
      <c r="BO189">
        <v>0</v>
      </c>
      <c r="BP189">
        <v>1610000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170000</v>
      </c>
      <c r="CA189">
        <v>0</v>
      </c>
      <c r="CB189">
        <v>46</v>
      </c>
      <c r="CC189">
        <v>52</v>
      </c>
      <c r="CD189">
        <v>63</v>
      </c>
      <c r="CE189">
        <v>65</v>
      </c>
      <c r="CF189" s="17">
        <v>8.5343228200371062</v>
      </c>
      <c r="CG189" s="17">
        <v>9.6474953617810755</v>
      </c>
      <c r="CH189" s="17">
        <v>11.688311688311687</v>
      </c>
      <c r="CI189" s="17">
        <v>12.059369202226346</v>
      </c>
      <c r="CJ189" s="18">
        <v>1</v>
      </c>
      <c r="CK189" s="18">
        <v>1.1304347826086956</v>
      </c>
      <c r="CL189" s="18">
        <v>1.3695652173913044</v>
      </c>
      <c r="CM189" s="18">
        <v>1.4130434782608696</v>
      </c>
      <c r="CN189" s="18">
        <v>0</v>
      </c>
      <c r="CO189" s="18">
        <v>1.1131725417439702</v>
      </c>
      <c r="CP189" s="18">
        <v>3.1539888682745829</v>
      </c>
      <c r="CQ189" s="18">
        <v>3.525046382189239</v>
      </c>
      <c r="CR189" s="18">
        <f t="shared" si="30"/>
        <v>3.0109689213893969</v>
      </c>
      <c r="CS189" s="18">
        <f t="shared" si="31"/>
        <v>2.1308395443678809</v>
      </c>
      <c r="CT189">
        <v>4.99075785582255</v>
      </c>
      <c r="CU189">
        <v>60.99815157116452</v>
      </c>
      <c r="CV189">
        <v>21.996303142329001</v>
      </c>
      <c r="CW189">
        <v>5.3604436229205197</v>
      </c>
      <c r="CX189">
        <v>6.6543438077634001</v>
      </c>
      <c r="CY189">
        <v>4.99075785582255</v>
      </c>
      <c r="CZ189">
        <v>60.99815157116452</v>
      </c>
      <c r="DA189">
        <v>21.996303142329001</v>
      </c>
      <c r="DB189">
        <v>5.3604436229205197</v>
      </c>
      <c r="DC189">
        <v>6.6543438077634001</v>
      </c>
      <c r="DD189">
        <v>4.8059149722735697</v>
      </c>
      <c r="DE189">
        <v>62.292051756007403</v>
      </c>
      <c r="DF189">
        <v>29.759704251386299</v>
      </c>
      <c r="DG189">
        <v>0</v>
      </c>
      <c r="DH189">
        <v>3.1423290203327201</v>
      </c>
      <c r="DI189">
        <v>4.8059149722735697</v>
      </c>
      <c r="DJ189">
        <v>62.292051756007467</v>
      </c>
      <c r="DK189">
        <v>29.759704251386299</v>
      </c>
      <c r="DL189">
        <v>0</v>
      </c>
      <c r="DM189">
        <v>3.1423290203327201</v>
      </c>
      <c r="DN189">
        <v>4.8059149722735697</v>
      </c>
      <c r="DO189">
        <v>62.292051756007467</v>
      </c>
      <c r="DP189">
        <v>29.759704251386299</v>
      </c>
      <c r="DQ189">
        <v>0</v>
      </c>
      <c r="DR189">
        <v>3.1423290203327201</v>
      </c>
      <c r="DS189" t="s">
        <v>312</v>
      </c>
      <c r="DT189" t="s">
        <v>313</v>
      </c>
      <c r="DU189">
        <v>1671</v>
      </c>
      <c r="DV189" t="s">
        <v>547</v>
      </c>
      <c r="DW189" t="s">
        <v>548</v>
      </c>
      <c r="DX189">
        <v>86</v>
      </c>
      <c r="DY189">
        <v>130</v>
      </c>
      <c r="DZ189">
        <v>216</v>
      </c>
      <c r="EA189">
        <v>606779</v>
      </c>
      <c r="EB189">
        <v>388178</v>
      </c>
      <c r="EC189">
        <v>994957</v>
      </c>
      <c r="ED189" t="s">
        <v>274</v>
      </c>
      <c r="EE189" t="s">
        <v>274</v>
      </c>
      <c r="EF189" t="s">
        <v>274</v>
      </c>
      <c r="EG189" t="s">
        <v>274</v>
      </c>
    </row>
    <row r="190" spans="1:137" ht="14.55" customHeight="1" x14ac:dyDescent="0.3">
      <c r="A190" t="s">
        <v>669</v>
      </c>
      <c r="B190">
        <v>6612</v>
      </c>
      <c r="C190" t="s">
        <v>670</v>
      </c>
      <c r="D190" t="s">
        <v>543</v>
      </c>
      <c r="E190" t="s">
        <v>645</v>
      </c>
      <c r="F190" t="s">
        <v>270</v>
      </c>
      <c r="G190" t="s">
        <v>646</v>
      </c>
      <c r="H190" s="3">
        <v>4140279.6963300002</v>
      </c>
      <c r="I190">
        <v>414</v>
      </c>
      <c r="J190" s="3">
        <v>414.027969633</v>
      </c>
      <c r="K190">
        <v>385</v>
      </c>
      <c r="L190">
        <v>448</v>
      </c>
      <c r="M190">
        <v>420.62240000000003</v>
      </c>
      <c r="N190">
        <v>9.3206597534723894</v>
      </c>
      <c r="O190">
        <v>0</v>
      </c>
      <c r="P190">
        <v>24.068872451782202</v>
      </c>
      <c r="Q190">
        <v>3.9319612979888898</v>
      </c>
      <c r="R190">
        <v>2.7216608524322501</v>
      </c>
      <c r="S190" t="s">
        <v>647</v>
      </c>
      <c r="T190" t="s">
        <v>669</v>
      </c>
      <c r="U190" t="s">
        <v>670</v>
      </c>
      <c r="V190" t="s">
        <v>670</v>
      </c>
      <c r="W190" s="3">
        <v>12504</v>
      </c>
      <c r="X190" s="3">
        <v>4140000</v>
      </c>
      <c r="Y190">
        <v>1</v>
      </c>
      <c r="Z190" s="3">
        <v>9249</v>
      </c>
      <c r="AA190" s="3">
        <v>9124</v>
      </c>
      <c r="AB190" s="3">
        <v>9610</v>
      </c>
      <c r="AC190" s="3">
        <v>10109</v>
      </c>
      <c r="AD190" s="3">
        <v>10113</v>
      </c>
      <c r="AE190" s="3">
        <v>10291</v>
      </c>
      <c r="AF190" s="3">
        <v>10342</v>
      </c>
      <c r="AG190" s="3">
        <v>10485</v>
      </c>
      <c r="AH190" s="3">
        <v>10337</v>
      </c>
      <c r="AI190" s="3">
        <v>10530</v>
      </c>
      <c r="AJ190" s="3">
        <v>10559</v>
      </c>
      <c r="AK190" s="3">
        <v>11105</v>
      </c>
      <c r="AL190" s="3">
        <v>11222</v>
      </c>
      <c r="AM190" s="3">
        <v>11489</v>
      </c>
      <c r="AN190" s="3">
        <v>11862</v>
      </c>
      <c r="AO190" s="3">
        <v>12215</v>
      </c>
      <c r="AP190" s="3">
        <v>12504</v>
      </c>
      <c r="AQ190" s="3">
        <v>12621</v>
      </c>
      <c r="AR190" s="4">
        <v>3020.289855072464</v>
      </c>
      <c r="AS190" s="5">
        <f t="shared" si="22"/>
        <v>-0.1689371823980971</v>
      </c>
      <c r="AT190" s="5">
        <f t="shared" si="23"/>
        <v>0.59184568171854446</v>
      </c>
      <c r="AU190" s="5">
        <f t="shared" si="24"/>
        <v>0.76170655567117596</v>
      </c>
      <c r="AV190" s="5">
        <f t="shared" si="25"/>
        <v>2.0905047379617092</v>
      </c>
      <c r="AW190" s="5">
        <f t="shared" si="26"/>
        <v>0.22959556836033146</v>
      </c>
      <c r="AX190" s="5">
        <f t="shared" si="27"/>
        <v>1.5057232049947971</v>
      </c>
      <c r="AY190" s="5">
        <f t="shared" si="28"/>
        <v>0.95116199559923209</v>
      </c>
      <c r="AZ190">
        <f t="shared" si="29"/>
        <v>4170000</v>
      </c>
      <c r="BA190">
        <v>0</v>
      </c>
      <c r="BB190">
        <v>3860000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130000</v>
      </c>
      <c r="BI190">
        <v>0</v>
      </c>
      <c r="BJ190">
        <v>110000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70000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325</v>
      </c>
      <c r="CC190">
        <v>338</v>
      </c>
      <c r="CD190">
        <v>348</v>
      </c>
      <c r="CE190">
        <v>356</v>
      </c>
      <c r="CF190" s="17">
        <v>78.502415458937207</v>
      </c>
      <c r="CG190" s="17">
        <v>81.642512077294683</v>
      </c>
      <c r="CH190" s="17">
        <v>84.05797101449275</v>
      </c>
      <c r="CI190" s="17">
        <v>85.990338164251213</v>
      </c>
      <c r="CJ190" s="18">
        <v>1</v>
      </c>
      <c r="CK190" s="18">
        <v>1.04</v>
      </c>
      <c r="CL190" s="18">
        <v>1.0707692307692307</v>
      </c>
      <c r="CM190" s="18">
        <v>1.0953846153846154</v>
      </c>
      <c r="CN190" s="18">
        <v>0</v>
      </c>
      <c r="CO190" s="18">
        <v>3.1400966183574881</v>
      </c>
      <c r="CP190" s="18">
        <v>5.5555555555555554</v>
      </c>
      <c r="CQ190" s="18">
        <v>7.4879227053140092</v>
      </c>
      <c r="CR190" s="18">
        <f t="shared" si="30"/>
        <v>1.2421883446859119</v>
      </c>
      <c r="CS190" s="18">
        <f t="shared" si="31"/>
        <v>1.1340202584913521</v>
      </c>
      <c r="CT190">
        <v>87.529976019184701</v>
      </c>
      <c r="CU190">
        <v>7.6738609112709799</v>
      </c>
      <c r="CV190">
        <v>4.7961630695443702</v>
      </c>
      <c r="CW190">
        <v>0</v>
      </c>
      <c r="CX190">
        <v>0</v>
      </c>
      <c r="CY190">
        <v>87.529976019184701</v>
      </c>
      <c r="CZ190">
        <v>7.6738609112709799</v>
      </c>
      <c r="DA190">
        <v>4.7961630695443702</v>
      </c>
      <c r="DB190">
        <v>0</v>
      </c>
      <c r="DC190">
        <v>0</v>
      </c>
      <c r="DD190">
        <v>95.923261390887248</v>
      </c>
      <c r="DE190">
        <v>2.3980815347721798</v>
      </c>
      <c r="DF190">
        <v>1.67865707434053</v>
      </c>
      <c r="DG190">
        <v>0</v>
      </c>
      <c r="DH190">
        <v>0</v>
      </c>
      <c r="DI190">
        <v>95.683453237410049</v>
      </c>
      <c r="DJ190">
        <v>2.6378896882494001</v>
      </c>
      <c r="DK190">
        <v>1.67865707434053</v>
      </c>
      <c r="DL190">
        <v>0</v>
      </c>
      <c r="DM190">
        <v>0</v>
      </c>
      <c r="DN190">
        <v>95.683453237410049</v>
      </c>
      <c r="DO190">
        <v>2.6378896882494001</v>
      </c>
      <c r="DP190">
        <v>1.67865707434053</v>
      </c>
      <c r="DQ190">
        <v>0</v>
      </c>
      <c r="DR190">
        <v>0</v>
      </c>
      <c r="DS190" t="s">
        <v>371</v>
      </c>
      <c r="DT190" t="s">
        <v>313</v>
      </c>
      <c r="DU190">
        <v>13261</v>
      </c>
      <c r="DV190" t="s">
        <v>547</v>
      </c>
      <c r="DW190" t="s">
        <v>548</v>
      </c>
      <c r="DX190">
        <v>86</v>
      </c>
      <c r="DY190">
        <v>130</v>
      </c>
      <c r="DZ190">
        <v>216</v>
      </c>
      <c r="EA190">
        <v>606779</v>
      </c>
      <c r="EB190">
        <v>388178</v>
      </c>
      <c r="EC190">
        <v>994957</v>
      </c>
      <c r="ED190" t="s">
        <v>274</v>
      </c>
      <c r="EE190" t="s">
        <v>274</v>
      </c>
      <c r="EF190" t="s">
        <v>274</v>
      </c>
      <c r="EG190" t="s">
        <v>274</v>
      </c>
    </row>
    <row r="191" spans="1:137" ht="14.55" customHeight="1" x14ac:dyDescent="0.3">
      <c r="A191" t="s">
        <v>671</v>
      </c>
      <c r="B191">
        <v>6613</v>
      </c>
      <c r="C191" t="s">
        <v>672</v>
      </c>
      <c r="D191" t="s">
        <v>543</v>
      </c>
      <c r="E191" t="s">
        <v>645</v>
      </c>
      <c r="F191" t="s">
        <v>270</v>
      </c>
      <c r="G191" t="s">
        <v>646</v>
      </c>
      <c r="H191" s="3">
        <v>1280736.40925</v>
      </c>
      <c r="I191">
        <v>125</v>
      </c>
      <c r="J191" s="3">
        <v>128.07364092500001</v>
      </c>
      <c r="K191">
        <v>397</v>
      </c>
      <c r="L191">
        <v>440</v>
      </c>
      <c r="M191">
        <v>420.97116374871302</v>
      </c>
      <c r="N191">
        <v>7.2233167895922499</v>
      </c>
      <c r="O191">
        <v>0</v>
      </c>
      <c r="P191">
        <v>15.5034084320068</v>
      </c>
      <c r="Q191">
        <v>3.8974566459655802</v>
      </c>
      <c r="R191">
        <v>2.2882306575775102</v>
      </c>
      <c r="S191" t="s">
        <v>647</v>
      </c>
      <c r="T191" t="s">
        <v>671</v>
      </c>
      <c r="U191" t="s">
        <v>672</v>
      </c>
      <c r="V191" t="s">
        <v>672</v>
      </c>
      <c r="W191" s="3">
        <v>8674</v>
      </c>
      <c r="X191" s="3">
        <v>1280000</v>
      </c>
      <c r="Y191">
        <v>1</v>
      </c>
      <c r="Z191" s="3">
        <v>5594</v>
      </c>
      <c r="AA191" s="3">
        <v>6150</v>
      </c>
      <c r="AB191" s="3">
        <v>6901</v>
      </c>
      <c r="AC191" s="3">
        <v>7692</v>
      </c>
      <c r="AD191" s="3">
        <v>7777</v>
      </c>
      <c r="AE191" s="3">
        <v>7841</v>
      </c>
      <c r="AF191" s="3">
        <v>7963</v>
      </c>
      <c r="AG191" s="3">
        <v>8052</v>
      </c>
      <c r="AH191" s="3">
        <v>8057</v>
      </c>
      <c r="AI191" s="3">
        <v>8072</v>
      </c>
      <c r="AJ191" s="3">
        <v>8080</v>
      </c>
      <c r="AK191" s="3">
        <v>8149</v>
      </c>
      <c r="AL191" s="3">
        <v>8472</v>
      </c>
      <c r="AM191" s="3">
        <v>8559</v>
      </c>
      <c r="AN191" s="3">
        <v>8708</v>
      </c>
      <c r="AO191" s="3">
        <v>8708</v>
      </c>
      <c r="AP191" s="3">
        <v>8674</v>
      </c>
      <c r="AQ191" s="3">
        <v>8791</v>
      </c>
      <c r="AR191" s="4">
        <v>6776.5625</v>
      </c>
      <c r="AS191" s="5">
        <f t="shared" si="22"/>
        <v>1.2424025741866285</v>
      </c>
      <c r="AT191" s="5">
        <f t="shared" si="23"/>
        <v>1.3568202348690155</v>
      </c>
      <c r="AU191" s="5">
        <f t="shared" si="24"/>
        <v>1.538907404723953</v>
      </c>
      <c r="AV191" s="5">
        <f t="shared" si="25"/>
        <v>0.8928795680020094</v>
      </c>
      <c r="AW191" s="5">
        <f t="shared" si="26"/>
        <v>1.3743717007718355</v>
      </c>
      <c r="AX191" s="5">
        <f t="shared" si="27"/>
        <v>1.2845964352992321</v>
      </c>
      <c r="AY191" s="5">
        <f t="shared" si="28"/>
        <v>1.4880808588352386</v>
      </c>
      <c r="AZ191">
        <f t="shared" si="29"/>
        <v>1240000</v>
      </c>
      <c r="BA191">
        <v>0</v>
      </c>
      <c r="BB191">
        <v>1180000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60000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99</v>
      </c>
      <c r="CC191">
        <v>106</v>
      </c>
      <c r="CD191">
        <v>111</v>
      </c>
      <c r="CE191">
        <v>113</v>
      </c>
      <c r="CF191" s="17">
        <v>78.571428571428569</v>
      </c>
      <c r="CG191" s="17">
        <v>84.126984126984127</v>
      </c>
      <c r="CH191" s="17">
        <v>88.095238095238088</v>
      </c>
      <c r="CI191" s="17">
        <v>89.682539682539684</v>
      </c>
      <c r="CJ191" s="18">
        <v>1</v>
      </c>
      <c r="CK191" s="18">
        <v>1.0707070707070707</v>
      </c>
      <c r="CL191" s="18">
        <v>1.1212121212121211</v>
      </c>
      <c r="CM191" s="18">
        <v>1.1414141414141414</v>
      </c>
      <c r="CN191" s="18">
        <v>0</v>
      </c>
      <c r="CO191" s="18">
        <v>5.5555555555555554</v>
      </c>
      <c r="CP191" s="18">
        <v>9.5238095238095237</v>
      </c>
      <c r="CQ191" s="18">
        <v>11.111111111111111</v>
      </c>
      <c r="CR191" s="18">
        <f t="shared" si="30"/>
        <v>1.5300321773328567</v>
      </c>
      <c r="CS191" s="18">
        <f t="shared" si="31"/>
        <v>1.3404706686367505</v>
      </c>
      <c r="CT191">
        <v>86.290322580645153</v>
      </c>
      <c r="CU191">
        <v>13.709677419354801</v>
      </c>
      <c r="CV191">
        <v>0</v>
      </c>
      <c r="CW191">
        <v>0</v>
      </c>
      <c r="CX191">
        <v>0</v>
      </c>
      <c r="CY191">
        <v>86.290322580645153</v>
      </c>
      <c r="CZ191">
        <v>13.709677419354801</v>
      </c>
      <c r="DA191">
        <v>0</v>
      </c>
      <c r="DB191">
        <v>0</v>
      </c>
      <c r="DC191">
        <v>0</v>
      </c>
      <c r="DD191">
        <v>93.548387096774206</v>
      </c>
      <c r="DE191">
        <v>6.4516129032258096</v>
      </c>
      <c r="DF191">
        <v>0</v>
      </c>
      <c r="DG191">
        <v>0</v>
      </c>
      <c r="DH191">
        <v>0</v>
      </c>
      <c r="DI191">
        <v>95.161290322580697</v>
      </c>
      <c r="DJ191">
        <v>4.8387096774193603</v>
      </c>
      <c r="DK191">
        <v>0</v>
      </c>
      <c r="DL191">
        <v>0</v>
      </c>
      <c r="DM191">
        <v>0</v>
      </c>
      <c r="DN191">
        <v>95.161290322580697</v>
      </c>
      <c r="DO191">
        <v>4.8387096774193603</v>
      </c>
      <c r="DP191">
        <v>0</v>
      </c>
      <c r="DQ191">
        <v>0</v>
      </c>
      <c r="DR191">
        <v>0</v>
      </c>
      <c r="DS191" t="s">
        <v>371</v>
      </c>
      <c r="DT191" t="s">
        <v>313</v>
      </c>
      <c r="DU191">
        <v>8836</v>
      </c>
      <c r="DV191" t="s">
        <v>547</v>
      </c>
      <c r="DW191" t="s">
        <v>548</v>
      </c>
      <c r="DX191">
        <v>86</v>
      </c>
      <c r="DY191">
        <v>130</v>
      </c>
      <c r="DZ191">
        <v>216</v>
      </c>
      <c r="EA191">
        <v>606779</v>
      </c>
      <c r="EB191">
        <v>388178</v>
      </c>
      <c r="EC191">
        <v>994957</v>
      </c>
      <c r="ED191" t="s">
        <v>274</v>
      </c>
      <c r="EE191" t="s">
        <v>274</v>
      </c>
      <c r="EF191" t="s">
        <v>274</v>
      </c>
      <c r="EG191" t="s">
        <v>274</v>
      </c>
    </row>
    <row r="192" spans="1:137" ht="14.55" customHeight="1" x14ac:dyDescent="0.3">
      <c r="A192" t="s">
        <v>673</v>
      </c>
      <c r="B192">
        <v>6614</v>
      </c>
      <c r="C192" t="s">
        <v>674</v>
      </c>
      <c r="D192" t="s">
        <v>543</v>
      </c>
      <c r="E192" t="s">
        <v>645</v>
      </c>
      <c r="F192" t="s">
        <v>270</v>
      </c>
      <c r="G192" t="s">
        <v>646</v>
      </c>
      <c r="H192" s="3">
        <v>3908921.4201500001</v>
      </c>
      <c r="I192">
        <v>387</v>
      </c>
      <c r="J192" s="3">
        <v>390.892142014</v>
      </c>
      <c r="K192">
        <v>411</v>
      </c>
      <c r="L192">
        <v>488</v>
      </c>
      <c r="M192">
        <v>441.06533513879498</v>
      </c>
      <c r="N192">
        <v>17.417106027381902</v>
      </c>
      <c r="O192">
        <v>0</v>
      </c>
      <c r="P192">
        <v>14.6639108657837</v>
      </c>
      <c r="Q192">
        <v>3.8257539272308398</v>
      </c>
      <c r="R192">
        <v>2.2551000118255602</v>
      </c>
      <c r="S192" t="s">
        <v>647</v>
      </c>
      <c r="T192" t="s">
        <v>673</v>
      </c>
      <c r="U192" t="s">
        <v>674</v>
      </c>
      <c r="V192" t="s">
        <v>674</v>
      </c>
      <c r="W192" s="3">
        <v>1188</v>
      </c>
      <c r="X192" s="3">
        <v>3910000</v>
      </c>
      <c r="Y192">
        <v>2</v>
      </c>
      <c r="Z192" s="3">
        <v>724</v>
      </c>
      <c r="AA192" s="3">
        <v>842</v>
      </c>
      <c r="AB192" s="3">
        <v>967</v>
      </c>
      <c r="AC192" s="3">
        <v>935</v>
      </c>
      <c r="AD192" s="3">
        <v>979</v>
      </c>
      <c r="AE192" s="3">
        <v>953</v>
      </c>
      <c r="AF192" s="3">
        <v>964</v>
      </c>
      <c r="AG192" s="3">
        <v>961</v>
      </c>
      <c r="AH192" s="3">
        <v>1066</v>
      </c>
      <c r="AI192" s="3">
        <v>1085</v>
      </c>
      <c r="AJ192" s="3">
        <v>1056</v>
      </c>
      <c r="AK192" s="3">
        <v>1104</v>
      </c>
      <c r="AL192" s="3">
        <v>1139</v>
      </c>
      <c r="AM192" s="3">
        <v>1115</v>
      </c>
      <c r="AN192" s="3">
        <v>1149</v>
      </c>
      <c r="AO192" s="3">
        <v>1179</v>
      </c>
      <c r="AP192" s="3">
        <v>1188</v>
      </c>
      <c r="AQ192" s="3">
        <v>1182</v>
      </c>
      <c r="AR192" s="4">
        <v>303.83631713554985</v>
      </c>
      <c r="AS192" s="5">
        <f t="shared" si="22"/>
        <v>2.0372928176795582</v>
      </c>
      <c r="AT192" s="5">
        <f t="shared" si="23"/>
        <v>1.6495117445236209</v>
      </c>
      <c r="AU192" s="5">
        <f t="shared" si="24"/>
        <v>-3.1023784901758014E-2</v>
      </c>
      <c r="AV192" s="5">
        <f t="shared" si="25"/>
        <v>2.3236514522821579</v>
      </c>
      <c r="AW192" s="5">
        <f t="shared" si="26"/>
        <v>1.9743256418589534</v>
      </c>
      <c r="AX192" s="5">
        <f t="shared" si="27"/>
        <v>1.1427094105480868</v>
      </c>
      <c r="AY192" s="5">
        <f t="shared" si="28"/>
        <v>1.7321188591906824</v>
      </c>
      <c r="AZ192">
        <f t="shared" si="29"/>
        <v>3910000</v>
      </c>
      <c r="BA192">
        <v>0</v>
      </c>
      <c r="BB192">
        <v>420000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1330000</v>
      </c>
      <c r="BK192">
        <v>170000</v>
      </c>
      <c r="BL192">
        <v>0</v>
      </c>
      <c r="BM192">
        <v>0</v>
      </c>
      <c r="BN192">
        <v>1990000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52</v>
      </c>
      <c r="CC192">
        <v>63</v>
      </c>
      <c r="CD192">
        <v>64</v>
      </c>
      <c r="CE192">
        <v>74</v>
      </c>
      <c r="CF192" s="17">
        <v>13.26530612244898</v>
      </c>
      <c r="CG192" s="17">
        <v>16.071428571428573</v>
      </c>
      <c r="CH192" s="17">
        <v>16.326530612244898</v>
      </c>
      <c r="CI192" s="17">
        <v>18.877551020408163</v>
      </c>
      <c r="CJ192" s="18">
        <v>1</v>
      </c>
      <c r="CK192" s="18">
        <v>1.2115384615384615</v>
      </c>
      <c r="CL192" s="18">
        <v>1.2307692307692308</v>
      </c>
      <c r="CM192" s="18">
        <v>1.4230769230769231</v>
      </c>
      <c r="CN192" s="18">
        <v>0</v>
      </c>
      <c r="CO192" s="18">
        <v>2.806122448979592</v>
      </c>
      <c r="CP192" s="18">
        <v>3.0612244897959182</v>
      </c>
      <c r="CQ192" s="18">
        <v>5.6122448979591839</v>
      </c>
      <c r="CR192" s="18">
        <f t="shared" si="30"/>
        <v>1.5400552486187846</v>
      </c>
      <c r="CS192" s="18">
        <f t="shared" si="31"/>
        <v>1.0822009855159027</v>
      </c>
      <c r="CT192">
        <v>1.79028132992327</v>
      </c>
      <c r="CU192">
        <v>98.209718670076711</v>
      </c>
      <c r="CV192">
        <v>0</v>
      </c>
      <c r="CW192">
        <v>0</v>
      </c>
      <c r="CX192">
        <v>0</v>
      </c>
      <c r="CY192">
        <v>1.79028132992327</v>
      </c>
      <c r="CZ192">
        <v>98.209718670076711</v>
      </c>
      <c r="DA192">
        <v>0</v>
      </c>
      <c r="DB192">
        <v>0</v>
      </c>
      <c r="DC192">
        <v>0</v>
      </c>
      <c r="DD192">
        <v>10.7416879795396</v>
      </c>
      <c r="DE192">
        <v>89.258312020460323</v>
      </c>
      <c r="DF192">
        <v>0</v>
      </c>
      <c r="DG192">
        <v>0</v>
      </c>
      <c r="DH192">
        <v>0</v>
      </c>
      <c r="DI192">
        <v>10.7416879795396</v>
      </c>
      <c r="DJ192">
        <v>89.258312020460323</v>
      </c>
      <c r="DK192">
        <v>0</v>
      </c>
      <c r="DL192">
        <v>0</v>
      </c>
      <c r="DM192">
        <v>0</v>
      </c>
      <c r="DN192">
        <v>10.7416879795396</v>
      </c>
      <c r="DO192">
        <v>89.258312020460323</v>
      </c>
      <c r="DP192">
        <v>0</v>
      </c>
      <c r="DQ192">
        <v>0</v>
      </c>
      <c r="DR192">
        <v>0</v>
      </c>
      <c r="DS192" t="s">
        <v>312</v>
      </c>
      <c r="DT192" t="s">
        <v>313</v>
      </c>
      <c r="DU192">
        <v>1222</v>
      </c>
      <c r="DV192" t="s">
        <v>547</v>
      </c>
      <c r="DW192" t="s">
        <v>548</v>
      </c>
      <c r="DX192">
        <v>86</v>
      </c>
      <c r="DY192">
        <v>130</v>
      </c>
      <c r="DZ192">
        <v>216</v>
      </c>
      <c r="EA192">
        <v>606779</v>
      </c>
      <c r="EB192">
        <v>388178</v>
      </c>
      <c r="EC192">
        <v>994957</v>
      </c>
      <c r="ED192" t="s">
        <v>274</v>
      </c>
      <c r="EE192" t="s">
        <v>274</v>
      </c>
      <c r="EF192" t="s">
        <v>274</v>
      </c>
      <c r="EG192" t="s">
        <v>274</v>
      </c>
    </row>
    <row r="193" spans="1:137" ht="14.55" customHeight="1" x14ac:dyDescent="0.3">
      <c r="A193" t="s">
        <v>675</v>
      </c>
      <c r="B193">
        <v>6615</v>
      </c>
      <c r="C193" t="s">
        <v>676</v>
      </c>
      <c r="D193" t="s">
        <v>543</v>
      </c>
      <c r="E193" t="s">
        <v>645</v>
      </c>
      <c r="F193" t="s">
        <v>270</v>
      </c>
      <c r="G193" t="s">
        <v>646</v>
      </c>
      <c r="H193" s="3">
        <v>6886825.1931299996</v>
      </c>
      <c r="I193">
        <v>687</v>
      </c>
      <c r="J193" s="3">
        <v>688.68251857300004</v>
      </c>
      <c r="K193">
        <v>396</v>
      </c>
      <c r="L193">
        <v>499</v>
      </c>
      <c r="M193">
        <v>442.46233566836202</v>
      </c>
      <c r="N193">
        <v>18.397910420347301</v>
      </c>
      <c r="O193">
        <v>0</v>
      </c>
      <c r="P193">
        <v>23.0611362457275</v>
      </c>
      <c r="Q193">
        <v>4.3504605293273899</v>
      </c>
      <c r="R193">
        <v>2.9603505134582502</v>
      </c>
      <c r="S193" t="s">
        <v>647</v>
      </c>
      <c r="T193" t="s">
        <v>675</v>
      </c>
      <c r="U193" t="s">
        <v>676</v>
      </c>
      <c r="V193" t="s">
        <v>676</v>
      </c>
      <c r="W193" s="3">
        <v>1709</v>
      </c>
      <c r="X193" s="3">
        <v>6890000</v>
      </c>
      <c r="Y193">
        <v>2</v>
      </c>
      <c r="Z193" s="3">
        <v>564</v>
      </c>
      <c r="AA193" s="3">
        <v>986</v>
      </c>
      <c r="AB193" s="3">
        <v>1242</v>
      </c>
      <c r="AC193" s="3">
        <v>1520</v>
      </c>
      <c r="AD193" s="3">
        <v>1576</v>
      </c>
      <c r="AE193" s="3">
        <v>1607</v>
      </c>
      <c r="AF193" s="3">
        <v>1595</v>
      </c>
      <c r="AG193" s="3">
        <v>1652</v>
      </c>
      <c r="AH193" s="3">
        <v>1678</v>
      </c>
      <c r="AI193" s="3">
        <v>1652</v>
      </c>
      <c r="AJ193" s="3">
        <v>1653</v>
      </c>
      <c r="AK193" s="3">
        <v>1675</v>
      </c>
      <c r="AL193" s="3">
        <v>1665</v>
      </c>
      <c r="AM193" s="3">
        <v>1671</v>
      </c>
      <c r="AN193" s="3">
        <v>1687</v>
      </c>
      <c r="AO193" s="3">
        <v>1713</v>
      </c>
      <c r="AP193" s="3">
        <v>1709</v>
      </c>
      <c r="AQ193" s="3">
        <v>1686</v>
      </c>
      <c r="AR193" s="4">
        <v>248.04063860667634</v>
      </c>
      <c r="AS193" s="5">
        <f t="shared" si="22"/>
        <v>9.3528368794326244</v>
      </c>
      <c r="AT193" s="5">
        <f t="shared" si="23"/>
        <v>2.8848320937570433</v>
      </c>
      <c r="AU193" s="5">
        <f t="shared" si="24"/>
        <v>2.8421900161030593</v>
      </c>
      <c r="AV193" s="5">
        <f t="shared" si="25"/>
        <v>0.71473354231974928</v>
      </c>
      <c r="AW193" s="5">
        <f t="shared" si="26"/>
        <v>7.07133917396746</v>
      </c>
      <c r="AX193" s="5">
        <f t="shared" si="27"/>
        <v>1.8800322061191626</v>
      </c>
      <c r="AY193" s="5">
        <f t="shared" si="28"/>
        <v>5.4868698485719767</v>
      </c>
      <c r="AZ193">
        <f t="shared" si="29"/>
        <v>6890000</v>
      </c>
      <c r="BA193">
        <v>0</v>
      </c>
      <c r="BB193">
        <v>390000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4720000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1000000</v>
      </c>
      <c r="BQ193">
        <v>50000</v>
      </c>
      <c r="BR193">
        <v>730000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49</v>
      </c>
      <c r="CC193">
        <v>61</v>
      </c>
      <c r="CD193">
        <v>71</v>
      </c>
      <c r="CE193">
        <v>78</v>
      </c>
      <c r="CF193" s="17">
        <v>7.1428571428571423</v>
      </c>
      <c r="CG193" s="17">
        <v>8.8921282798833818</v>
      </c>
      <c r="CH193" s="17">
        <v>10.349854227405247</v>
      </c>
      <c r="CI193" s="17">
        <v>11.370262390670554</v>
      </c>
      <c r="CJ193" s="18">
        <v>1</v>
      </c>
      <c r="CK193" s="18">
        <v>1.2448979591836735</v>
      </c>
      <c r="CL193" s="18">
        <v>1.4489795918367347</v>
      </c>
      <c r="CM193" s="18">
        <v>1.5918367346938775</v>
      </c>
      <c r="CN193" s="18">
        <v>0</v>
      </c>
      <c r="CO193" s="18">
        <v>1.749271137026239</v>
      </c>
      <c r="CP193" s="18">
        <v>3.2069970845481048</v>
      </c>
      <c r="CQ193" s="18">
        <v>4.2274052478134108</v>
      </c>
      <c r="CR193" s="18">
        <f t="shared" si="30"/>
        <v>2.9627659574468086</v>
      </c>
      <c r="CS193" s="18">
        <f t="shared" si="31"/>
        <v>1.8612247681396619</v>
      </c>
      <c r="CT193">
        <v>0.72568940493468803</v>
      </c>
      <c r="CU193">
        <v>74.455732946299008</v>
      </c>
      <c r="CV193">
        <v>24.818577648766301</v>
      </c>
      <c r="CW193">
        <v>0</v>
      </c>
      <c r="CX193">
        <v>0</v>
      </c>
      <c r="CY193">
        <v>0.87082728592162606</v>
      </c>
      <c r="CZ193">
        <v>74.310595065312</v>
      </c>
      <c r="DA193">
        <v>24.818577648766301</v>
      </c>
      <c r="DB193">
        <v>0</v>
      </c>
      <c r="DC193">
        <v>0</v>
      </c>
      <c r="DD193">
        <v>4.2089985486211896</v>
      </c>
      <c r="DE193">
        <v>69.375907111756149</v>
      </c>
      <c r="DF193">
        <v>26.415094339622598</v>
      </c>
      <c r="DG193">
        <v>0</v>
      </c>
      <c r="DH193">
        <v>0</v>
      </c>
      <c r="DI193">
        <v>5.6603773584905701</v>
      </c>
      <c r="DJ193">
        <v>68.505079825834599</v>
      </c>
      <c r="DK193">
        <v>25.834542815674901</v>
      </c>
      <c r="DL193">
        <v>0</v>
      </c>
      <c r="DM193">
        <v>0</v>
      </c>
      <c r="DN193">
        <v>5.6603773584905701</v>
      </c>
      <c r="DO193">
        <v>68.505079825834599</v>
      </c>
      <c r="DP193">
        <v>25.834542815674901</v>
      </c>
      <c r="DQ193">
        <v>0</v>
      </c>
      <c r="DR193">
        <v>0</v>
      </c>
      <c r="DS193" t="s">
        <v>312</v>
      </c>
      <c r="DT193" t="s">
        <v>313</v>
      </c>
      <c r="DU193">
        <v>1727</v>
      </c>
      <c r="DV193" t="s">
        <v>547</v>
      </c>
      <c r="DW193" t="s">
        <v>548</v>
      </c>
      <c r="DX193">
        <v>86</v>
      </c>
      <c r="DY193">
        <v>130</v>
      </c>
      <c r="DZ193">
        <v>216</v>
      </c>
      <c r="EA193">
        <v>606779</v>
      </c>
      <c r="EB193">
        <v>388178</v>
      </c>
      <c r="EC193">
        <v>994957</v>
      </c>
      <c r="ED193" t="s">
        <v>274</v>
      </c>
      <c r="EE193" t="s">
        <v>274</v>
      </c>
      <c r="EF193" t="s">
        <v>274</v>
      </c>
      <c r="EG193" t="s">
        <v>274</v>
      </c>
    </row>
    <row r="194" spans="1:137" ht="14.55" customHeight="1" x14ac:dyDescent="0.3">
      <c r="A194" t="s">
        <v>677</v>
      </c>
      <c r="B194">
        <v>6616</v>
      </c>
      <c r="C194" t="s">
        <v>678</v>
      </c>
      <c r="D194" t="s">
        <v>543</v>
      </c>
      <c r="E194" t="s">
        <v>645</v>
      </c>
      <c r="F194" t="s">
        <v>270</v>
      </c>
      <c r="G194" t="s">
        <v>646</v>
      </c>
      <c r="H194" s="3">
        <v>6118344.9293</v>
      </c>
      <c r="I194">
        <v>608</v>
      </c>
      <c r="J194" s="3">
        <v>611.83449293000001</v>
      </c>
      <c r="K194">
        <v>371</v>
      </c>
      <c r="L194">
        <v>476</v>
      </c>
      <c r="M194">
        <v>410.66605385530403</v>
      </c>
      <c r="N194">
        <v>21.508908710596</v>
      </c>
      <c r="O194">
        <v>0</v>
      </c>
      <c r="P194">
        <v>16.919509887695298</v>
      </c>
      <c r="Q194">
        <v>3.5771868228912398</v>
      </c>
      <c r="R194">
        <v>2.1738395690918</v>
      </c>
      <c r="S194" t="s">
        <v>647</v>
      </c>
      <c r="T194" t="s">
        <v>677</v>
      </c>
      <c r="U194" t="s">
        <v>678</v>
      </c>
      <c r="V194" t="s">
        <v>678</v>
      </c>
      <c r="W194" s="3">
        <v>8299</v>
      </c>
      <c r="X194" s="3">
        <v>6120000</v>
      </c>
      <c r="Y194">
        <v>2</v>
      </c>
      <c r="Z194" s="3">
        <v>4766</v>
      </c>
      <c r="AA194" s="3">
        <v>4928</v>
      </c>
      <c r="AB194" s="3">
        <v>6118</v>
      </c>
      <c r="AC194" s="3">
        <v>7190</v>
      </c>
      <c r="AD194" s="3">
        <v>7414</v>
      </c>
      <c r="AE194" s="3">
        <v>7528</v>
      </c>
      <c r="AF194" s="3">
        <v>7578</v>
      </c>
      <c r="AG194" s="3">
        <v>7688</v>
      </c>
      <c r="AH194" s="3">
        <v>7528</v>
      </c>
      <c r="AI194" s="3">
        <v>7519</v>
      </c>
      <c r="AJ194" s="3">
        <v>7570</v>
      </c>
      <c r="AK194" s="3">
        <v>7819</v>
      </c>
      <c r="AL194" s="3">
        <v>7998</v>
      </c>
      <c r="AM194" s="3">
        <v>8067</v>
      </c>
      <c r="AN194" s="3">
        <v>8126</v>
      </c>
      <c r="AO194" s="3">
        <v>8204</v>
      </c>
      <c r="AP194" s="3">
        <v>8299</v>
      </c>
      <c r="AQ194" s="3">
        <v>8445</v>
      </c>
      <c r="AR194" s="4">
        <v>1356.045751633987</v>
      </c>
      <c r="AS194" s="5">
        <f t="shared" si="22"/>
        <v>0.42488459924464961</v>
      </c>
      <c r="AT194" s="5">
        <f t="shared" si="23"/>
        <v>2.683080808080808</v>
      </c>
      <c r="AU194" s="5">
        <f t="shared" si="24"/>
        <v>2.3864007845701209</v>
      </c>
      <c r="AV194" s="5">
        <f t="shared" si="25"/>
        <v>0.95143837424122457</v>
      </c>
      <c r="AW194" s="5">
        <f t="shared" si="26"/>
        <v>1.6686825800399891</v>
      </c>
      <c r="AX194" s="5">
        <f t="shared" si="27"/>
        <v>1.7824452435436418</v>
      </c>
      <c r="AY194" s="5">
        <f t="shared" si="28"/>
        <v>2.0034932120538498</v>
      </c>
      <c r="AZ194">
        <f t="shared" si="29"/>
        <v>6090000</v>
      </c>
      <c r="BA194">
        <v>0</v>
      </c>
      <c r="BB194">
        <v>3600000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2170000</v>
      </c>
      <c r="BK194">
        <v>320000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300</v>
      </c>
      <c r="CC194">
        <v>329</v>
      </c>
      <c r="CD194">
        <v>370</v>
      </c>
      <c r="CE194">
        <v>381</v>
      </c>
      <c r="CF194" s="17">
        <v>48.859934853420192</v>
      </c>
      <c r="CG194" s="17">
        <v>53.583061889250814</v>
      </c>
      <c r="CH194" s="17">
        <v>60.260586319218248</v>
      </c>
      <c r="CI194" s="17">
        <v>62.052117263843655</v>
      </c>
      <c r="CJ194" s="18">
        <v>1</v>
      </c>
      <c r="CK194" s="18">
        <v>1.0966666666666667</v>
      </c>
      <c r="CL194" s="18">
        <v>1.2333333333333334</v>
      </c>
      <c r="CM194" s="18">
        <v>1.27</v>
      </c>
      <c r="CN194" s="18">
        <v>0</v>
      </c>
      <c r="CO194" s="18">
        <v>4.7231270358306192</v>
      </c>
      <c r="CP194" s="18">
        <v>11.400651465798045</v>
      </c>
      <c r="CQ194" s="18">
        <v>13.192182410423452</v>
      </c>
      <c r="CR194" s="18">
        <f t="shared" si="30"/>
        <v>1.6926143516575745</v>
      </c>
      <c r="CS194" s="18">
        <f t="shared" si="31"/>
        <v>1.3327672060295861</v>
      </c>
      <c r="CT194">
        <v>59.441707717569798</v>
      </c>
      <c r="CU194">
        <v>40.394088669950776</v>
      </c>
      <c r="CV194">
        <v>0</v>
      </c>
      <c r="CW194">
        <v>0</v>
      </c>
      <c r="CX194">
        <v>0.16420361247947499</v>
      </c>
      <c r="CY194">
        <v>60.755336617405597</v>
      </c>
      <c r="CZ194">
        <v>39.080459770114977</v>
      </c>
      <c r="DA194">
        <v>0</v>
      </c>
      <c r="DB194">
        <v>0</v>
      </c>
      <c r="DC194">
        <v>0.16420361247947499</v>
      </c>
      <c r="DD194">
        <v>58.292282430213497</v>
      </c>
      <c r="DE194">
        <v>41.707717569786595</v>
      </c>
      <c r="DF194">
        <v>0</v>
      </c>
      <c r="DG194">
        <v>0</v>
      </c>
      <c r="DH194">
        <v>0</v>
      </c>
      <c r="DI194">
        <v>59.113300492610897</v>
      </c>
      <c r="DJ194">
        <v>40.886699507389196</v>
      </c>
      <c r="DK194">
        <v>0</v>
      </c>
      <c r="DL194">
        <v>0</v>
      </c>
      <c r="DM194">
        <v>0</v>
      </c>
      <c r="DN194">
        <v>59.113300492610897</v>
      </c>
      <c r="DO194">
        <v>40.886699507389196</v>
      </c>
      <c r="DP194">
        <v>0</v>
      </c>
      <c r="DQ194">
        <v>0</v>
      </c>
      <c r="DR194">
        <v>0</v>
      </c>
      <c r="DS194" t="s">
        <v>371</v>
      </c>
      <c r="DT194" t="s">
        <v>313</v>
      </c>
      <c r="DU194">
        <v>8496</v>
      </c>
      <c r="DV194" t="s">
        <v>547</v>
      </c>
      <c r="DW194" t="s">
        <v>548</v>
      </c>
      <c r="DX194">
        <v>86</v>
      </c>
      <c r="DY194">
        <v>130</v>
      </c>
      <c r="DZ194">
        <v>216</v>
      </c>
      <c r="EA194">
        <v>606779</v>
      </c>
      <c r="EB194">
        <v>388178</v>
      </c>
      <c r="EC194">
        <v>994957</v>
      </c>
      <c r="ED194" t="s">
        <v>274</v>
      </c>
      <c r="EE194" t="s">
        <v>274</v>
      </c>
      <c r="EF194" t="s">
        <v>274</v>
      </c>
      <c r="EG194" t="s">
        <v>274</v>
      </c>
    </row>
    <row r="195" spans="1:137" ht="14.55" customHeight="1" x14ac:dyDescent="0.3">
      <c r="A195" t="s">
        <v>679</v>
      </c>
      <c r="B195">
        <v>6617</v>
      </c>
      <c r="C195" t="s">
        <v>680</v>
      </c>
      <c r="D195" t="s">
        <v>543</v>
      </c>
      <c r="E195" t="s">
        <v>645</v>
      </c>
      <c r="F195" t="s">
        <v>270</v>
      </c>
      <c r="G195" t="s">
        <v>646</v>
      </c>
      <c r="H195" s="3">
        <v>3653965.4833800001</v>
      </c>
      <c r="I195">
        <v>363</v>
      </c>
      <c r="J195" s="3">
        <v>365.396548338</v>
      </c>
      <c r="K195">
        <v>370</v>
      </c>
      <c r="L195">
        <v>501</v>
      </c>
      <c r="M195">
        <v>431.36284470246699</v>
      </c>
      <c r="N195">
        <v>27.051341789888301</v>
      </c>
      <c r="O195">
        <v>0</v>
      </c>
      <c r="P195">
        <v>21.2869987487793</v>
      </c>
      <c r="Q195">
        <v>5.9955863952636701</v>
      </c>
      <c r="R195">
        <v>3.4236376285553001</v>
      </c>
      <c r="S195" t="s">
        <v>647</v>
      </c>
      <c r="T195" t="s">
        <v>679</v>
      </c>
      <c r="U195" t="s">
        <v>680</v>
      </c>
      <c r="V195" t="s">
        <v>680</v>
      </c>
      <c r="W195" s="3">
        <v>5598</v>
      </c>
      <c r="X195" s="3">
        <v>3650000</v>
      </c>
      <c r="Y195">
        <v>2</v>
      </c>
      <c r="Z195" s="3">
        <v>3524</v>
      </c>
      <c r="AA195" s="3">
        <v>3858</v>
      </c>
      <c r="AB195" s="3">
        <v>4691</v>
      </c>
      <c r="AC195" s="3">
        <v>4860</v>
      </c>
      <c r="AD195" s="3">
        <v>4926</v>
      </c>
      <c r="AE195" s="3">
        <v>4926</v>
      </c>
      <c r="AF195" s="3">
        <v>4905</v>
      </c>
      <c r="AG195" s="3">
        <v>4935</v>
      </c>
      <c r="AH195" s="3">
        <v>4939</v>
      </c>
      <c r="AI195" s="3">
        <v>4830</v>
      </c>
      <c r="AJ195" s="3">
        <v>4981</v>
      </c>
      <c r="AK195" s="3">
        <v>5098</v>
      </c>
      <c r="AL195" s="3">
        <v>5500</v>
      </c>
      <c r="AM195" s="3">
        <v>5461</v>
      </c>
      <c r="AN195" s="3">
        <v>5531</v>
      </c>
      <c r="AO195" s="3">
        <v>5574</v>
      </c>
      <c r="AP195" s="3">
        <v>5598</v>
      </c>
      <c r="AQ195" s="3">
        <v>5866</v>
      </c>
      <c r="AR195" s="4">
        <v>1533.6986301369864</v>
      </c>
      <c r="AS195" s="5">
        <f t="shared" si="22"/>
        <v>1.184733257661748</v>
      </c>
      <c r="AT195" s="5">
        <f t="shared" si="23"/>
        <v>2.3990553539542652</v>
      </c>
      <c r="AU195" s="5">
        <f t="shared" si="24"/>
        <v>0.45619270944361545</v>
      </c>
      <c r="AV195" s="5">
        <f t="shared" si="25"/>
        <v>1.4128440366972477</v>
      </c>
      <c r="AW195" s="5">
        <f t="shared" si="26"/>
        <v>1.9479869132670093</v>
      </c>
      <c r="AX195" s="5">
        <f t="shared" si="27"/>
        <v>0.96674483052654014</v>
      </c>
      <c r="AY195" s="5">
        <f t="shared" si="28"/>
        <v>1.590637175200172</v>
      </c>
      <c r="AZ195">
        <f t="shared" si="29"/>
        <v>3630000</v>
      </c>
      <c r="BA195">
        <v>0</v>
      </c>
      <c r="BB195">
        <v>2740000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40000</v>
      </c>
      <c r="BI195">
        <v>50000</v>
      </c>
      <c r="BJ195">
        <v>0</v>
      </c>
      <c r="BK195">
        <v>0</v>
      </c>
      <c r="BL195">
        <v>0</v>
      </c>
      <c r="BM195">
        <v>0</v>
      </c>
      <c r="BN195">
        <v>800000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252</v>
      </c>
      <c r="CC195">
        <v>275</v>
      </c>
      <c r="CD195">
        <v>289</v>
      </c>
      <c r="CE195">
        <v>299</v>
      </c>
      <c r="CF195" s="17">
        <v>68.478260869565219</v>
      </c>
      <c r="CG195" s="17">
        <v>74.728260869565219</v>
      </c>
      <c r="CH195" s="17">
        <v>78.532608695652172</v>
      </c>
      <c r="CI195" s="17">
        <v>81.25</v>
      </c>
      <c r="CJ195" s="18">
        <v>1</v>
      </c>
      <c r="CK195" s="18">
        <v>1.0912698412698412</v>
      </c>
      <c r="CL195" s="18">
        <v>1.1468253968253967</v>
      </c>
      <c r="CM195" s="18">
        <v>1.1865079365079365</v>
      </c>
      <c r="CN195" s="18">
        <v>0</v>
      </c>
      <c r="CO195" s="18">
        <v>6.25</v>
      </c>
      <c r="CP195" s="18">
        <v>10.054347826086957</v>
      </c>
      <c r="CQ195" s="18">
        <v>12.771739130434783</v>
      </c>
      <c r="CR195" s="18">
        <f t="shared" si="30"/>
        <v>1.5496594778660613</v>
      </c>
      <c r="CS195" s="18">
        <f t="shared" si="31"/>
        <v>1.3060675198068477</v>
      </c>
      <c r="CT195">
        <v>77.13498622589529</v>
      </c>
      <c r="CU195">
        <v>20.38567493112944</v>
      </c>
      <c r="CV195">
        <v>0</v>
      </c>
      <c r="CW195">
        <v>0</v>
      </c>
      <c r="CX195">
        <v>2.4793388429752099</v>
      </c>
      <c r="CY195">
        <v>77.13498622589529</v>
      </c>
      <c r="CZ195">
        <v>20.38567493112944</v>
      </c>
      <c r="DA195">
        <v>0</v>
      </c>
      <c r="DB195">
        <v>0</v>
      </c>
      <c r="DC195">
        <v>2.4793388429752099</v>
      </c>
      <c r="DD195">
        <v>77.961432506887007</v>
      </c>
      <c r="DE195">
        <v>22.038567493113</v>
      </c>
      <c r="DF195">
        <v>0</v>
      </c>
      <c r="DG195">
        <v>0</v>
      </c>
      <c r="DH195">
        <v>0</v>
      </c>
      <c r="DI195">
        <v>77.961432506887007</v>
      </c>
      <c r="DJ195">
        <v>22.038567493113</v>
      </c>
      <c r="DK195">
        <v>0</v>
      </c>
      <c r="DL195">
        <v>0</v>
      </c>
      <c r="DM195">
        <v>0</v>
      </c>
      <c r="DN195">
        <v>77.961432506887007</v>
      </c>
      <c r="DO195">
        <v>22.038567493113</v>
      </c>
      <c r="DP195">
        <v>0</v>
      </c>
      <c r="DQ195">
        <v>0</v>
      </c>
      <c r="DR195">
        <v>0</v>
      </c>
      <c r="DS195" t="s">
        <v>371</v>
      </c>
      <c r="DT195" t="s">
        <v>313</v>
      </c>
      <c r="DU195">
        <v>5970</v>
      </c>
      <c r="DV195" t="s">
        <v>547</v>
      </c>
      <c r="DW195" t="s">
        <v>548</v>
      </c>
      <c r="DX195">
        <v>86</v>
      </c>
      <c r="DY195">
        <v>130</v>
      </c>
      <c r="DZ195">
        <v>216</v>
      </c>
      <c r="EA195">
        <v>606779</v>
      </c>
      <c r="EB195">
        <v>388178</v>
      </c>
      <c r="EC195">
        <v>994957</v>
      </c>
      <c r="ED195" t="s">
        <v>274</v>
      </c>
      <c r="EE195" t="s">
        <v>274</v>
      </c>
      <c r="EF195" t="s">
        <v>274</v>
      </c>
      <c r="EG195" t="s">
        <v>274</v>
      </c>
    </row>
    <row r="196" spans="1:137" ht="14.55" customHeight="1" x14ac:dyDescent="0.3">
      <c r="A196" t="s">
        <v>681</v>
      </c>
      <c r="B196">
        <v>6618</v>
      </c>
      <c r="C196" t="s">
        <v>682</v>
      </c>
      <c r="D196" t="s">
        <v>543</v>
      </c>
      <c r="E196" t="s">
        <v>645</v>
      </c>
      <c r="F196" t="s">
        <v>270</v>
      </c>
      <c r="G196" t="s">
        <v>646</v>
      </c>
      <c r="H196" s="3">
        <v>2772015.82785</v>
      </c>
      <c r="I196">
        <v>280</v>
      </c>
      <c r="J196" s="3">
        <v>277.20158278399998</v>
      </c>
      <c r="K196">
        <v>386</v>
      </c>
      <c r="L196">
        <v>477</v>
      </c>
      <c r="M196">
        <v>415.42381408720701</v>
      </c>
      <c r="N196">
        <v>18.786172728582802</v>
      </c>
      <c r="O196">
        <v>0</v>
      </c>
      <c r="P196">
        <v>17.0268363952637</v>
      </c>
      <c r="Q196">
        <v>3.8817040920257599</v>
      </c>
      <c r="R196">
        <v>2.3801651000976598</v>
      </c>
      <c r="S196" t="s">
        <v>647</v>
      </c>
      <c r="T196" t="s">
        <v>681</v>
      </c>
      <c r="U196" t="s">
        <v>682</v>
      </c>
      <c r="V196" t="s">
        <v>682</v>
      </c>
      <c r="W196" s="3">
        <v>4631</v>
      </c>
      <c r="X196" s="3">
        <v>2770000</v>
      </c>
      <c r="Y196">
        <v>1</v>
      </c>
      <c r="Z196" s="3">
        <v>2159</v>
      </c>
      <c r="AA196" s="3">
        <v>2558</v>
      </c>
      <c r="AB196" s="3">
        <v>2979</v>
      </c>
      <c r="AC196" s="3">
        <v>3706</v>
      </c>
      <c r="AD196" s="3">
        <v>3982</v>
      </c>
      <c r="AE196" s="3">
        <v>4045</v>
      </c>
      <c r="AF196" s="3">
        <v>4106</v>
      </c>
      <c r="AG196" s="3">
        <v>4175</v>
      </c>
      <c r="AH196" s="3">
        <v>4293</v>
      </c>
      <c r="AI196" s="3">
        <v>4307</v>
      </c>
      <c r="AJ196" s="3">
        <v>4373</v>
      </c>
      <c r="AK196" s="3">
        <v>4457</v>
      </c>
      <c r="AL196" s="3">
        <v>4520</v>
      </c>
      <c r="AM196" s="3">
        <v>4587</v>
      </c>
      <c r="AN196" s="3">
        <v>4618</v>
      </c>
      <c r="AO196" s="3">
        <v>4626</v>
      </c>
      <c r="AP196" s="3">
        <v>4631</v>
      </c>
      <c r="AQ196" s="3">
        <v>4579</v>
      </c>
      <c r="AR196" s="4">
        <v>1671.841155234657</v>
      </c>
      <c r="AS196" s="5">
        <f t="shared" ref="AS196:AS259" si="32">(AA196-Z196)/Z196/8*100</f>
        <v>2.310097267253358</v>
      </c>
      <c r="AT196" s="5">
        <f t="shared" ref="AT196:AT259" si="33">(AB196-AA196)/AA196/9*100</f>
        <v>1.8286856050734082</v>
      </c>
      <c r="AU196" s="5">
        <f t="shared" ref="AU196:AU259" si="34">(AF196-AB196)/AB196/10*100</f>
        <v>3.7831487076200063</v>
      </c>
      <c r="AV196" s="5">
        <f t="shared" ref="AV196:AV259" si="35">(AP196-AF196)/AF196/10*100</f>
        <v>1.2786166585484657</v>
      </c>
      <c r="AW196" s="5">
        <f t="shared" ref="AW196:AW259" si="36">(AB196-Z196)/Z196/17*100</f>
        <v>2.2341497970193172</v>
      </c>
      <c r="AX196" s="5">
        <f t="shared" ref="AX196:AX259" si="37">(AP196-AB196)/AB196/20*100</f>
        <v>2.7727425310506879</v>
      </c>
      <c r="AY196" s="5">
        <f t="shared" ref="AY196:AY259" si="38">(AP196-Z196)/Z196/37*100</f>
        <v>3.094525743900455</v>
      </c>
      <c r="AZ196">
        <f t="shared" si="29"/>
        <v>2800000</v>
      </c>
      <c r="BA196">
        <v>0</v>
      </c>
      <c r="BB196">
        <v>1030000</v>
      </c>
      <c r="BC196">
        <v>10000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160000</v>
      </c>
      <c r="BJ196">
        <v>350000</v>
      </c>
      <c r="BK196">
        <v>70000</v>
      </c>
      <c r="BL196">
        <v>0</v>
      </c>
      <c r="BM196">
        <v>0</v>
      </c>
      <c r="BN196">
        <v>1150000</v>
      </c>
      <c r="BO196">
        <v>0</v>
      </c>
      <c r="BP196">
        <v>30000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87</v>
      </c>
      <c r="CC196">
        <v>111</v>
      </c>
      <c r="CD196">
        <v>123</v>
      </c>
      <c r="CE196">
        <v>127</v>
      </c>
      <c r="CF196" s="17">
        <v>31.521739130434785</v>
      </c>
      <c r="CG196" s="17">
        <v>40.217391304347828</v>
      </c>
      <c r="CH196" s="17">
        <v>44.565217391304344</v>
      </c>
      <c r="CI196" s="17">
        <v>46.014492753623188</v>
      </c>
      <c r="CJ196" s="18">
        <v>1</v>
      </c>
      <c r="CK196" s="18">
        <v>1.2758620689655173</v>
      </c>
      <c r="CL196" s="18">
        <v>1.4137931034482758</v>
      </c>
      <c r="CM196" s="18">
        <v>1.4597701149425288</v>
      </c>
      <c r="CN196" s="18">
        <v>0</v>
      </c>
      <c r="CO196" s="18">
        <v>8.695652173913043</v>
      </c>
      <c r="CP196" s="18">
        <v>13.043478260869565</v>
      </c>
      <c r="CQ196" s="18">
        <v>14.492753623188406</v>
      </c>
      <c r="CR196" s="18">
        <f t="shared" si="30"/>
        <v>2.1245947197776749</v>
      </c>
      <c r="CS196" s="18">
        <f t="shared" si="31"/>
        <v>1.4554310285091157</v>
      </c>
      <c r="CT196">
        <v>33.571428571428577</v>
      </c>
      <c r="CU196">
        <v>65.714285714285722</v>
      </c>
      <c r="CV196">
        <v>0.71428571428571397</v>
      </c>
      <c r="CW196">
        <v>0</v>
      </c>
      <c r="CX196">
        <v>0</v>
      </c>
      <c r="CY196">
        <v>35.357142857142811</v>
      </c>
      <c r="CZ196">
        <v>63.928571428571431</v>
      </c>
      <c r="DA196">
        <v>0.71428571428571397</v>
      </c>
      <c r="DB196">
        <v>0</v>
      </c>
      <c r="DC196">
        <v>0</v>
      </c>
      <c r="DD196">
        <v>43.928571428571445</v>
      </c>
      <c r="DE196">
        <v>56.071428571428598</v>
      </c>
      <c r="DF196">
        <v>0</v>
      </c>
      <c r="DG196">
        <v>0</v>
      </c>
      <c r="DH196">
        <v>0</v>
      </c>
      <c r="DI196">
        <v>42.857142857142861</v>
      </c>
      <c r="DJ196">
        <v>56.071428571428598</v>
      </c>
      <c r="DK196">
        <v>1.0714285714285701</v>
      </c>
      <c r="DL196">
        <v>0</v>
      </c>
      <c r="DM196">
        <v>0</v>
      </c>
      <c r="DN196">
        <v>42.857142857142861</v>
      </c>
      <c r="DO196">
        <v>56.071428571428598</v>
      </c>
      <c r="DP196">
        <v>1.0714285714285701</v>
      </c>
      <c r="DQ196">
        <v>0</v>
      </c>
      <c r="DR196">
        <v>0</v>
      </c>
      <c r="DS196" t="s">
        <v>371</v>
      </c>
      <c r="DT196" t="s">
        <v>313</v>
      </c>
      <c r="DU196">
        <v>4593</v>
      </c>
      <c r="DV196" t="s">
        <v>547</v>
      </c>
      <c r="DW196" t="s">
        <v>548</v>
      </c>
      <c r="DX196">
        <v>86</v>
      </c>
      <c r="DY196">
        <v>130</v>
      </c>
      <c r="DZ196">
        <v>216</v>
      </c>
      <c r="EA196">
        <v>606779</v>
      </c>
      <c r="EB196">
        <v>388178</v>
      </c>
      <c r="EC196">
        <v>994957</v>
      </c>
      <c r="ED196" t="s">
        <v>274</v>
      </c>
      <c r="EE196" t="s">
        <v>274</v>
      </c>
      <c r="EF196" t="s">
        <v>274</v>
      </c>
      <c r="EG196" t="s">
        <v>274</v>
      </c>
    </row>
    <row r="197" spans="1:137" ht="14.55" customHeight="1" x14ac:dyDescent="0.3">
      <c r="A197" t="s">
        <v>683</v>
      </c>
      <c r="B197">
        <v>6619</v>
      </c>
      <c r="C197" t="s">
        <v>684</v>
      </c>
      <c r="D197" t="s">
        <v>543</v>
      </c>
      <c r="E197" t="s">
        <v>645</v>
      </c>
      <c r="F197" t="s">
        <v>270</v>
      </c>
      <c r="G197" t="s">
        <v>646</v>
      </c>
      <c r="H197" s="3">
        <v>2736434.8107799999</v>
      </c>
      <c r="I197">
        <v>279</v>
      </c>
      <c r="J197" s="3">
        <v>273.64348107799998</v>
      </c>
      <c r="K197">
        <v>374</v>
      </c>
      <c r="L197">
        <v>449</v>
      </c>
      <c r="M197">
        <v>422.08472121650999</v>
      </c>
      <c r="N197">
        <v>16.9478709980601</v>
      </c>
      <c r="O197">
        <v>0</v>
      </c>
      <c r="P197">
        <v>14.0399875640869</v>
      </c>
      <c r="Q197">
        <v>3.7302548885345499</v>
      </c>
      <c r="R197">
        <v>2.1226975917816202</v>
      </c>
      <c r="S197" t="s">
        <v>647</v>
      </c>
      <c r="T197" t="s">
        <v>683</v>
      </c>
      <c r="U197" t="s">
        <v>685</v>
      </c>
      <c r="V197" t="s">
        <v>685</v>
      </c>
      <c r="W197" s="3">
        <v>2186</v>
      </c>
      <c r="X197" s="3">
        <v>2740000</v>
      </c>
      <c r="Y197">
        <v>2</v>
      </c>
      <c r="Z197" s="3">
        <v>1430</v>
      </c>
      <c r="AA197" s="3">
        <v>1554</v>
      </c>
      <c r="AB197" s="3">
        <v>1724</v>
      </c>
      <c r="AC197" s="3">
        <v>1742</v>
      </c>
      <c r="AD197" s="3">
        <v>1749</v>
      </c>
      <c r="AE197" s="3">
        <v>1776</v>
      </c>
      <c r="AF197" s="3">
        <v>1814</v>
      </c>
      <c r="AG197" s="3">
        <v>1846</v>
      </c>
      <c r="AH197" s="3">
        <v>1862</v>
      </c>
      <c r="AI197" s="3">
        <v>1917</v>
      </c>
      <c r="AJ197" s="3">
        <v>1981</v>
      </c>
      <c r="AK197" s="3">
        <v>2018</v>
      </c>
      <c r="AL197" s="3">
        <v>2017</v>
      </c>
      <c r="AM197" s="3">
        <v>2029</v>
      </c>
      <c r="AN197" s="3">
        <v>2071</v>
      </c>
      <c r="AO197" s="3">
        <v>2108</v>
      </c>
      <c r="AP197" s="3">
        <v>2186</v>
      </c>
      <c r="AQ197" s="3">
        <v>2295</v>
      </c>
      <c r="AR197" s="4">
        <v>797.81021897810217</v>
      </c>
      <c r="AS197" s="5">
        <f t="shared" si="32"/>
        <v>1.0839160839160837</v>
      </c>
      <c r="AT197" s="5">
        <f t="shared" si="33"/>
        <v>1.2155012155012155</v>
      </c>
      <c r="AU197" s="5">
        <f t="shared" si="34"/>
        <v>0.52204176334106722</v>
      </c>
      <c r="AV197" s="5">
        <f t="shared" si="35"/>
        <v>2.0507166482910693</v>
      </c>
      <c r="AW197" s="5">
        <f t="shared" si="36"/>
        <v>1.2093788564376799</v>
      </c>
      <c r="AX197" s="5">
        <f t="shared" si="37"/>
        <v>1.339907192575406</v>
      </c>
      <c r="AY197" s="5">
        <f t="shared" si="38"/>
        <v>1.4288414288414291</v>
      </c>
      <c r="AZ197">
        <f t="shared" si="29"/>
        <v>2790000</v>
      </c>
      <c r="BA197">
        <v>0</v>
      </c>
      <c r="BB197">
        <v>830000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1870000</v>
      </c>
      <c r="BK197">
        <v>90000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81</v>
      </c>
      <c r="CC197">
        <v>92</v>
      </c>
      <c r="CD197">
        <v>97</v>
      </c>
      <c r="CE197">
        <v>110</v>
      </c>
      <c r="CF197" s="17">
        <v>28.928571428571431</v>
      </c>
      <c r="CG197" s="17">
        <v>32.857142857142854</v>
      </c>
      <c r="CH197" s="17">
        <v>34.642857142857139</v>
      </c>
      <c r="CI197" s="17">
        <v>39.285714285714285</v>
      </c>
      <c r="CJ197" s="18">
        <v>1</v>
      </c>
      <c r="CK197" s="18">
        <v>1.1358024691358024</v>
      </c>
      <c r="CL197" s="18">
        <v>1.1975308641975309</v>
      </c>
      <c r="CM197" s="18">
        <v>1.3580246913580247</v>
      </c>
      <c r="CN197" s="18">
        <v>0</v>
      </c>
      <c r="CO197" s="18">
        <v>3.9285714285714284</v>
      </c>
      <c r="CP197" s="18">
        <v>5.7142857142857144</v>
      </c>
      <c r="CQ197" s="18">
        <v>10.357142857142858</v>
      </c>
      <c r="CR197" s="18">
        <f t="shared" si="30"/>
        <v>1.4188811188811188</v>
      </c>
      <c r="CS197" s="18">
        <f t="shared" si="31"/>
        <v>1.0448124602670057</v>
      </c>
      <c r="CT197">
        <v>34.767025089605703</v>
      </c>
      <c r="CU197">
        <v>64.516129032258107</v>
      </c>
      <c r="CV197">
        <v>0</v>
      </c>
      <c r="CW197">
        <v>0</v>
      </c>
      <c r="CX197">
        <v>0.71684587813620104</v>
      </c>
      <c r="CY197">
        <v>34.767025089605703</v>
      </c>
      <c r="CZ197">
        <v>64.516129032258107</v>
      </c>
      <c r="DA197">
        <v>0</v>
      </c>
      <c r="DB197">
        <v>0</v>
      </c>
      <c r="DC197">
        <v>0.71684587813620104</v>
      </c>
      <c r="DD197">
        <v>29.390681003584199</v>
      </c>
      <c r="DE197">
        <v>70.609318996415794</v>
      </c>
      <c r="DF197">
        <v>0</v>
      </c>
      <c r="DG197">
        <v>0</v>
      </c>
      <c r="DH197">
        <v>0</v>
      </c>
      <c r="DI197">
        <v>29.749103942652301</v>
      </c>
      <c r="DJ197">
        <v>70.250896057347703</v>
      </c>
      <c r="DK197">
        <v>0</v>
      </c>
      <c r="DL197">
        <v>0</v>
      </c>
      <c r="DM197">
        <v>0</v>
      </c>
      <c r="DN197">
        <v>29.749103942652301</v>
      </c>
      <c r="DO197">
        <v>70.250896057347703</v>
      </c>
      <c r="DP197">
        <v>0</v>
      </c>
      <c r="DQ197">
        <v>0</v>
      </c>
      <c r="DR197">
        <v>0</v>
      </c>
      <c r="DS197" t="s">
        <v>564</v>
      </c>
      <c r="DT197" t="s">
        <v>313</v>
      </c>
      <c r="DU197">
        <v>2267</v>
      </c>
      <c r="DV197" t="s">
        <v>547</v>
      </c>
      <c r="DW197" t="s">
        <v>548</v>
      </c>
      <c r="DX197">
        <v>86</v>
      </c>
      <c r="DY197">
        <v>130</v>
      </c>
      <c r="DZ197">
        <v>216</v>
      </c>
      <c r="EA197">
        <v>606779</v>
      </c>
      <c r="EB197">
        <v>388178</v>
      </c>
      <c r="EC197">
        <v>994957</v>
      </c>
      <c r="ED197" t="s">
        <v>274</v>
      </c>
      <c r="EE197" t="s">
        <v>274</v>
      </c>
      <c r="EF197" t="s">
        <v>274</v>
      </c>
      <c r="EG197" t="s">
        <v>274</v>
      </c>
    </row>
    <row r="198" spans="1:137" ht="14.55" customHeight="1" x14ac:dyDescent="0.3">
      <c r="A198" t="s">
        <v>686</v>
      </c>
      <c r="B198">
        <v>6620</v>
      </c>
      <c r="C198" t="s">
        <v>687</v>
      </c>
      <c r="D198" t="s">
        <v>543</v>
      </c>
      <c r="E198" t="s">
        <v>645</v>
      </c>
      <c r="F198" t="s">
        <v>270</v>
      </c>
      <c r="G198" t="s">
        <v>646</v>
      </c>
      <c r="H198" s="3">
        <v>8598345.5799800009</v>
      </c>
      <c r="I198">
        <v>860</v>
      </c>
      <c r="J198" s="3">
        <v>859.83455792900008</v>
      </c>
      <c r="K198">
        <v>340</v>
      </c>
      <c r="L198">
        <v>515</v>
      </c>
      <c r="M198">
        <v>432.203962075079</v>
      </c>
      <c r="N198">
        <v>38.257965947002702</v>
      </c>
      <c r="O198">
        <v>0</v>
      </c>
      <c r="P198">
        <v>33.659049987792997</v>
      </c>
      <c r="Q198">
        <v>6.3307361602783203</v>
      </c>
      <c r="R198">
        <v>4.2772555351257298</v>
      </c>
      <c r="S198" t="s">
        <v>647</v>
      </c>
      <c r="T198" t="s">
        <v>686</v>
      </c>
      <c r="U198" t="s">
        <v>687</v>
      </c>
      <c r="V198" t="s">
        <v>687</v>
      </c>
      <c r="W198" s="3">
        <v>1867</v>
      </c>
      <c r="X198" s="3">
        <v>8600000</v>
      </c>
      <c r="Y198">
        <v>2</v>
      </c>
      <c r="Z198" s="3">
        <v>687</v>
      </c>
      <c r="AA198" s="3">
        <v>1042</v>
      </c>
      <c r="AB198" s="3">
        <v>1260</v>
      </c>
      <c r="AC198" s="3">
        <v>1283</v>
      </c>
      <c r="AD198" s="3">
        <v>1297</v>
      </c>
      <c r="AE198" s="3">
        <v>1306</v>
      </c>
      <c r="AF198" s="3">
        <v>1328</v>
      </c>
      <c r="AG198" s="3">
        <v>1470</v>
      </c>
      <c r="AH198" s="3">
        <v>1511</v>
      </c>
      <c r="AI198" s="3">
        <v>1498</v>
      </c>
      <c r="AJ198" s="3">
        <v>1510</v>
      </c>
      <c r="AK198" s="3">
        <v>1532</v>
      </c>
      <c r="AL198" s="3">
        <v>1532</v>
      </c>
      <c r="AM198" s="3">
        <v>1782</v>
      </c>
      <c r="AN198" s="3">
        <v>1861</v>
      </c>
      <c r="AO198" s="3">
        <v>1864</v>
      </c>
      <c r="AP198" s="3">
        <v>1867</v>
      </c>
      <c r="AQ198" s="3">
        <v>1855</v>
      </c>
      <c r="AR198" s="4">
        <v>217.09302325581396</v>
      </c>
      <c r="AS198" s="5">
        <f t="shared" si="32"/>
        <v>6.4592430858806411</v>
      </c>
      <c r="AT198" s="5">
        <f t="shared" si="33"/>
        <v>2.3245894647046281</v>
      </c>
      <c r="AU198" s="5">
        <f t="shared" si="34"/>
        <v>0.53968253968253976</v>
      </c>
      <c r="AV198" s="5">
        <f t="shared" si="35"/>
        <v>4.0587349397590362</v>
      </c>
      <c r="AW198" s="5">
        <f t="shared" si="36"/>
        <v>4.9062419727716406</v>
      </c>
      <c r="AX198" s="5">
        <f t="shared" si="37"/>
        <v>2.4087301587301586</v>
      </c>
      <c r="AY198" s="5">
        <f t="shared" si="38"/>
        <v>4.6421967819347731</v>
      </c>
      <c r="AZ198">
        <f t="shared" ref="AZ198:AZ261" si="39">SUM(BA198:CA198)</f>
        <v>8610000</v>
      </c>
      <c r="BA198">
        <v>0</v>
      </c>
      <c r="BB198">
        <v>500000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3660000</v>
      </c>
      <c r="BK198">
        <v>1950000</v>
      </c>
      <c r="BL198">
        <v>0</v>
      </c>
      <c r="BM198">
        <v>0</v>
      </c>
      <c r="BN198">
        <v>0</v>
      </c>
      <c r="BO198">
        <v>10000</v>
      </c>
      <c r="BP198">
        <v>2420000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70000</v>
      </c>
      <c r="CA198">
        <v>0</v>
      </c>
      <c r="CB198">
        <v>68</v>
      </c>
      <c r="CC198">
        <v>78</v>
      </c>
      <c r="CD198">
        <v>80</v>
      </c>
      <c r="CE198">
        <v>84</v>
      </c>
      <c r="CF198" s="17">
        <v>7.9069767441860463</v>
      </c>
      <c r="CG198" s="17">
        <v>9.0697674418604652</v>
      </c>
      <c r="CH198" s="17">
        <v>9.3023255813953494</v>
      </c>
      <c r="CI198" s="17">
        <v>9.7674418604651159</v>
      </c>
      <c r="CJ198" s="18">
        <v>1</v>
      </c>
      <c r="CK198" s="18">
        <v>1.1470588235294117</v>
      </c>
      <c r="CL198" s="18">
        <v>1.1764705882352942</v>
      </c>
      <c r="CM198" s="18">
        <v>1.2352941176470589</v>
      </c>
      <c r="CN198" s="18">
        <v>0</v>
      </c>
      <c r="CO198" s="18">
        <v>1.1627906976744187</v>
      </c>
      <c r="CP198" s="18">
        <v>1.3953488372093024</v>
      </c>
      <c r="CQ198" s="18">
        <v>1.8604651162790697</v>
      </c>
      <c r="CR198" s="18">
        <f t="shared" ref="CR198:CR223" si="40">AM198/Z198</f>
        <v>2.5938864628820961</v>
      </c>
      <c r="CS198" s="18">
        <f t="shared" ref="CS198:CS223" si="41">CR198/CM198</f>
        <v>2.0998128509045539</v>
      </c>
      <c r="CT198">
        <v>6.1556329849012705</v>
      </c>
      <c r="CU198">
        <v>65.38908246225327</v>
      </c>
      <c r="CV198">
        <v>22.996515679442499</v>
      </c>
      <c r="CW198">
        <v>3.9488966318234602</v>
      </c>
      <c r="CX198">
        <v>1.50987224157956</v>
      </c>
      <c r="CY198">
        <v>6.1556329849012705</v>
      </c>
      <c r="CZ198">
        <v>65.38908246225327</v>
      </c>
      <c r="DA198">
        <v>22.996515679442499</v>
      </c>
      <c r="DB198">
        <v>3.9488966318234602</v>
      </c>
      <c r="DC198">
        <v>1.50987224157956</v>
      </c>
      <c r="DD198">
        <v>5.8072009291521498</v>
      </c>
      <c r="DE198">
        <v>67.363530778164858</v>
      </c>
      <c r="DF198">
        <v>26.016260162601601</v>
      </c>
      <c r="DG198">
        <v>0</v>
      </c>
      <c r="DH198">
        <v>0.81300813008130102</v>
      </c>
      <c r="DI198">
        <v>5.8072009291521498</v>
      </c>
      <c r="DJ198">
        <v>65.272938443670142</v>
      </c>
      <c r="DK198">
        <v>28.106852497096401</v>
      </c>
      <c r="DL198">
        <v>0</v>
      </c>
      <c r="DM198">
        <v>0.81300813008130102</v>
      </c>
      <c r="DN198">
        <v>5.8072009291521498</v>
      </c>
      <c r="DO198">
        <v>65.272938443670142</v>
      </c>
      <c r="DP198">
        <v>28.106852497096401</v>
      </c>
      <c r="DQ198">
        <v>0</v>
      </c>
      <c r="DR198">
        <v>0.81300813008130102</v>
      </c>
      <c r="DS198" t="s">
        <v>312</v>
      </c>
      <c r="DT198" t="s">
        <v>313</v>
      </c>
      <c r="DU198">
        <v>1799</v>
      </c>
      <c r="DV198" t="s">
        <v>547</v>
      </c>
      <c r="DW198" t="s">
        <v>548</v>
      </c>
      <c r="DX198">
        <v>86</v>
      </c>
      <c r="DY198">
        <v>130</v>
      </c>
      <c r="DZ198">
        <v>216</v>
      </c>
      <c r="EA198">
        <v>606779</v>
      </c>
      <c r="EB198">
        <v>388178</v>
      </c>
      <c r="EC198">
        <v>994957</v>
      </c>
      <c r="ED198" t="s">
        <v>274</v>
      </c>
      <c r="EE198" t="s">
        <v>274</v>
      </c>
      <c r="EF198" t="s">
        <v>274</v>
      </c>
      <c r="EG198" t="s">
        <v>274</v>
      </c>
    </row>
    <row r="199" spans="1:137" ht="14.55" customHeight="1" x14ac:dyDescent="0.3">
      <c r="A199" t="s">
        <v>688</v>
      </c>
      <c r="B199">
        <v>6621</v>
      </c>
      <c r="C199" t="s">
        <v>689</v>
      </c>
      <c r="D199" t="s">
        <v>543</v>
      </c>
      <c r="E199" t="s">
        <v>645</v>
      </c>
      <c r="F199" t="s">
        <v>270</v>
      </c>
      <c r="G199" t="s">
        <v>646</v>
      </c>
      <c r="H199" s="3">
        <v>15909907.154300001</v>
      </c>
      <c r="I199">
        <v>1592</v>
      </c>
      <c r="J199" s="3">
        <v>1590.9907154300001</v>
      </c>
      <c r="K199">
        <v>363</v>
      </c>
      <c r="L199">
        <v>468</v>
      </c>
      <c r="M199">
        <v>406.85182411914002</v>
      </c>
      <c r="N199">
        <v>21.141895597843799</v>
      </c>
      <c r="O199">
        <v>0</v>
      </c>
      <c r="P199">
        <v>37.206699371337898</v>
      </c>
      <c r="Q199">
        <v>5.6382493972778303</v>
      </c>
      <c r="R199">
        <v>4.1255264282226598</v>
      </c>
      <c r="S199" t="s">
        <v>647</v>
      </c>
      <c r="T199" t="s">
        <v>688</v>
      </c>
      <c r="U199" t="s">
        <v>645</v>
      </c>
      <c r="V199" t="s">
        <v>645</v>
      </c>
      <c r="W199" s="3">
        <v>203951</v>
      </c>
      <c r="X199" s="3">
        <v>15930000</v>
      </c>
      <c r="Y199">
        <v>1</v>
      </c>
      <c r="Z199" s="3">
        <v>158426</v>
      </c>
      <c r="AA199" s="3">
        <v>167167</v>
      </c>
      <c r="AB199" s="3">
        <v>173519</v>
      </c>
      <c r="AC199" s="3">
        <v>178603</v>
      </c>
      <c r="AD199" s="3">
        <v>179971</v>
      </c>
      <c r="AE199" s="3">
        <v>183287</v>
      </c>
      <c r="AF199" s="3">
        <v>185958</v>
      </c>
      <c r="AG199" s="3">
        <v>187295</v>
      </c>
      <c r="AH199" s="3">
        <v>188234</v>
      </c>
      <c r="AI199" s="3">
        <v>189033</v>
      </c>
      <c r="AJ199" s="3">
        <v>191557</v>
      </c>
      <c r="AK199" s="3">
        <v>194565</v>
      </c>
      <c r="AL199" s="3">
        <v>198072</v>
      </c>
      <c r="AM199" s="3">
        <v>198979</v>
      </c>
      <c r="AN199" s="3">
        <v>200548</v>
      </c>
      <c r="AO199" s="3">
        <v>201818</v>
      </c>
      <c r="AP199" s="3">
        <v>203951</v>
      </c>
      <c r="AQ199" s="3">
        <v>203856</v>
      </c>
      <c r="AR199" s="4">
        <v>12802.950408035154</v>
      </c>
      <c r="AS199" s="5">
        <f t="shared" si="32"/>
        <v>0.68967530582101422</v>
      </c>
      <c r="AT199" s="5">
        <f t="shared" si="33"/>
        <v>0.42219922459443421</v>
      </c>
      <c r="AU199" s="5">
        <f t="shared" si="34"/>
        <v>0.71686674081800839</v>
      </c>
      <c r="AV199" s="5">
        <f t="shared" si="35"/>
        <v>0.96758407812516811</v>
      </c>
      <c r="AW199" s="5">
        <f t="shared" si="36"/>
        <v>0.56040266712014741</v>
      </c>
      <c r="AX199" s="5">
        <f t="shared" si="37"/>
        <v>0.87690685169923754</v>
      </c>
      <c r="AY199" s="5">
        <f t="shared" si="38"/>
        <v>0.77664360989067782</v>
      </c>
      <c r="AZ199">
        <f t="shared" si="39"/>
        <v>15940000</v>
      </c>
      <c r="BA199">
        <v>2830000</v>
      </c>
      <c r="BB199">
        <v>10460000</v>
      </c>
      <c r="BC199">
        <v>610000</v>
      </c>
      <c r="BD199">
        <v>250000</v>
      </c>
      <c r="BE199">
        <v>0</v>
      </c>
      <c r="BF199">
        <v>0</v>
      </c>
      <c r="BG199">
        <v>0</v>
      </c>
      <c r="BH199">
        <v>1230000</v>
      </c>
      <c r="BI199">
        <v>180000</v>
      </c>
      <c r="BJ199">
        <v>30000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340000</v>
      </c>
      <c r="CA199">
        <v>10000</v>
      </c>
      <c r="CB199">
        <v>1443</v>
      </c>
      <c r="CC199">
        <v>1461</v>
      </c>
      <c r="CD199">
        <v>1464</v>
      </c>
      <c r="CE199">
        <v>1465</v>
      </c>
      <c r="CF199" s="17">
        <v>90.754716981132077</v>
      </c>
      <c r="CG199" s="17">
        <v>91.886792452830193</v>
      </c>
      <c r="CH199" s="17">
        <v>92.075471698113205</v>
      </c>
      <c r="CI199" s="17">
        <v>92.138364779874209</v>
      </c>
      <c r="CJ199" s="18">
        <v>1</v>
      </c>
      <c r="CK199" s="18">
        <v>1.0124740124740124</v>
      </c>
      <c r="CL199" s="18">
        <v>1.0145530145530146</v>
      </c>
      <c r="CM199" s="18">
        <v>1.0152460152460152</v>
      </c>
      <c r="CN199" s="18">
        <v>0</v>
      </c>
      <c r="CO199" s="18">
        <v>1.1320754716981132</v>
      </c>
      <c r="CP199" s="18">
        <v>1.3207547169811322</v>
      </c>
      <c r="CQ199" s="18">
        <v>1.3836477987421385</v>
      </c>
      <c r="CR199" s="18">
        <f t="shared" si="40"/>
        <v>1.2559743981417191</v>
      </c>
      <c r="CS199" s="18">
        <f t="shared" si="41"/>
        <v>1.2371133491593862</v>
      </c>
      <c r="CT199">
        <v>96.298619824341202</v>
      </c>
      <c r="CU199">
        <v>0.188205771643664</v>
      </c>
      <c r="CV199">
        <v>0.81555834378920999</v>
      </c>
      <c r="CW199">
        <v>0</v>
      </c>
      <c r="CX199">
        <v>2.6976160602258501</v>
      </c>
      <c r="CY199">
        <v>96.298619824341202</v>
      </c>
      <c r="CZ199">
        <v>0.188205771643664</v>
      </c>
      <c r="DA199">
        <v>0.81555834378920999</v>
      </c>
      <c r="DB199">
        <v>0</v>
      </c>
      <c r="DC199">
        <v>2.6976160602258501</v>
      </c>
      <c r="DD199">
        <v>97.616060225846908</v>
      </c>
      <c r="DE199">
        <v>0.188205771643664</v>
      </c>
      <c r="DF199">
        <v>0</v>
      </c>
      <c r="DG199">
        <v>0</v>
      </c>
      <c r="DH199">
        <v>2.1957340025094099</v>
      </c>
      <c r="DI199">
        <v>97.616060225846994</v>
      </c>
      <c r="DJ199">
        <v>0.188205771643664</v>
      </c>
      <c r="DK199">
        <v>0</v>
      </c>
      <c r="DL199">
        <v>0</v>
      </c>
      <c r="DM199">
        <v>2.1957340025094099</v>
      </c>
      <c r="DN199">
        <v>97.616060225846994</v>
      </c>
      <c r="DO199">
        <v>0.188205771643664</v>
      </c>
      <c r="DP199">
        <v>0</v>
      </c>
      <c r="DQ199">
        <v>0</v>
      </c>
      <c r="DR199">
        <v>2.1957340025094099</v>
      </c>
      <c r="DS199" t="s">
        <v>362</v>
      </c>
      <c r="DT199" t="s">
        <v>313</v>
      </c>
      <c r="DU199">
        <v>203840</v>
      </c>
      <c r="DV199" t="s">
        <v>547</v>
      </c>
      <c r="DW199" t="s">
        <v>548</v>
      </c>
      <c r="DX199">
        <v>86</v>
      </c>
      <c r="DY199">
        <v>130</v>
      </c>
      <c r="DZ199">
        <v>216</v>
      </c>
      <c r="EA199">
        <v>606779</v>
      </c>
      <c r="EB199">
        <v>388178</v>
      </c>
      <c r="EC199">
        <v>994957</v>
      </c>
      <c r="ED199" t="s">
        <v>274</v>
      </c>
      <c r="EE199" t="s">
        <v>274</v>
      </c>
      <c r="EF199" t="s">
        <v>274</v>
      </c>
      <c r="EG199" t="s">
        <v>274</v>
      </c>
    </row>
    <row r="200" spans="1:137" ht="14.55" customHeight="1" x14ac:dyDescent="0.3">
      <c r="A200" t="s">
        <v>690</v>
      </c>
      <c r="B200">
        <v>6622</v>
      </c>
      <c r="C200" t="s">
        <v>691</v>
      </c>
      <c r="D200" t="s">
        <v>543</v>
      </c>
      <c r="E200" t="s">
        <v>645</v>
      </c>
      <c r="F200" t="s">
        <v>270</v>
      </c>
      <c r="G200" t="s">
        <v>646</v>
      </c>
      <c r="H200" s="3">
        <v>2869578.4991600001</v>
      </c>
      <c r="I200">
        <v>287</v>
      </c>
      <c r="J200" s="3">
        <v>286.95784991599999</v>
      </c>
      <c r="K200">
        <v>368</v>
      </c>
      <c r="L200">
        <v>432</v>
      </c>
      <c r="M200">
        <v>405.72807017543897</v>
      </c>
      <c r="N200">
        <v>14.290286774278</v>
      </c>
      <c r="O200">
        <v>0</v>
      </c>
      <c r="P200">
        <v>17.3902263641357</v>
      </c>
      <c r="Q200">
        <v>3.8736817836761501</v>
      </c>
      <c r="R200">
        <v>2.5389158725738499</v>
      </c>
      <c r="S200" t="s">
        <v>647</v>
      </c>
      <c r="T200" t="s">
        <v>690</v>
      </c>
      <c r="U200" t="s">
        <v>691</v>
      </c>
      <c r="V200" t="s">
        <v>691</v>
      </c>
      <c r="W200" s="3">
        <v>2840</v>
      </c>
      <c r="X200" s="3">
        <v>2870000</v>
      </c>
      <c r="Y200">
        <v>2</v>
      </c>
      <c r="Z200" s="3">
        <v>1266</v>
      </c>
      <c r="AA200" s="3">
        <v>1916</v>
      </c>
      <c r="AB200" s="3">
        <v>2186</v>
      </c>
      <c r="AC200" s="3">
        <v>2561</v>
      </c>
      <c r="AD200" s="3">
        <v>2616</v>
      </c>
      <c r="AE200" s="3">
        <v>2686</v>
      </c>
      <c r="AF200" s="3">
        <v>2747</v>
      </c>
      <c r="AG200" s="3">
        <v>2722</v>
      </c>
      <c r="AH200" s="3">
        <v>2723</v>
      </c>
      <c r="AI200" s="3">
        <v>2691</v>
      </c>
      <c r="AJ200" s="3">
        <v>2736</v>
      </c>
      <c r="AK200" s="3">
        <v>2774</v>
      </c>
      <c r="AL200" s="3">
        <v>2747</v>
      </c>
      <c r="AM200" s="3">
        <v>2721</v>
      </c>
      <c r="AN200" s="3">
        <v>2779</v>
      </c>
      <c r="AO200" s="3">
        <v>2782</v>
      </c>
      <c r="AP200" s="3">
        <v>2840</v>
      </c>
      <c r="AQ200" s="3">
        <v>2893</v>
      </c>
      <c r="AR200" s="4">
        <v>989.54703832752614</v>
      </c>
      <c r="AS200" s="5">
        <f t="shared" si="32"/>
        <v>6.4178515007898893</v>
      </c>
      <c r="AT200" s="5">
        <f t="shared" si="33"/>
        <v>1.5657620041753653</v>
      </c>
      <c r="AU200" s="5">
        <f t="shared" si="34"/>
        <v>2.566331198536139</v>
      </c>
      <c r="AV200" s="5">
        <f t="shared" si="35"/>
        <v>0.33855114670549691</v>
      </c>
      <c r="AW200" s="5">
        <f t="shared" si="36"/>
        <v>4.2746956602546229</v>
      </c>
      <c r="AX200" s="5">
        <f t="shared" si="37"/>
        <v>1.495882891125343</v>
      </c>
      <c r="AY200" s="5">
        <f t="shared" si="38"/>
        <v>3.360232270184877</v>
      </c>
      <c r="AZ200">
        <f t="shared" si="39"/>
        <v>2870000</v>
      </c>
      <c r="BA200">
        <v>0</v>
      </c>
      <c r="BB200">
        <v>1150000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1150000</v>
      </c>
      <c r="BK200">
        <v>0</v>
      </c>
      <c r="BL200">
        <v>0</v>
      </c>
      <c r="BM200">
        <v>0</v>
      </c>
      <c r="BN200">
        <v>0</v>
      </c>
      <c r="BO200">
        <v>450000</v>
      </c>
      <c r="BP200">
        <v>0</v>
      </c>
      <c r="BQ200">
        <v>0</v>
      </c>
      <c r="BR200">
        <v>120000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126</v>
      </c>
      <c r="CC200">
        <v>143</v>
      </c>
      <c r="CD200">
        <v>154</v>
      </c>
      <c r="CE200">
        <v>162</v>
      </c>
      <c r="CF200" s="17">
        <v>44.839857651245552</v>
      </c>
      <c r="CG200" s="17">
        <v>50.889679715302492</v>
      </c>
      <c r="CH200" s="17">
        <v>54.804270462633454</v>
      </c>
      <c r="CI200" s="17">
        <v>57.651245551601427</v>
      </c>
      <c r="CJ200" s="18">
        <v>1</v>
      </c>
      <c r="CK200" s="18">
        <v>1.1349206349206349</v>
      </c>
      <c r="CL200" s="18">
        <v>1.2222222222222223</v>
      </c>
      <c r="CM200" s="18">
        <v>1.2857142857142858</v>
      </c>
      <c r="CN200" s="18">
        <v>0</v>
      </c>
      <c r="CO200" s="18">
        <v>6.0498220640569391</v>
      </c>
      <c r="CP200" s="18">
        <v>9.9644128113879002</v>
      </c>
      <c r="CQ200" s="18">
        <v>12.811387900355871</v>
      </c>
      <c r="CR200" s="18">
        <f t="shared" si="40"/>
        <v>2.1492890995260665</v>
      </c>
      <c r="CS200" s="18">
        <f t="shared" si="41"/>
        <v>1.6716692996313849</v>
      </c>
      <c r="CT200">
        <v>36.585365853658502</v>
      </c>
      <c r="CU200">
        <v>63.414634146341399</v>
      </c>
      <c r="CV200">
        <v>0</v>
      </c>
      <c r="CW200">
        <v>0</v>
      </c>
      <c r="CX200">
        <v>0</v>
      </c>
      <c r="CY200">
        <v>36.585365853658502</v>
      </c>
      <c r="CZ200">
        <v>63.414634146341399</v>
      </c>
      <c r="DA200">
        <v>0</v>
      </c>
      <c r="DB200">
        <v>0</v>
      </c>
      <c r="DC200">
        <v>0</v>
      </c>
      <c r="DD200">
        <v>37.979094076655102</v>
      </c>
      <c r="DE200">
        <v>59.581881533101097</v>
      </c>
      <c r="DF200">
        <v>2.4390243902439002</v>
      </c>
      <c r="DG200">
        <v>0</v>
      </c>
      <c r="DH200">
        <v>0</v>
      </c>
      <c r="DI200">
        <v>40.069686411149803</v>
      </c>
      <c r="DJ200">
        <v>55.749128919860603</v>
      </c>
      <c r="DK200">
        <v>4.18118466898955</v>
      </c>
      <c r="DL200">
        <v>0</v>
      </c>
      <c r="DM200">
        <v>0</v>
      </c>
      <c r="DN200">
        <v>40.069686411149803</v>
      </c>
      <c r="DO200">
        <v>55.749128919860603</v>
      </c>
      <c r="DP200">
        <v>4.18118466898955</v>
      </c>
      <c r="DQ200">
        <v>0</v>
      </c>
      <c r="DR200">
        <v>0</v>
      </c>
      <c r="DS200" t="s">
        <v>371</v>
      </c>
      <c r="DT200" t="s">
        <v>313</v>
      </c>
      <c r="DU200">
        <v>2884</v>
      </c>
      <c r="DV200" t="s">
        <v>547</v>
      </c>
      <c r="DW200" t="s">
        <v>548</v>
      </c>
      <c r="DX200">
        <v>86</v>
      </c>
      <c r="DY200">
        <v>130</v>
      </c>
      <c r="DZ200">
        <v>216</v>
      </c>
      <c r="EA200">
        <v>606779</v>
      </c>
      <c r="EB200">
        <v>388178</v>
      </c>
      <c r="EC200">
        <v>994957</v>
      </c>
      <c r="ED200" t="s">
        <v>274</v>
      </c>
      <c r="EE200" t="s">
        <v>274</v>
      </c>
      <c r="EF200" t="s">
        <v>274</v>
      </c>
      <c r="EG200" t="s">
        <v>274</v>
      </c>
    </row>
    <row r="201" spans="1:137" ht="14.55" customHeight="1" x14ac:dyDescent="0.3">
      <c r="A201" t="s">
        <v>692</v>
      </c>
      <c r="B201">
        <v>6623</v>
      </c>
      <c r="C201" t="s">
        <v>693</v>
      </c>
      <c r="D201" t="s">
        <v>543</v>
      </c>
      <c r="E201" t="s">
        <v>645</v>
      </c>
      <c r="F201" t="s">
        <v>270</v>
      </c>
      <c r="G201" t="s">
        <v>646</v>
      </c>
      <c r="H201" s="3">
        <v>4382047.91622</v>
      </c>
      <c r="I201">
        <v>437</v>
      </c>
      <c r="J201" s="3">
        <v>438.20479162200002</v>
      </c>
      <c r="K201">
        <v>399</v>
      </c>
      <c r="L201">
        <v>475</v>
      </c>
      <c r="M201">
        <v>433.44001208824398</v>
      </c>
      <c r="N201">
        <v>16.791283971362201</v>
      </c>
      <c r="O201">
        <v>0</v>
      </c>
      <c r="P201">
        <v>19.4160976409912</v>
      </c>
      <c r="Q201">
        <v>4.6400103569030797</v>
      </c>
      <c r="R201">
        <v>2.89832639694214</v>
      </c>
      <c r="S201" t="s">
        <v>647</v>
      </c>
      <c r="T201" t="s">
        <v>692</v>
      </c>
      <c r="U201" t="s">
        <v>694</v>
      </c>
      <c r="V201" t="s">
        <v>694</v>
      </c>
      <c r="W201" s="3">
        <v>12275</v>
      </c>
      <c r="X201" s="3">
        <v>4380000</v>
      </c>
      <c r="Y201">
        <v>1</v>
      </c>
      <c r="Z201" s="3">
        <v>6433</v>
      </c>
      <c r="AA201" s="3">
        <v>6543</v>
      </c>
      <c r="AB201" s="3">
        <v>7991</v>
      </c>
      <c r="AC201" s="3">
        <v>10143</v>
      </c>
      <c r="AD201" s="3">
        <v>10417</v>
      </c>
      <c r="AE201" s="3">
        <v>10565</v>
      </c>
      <c r="AF201" s="3">
        <v>10981</v>
      </c>
      <c r="AG201" s="3">
        <v>11538</v>
      </c>
      <c r="AH201" s="3">
        <v>11759</v>
      </c>
      <c r="AI201" s="3">
        <v>11847</v>
      </c>
      <c r="AJ201" s="3">
        <v>11911</v>
      </c>
      <c r="AK201" s="3">
        <v>12033</v>
      </c>
      <c r="AL201" s="3">
        <v>12107</v>
      </c>
      <c r="AM201" s="3">
        <v>12075</v>
      </c>
      <c r="AN201" s="3">
        <v>12131</v>
      </c>
      <c r="AO201" s="3">
        <v>12167</v>
      </c>
      <c r="AP201" s="3">
        <v>12275</v>
      </c>
      <c r="AQ201" s="3">
        <v>12378</v>
      </c>
      <c r="AR201" s="4">
        <v>2802.511415525114</v>
      </c>
      <c r="AS201" s="5">
        <f t="shared" si="32"/>
        <v>0.21374164464480022</v>
      </c>
      <c r="AT201" s="5">
        <f t="shared" si="33"/>
        <v>2.4589467964066771</v>
      </c>
      <c r="AU201" s="5">
        <f t="shared" si="34"/>
        <v>3.7417094231009882</v>
      </c>
      <c r="AV201" s="5">
        <f t="shared" si="35"/>
        <v>1.1783990529095711</v>
      </c>
      <c r="AW201" s="5">
        <f t="shared" si="36"/>
        <v>1.4246394967127221</v>
      </c>
      <c r="AX201" s="5">
        <f t="shared" si="37"/>
        <v>2.6805155800275307</v>
      </c>
      <c r="AY201" s="5">
        <f t="shared" si="38"/>
        <v>2.4544052835674166</v>
      </c>
      <c r="AZ201">
        <f t="shared" si="39"/>
        <v>4360000</v>
      </c>
      <c r="BA201">
        <v>0</v>
      </c>
      <c r="BB201">
        <v>2150000</v>
      </c>
      <c r="BC201">
        <v>0</v>
      </c>
      <c r="BD201">
        <v>0</v>
      </c>
      <c r="BE201">
        <v>0</v>
      </c>
      <c r="BF201">
        <v>1840000</v>
      </c>
      <c r="BG201">
        <v>0</v>
      </c>
      <c r="BH201">
        <v>0</v>
      </c>
      <c r="BI201">
        <v>0</v>
      </c>
      <c r="BJ201">
        <v>10000</v>
      </c>
      <c r="BK201">
        <v>0</v>
      </c>
      <c r="BL201">
        <v>0</v>
      </c>
      <c r="BM201">
        <v>10000</v>
      </c>
      <c r="BN201">
        <v>340000</v>
      </c>
      <c r="BO201">
        <v>0</v>
      </c>
      <c r="BP201">
        <v>10000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289</v>
      </c>
      <c r="CC201">
        <v>337</v>
      </c>
      <c r="CD201">
        <v>378</v>
      </c>
      <c r="CE201">
        <v>391</v>
      </c>
      <c r="CF201" s="17">
        <v>66.284403669724767</v>
      </c>
      <c r="CG201" s="17">
        <v>77.293577981651367</v>
      </c>
      <c r="CH201" s="17">
        <v>86.697247706422019</v>
      </c>
      <c r="CI201" s="17">
        <v>89.678899082568805</v>
      </c>
      <c r="CJ201" s="18">
        <v>1</v>
      </c>
      <c r="CK201" s="18">
        <v>1.166089965397924</v>
      </c>
      <c r="CL201" s="18">
        <v>1.3079584775086506</v>
      </c>
      <c r="CM201" s="18">
        <v>1.3529411764705883</v>
      </c>
      <c r="CN201" s="18">
        <v>0</v>
      </c>
      <c r="CO201" s="18">
        <v>11.009174311926607</v>
      </c>
      <c r="CP201" s="18">
        <v>20.412844036697248</v>
      </c>
      <c r="CQ201" s="18">
        <v>23.394495412844037</v>
      </c>
      <c r="CR201" s="18">
        <f t="shared" si="40"/>
        <v>1.8770402611534276</v>
      </c>
      <c r="CS201" s="18">
        <f t="shared" si="41"/>
        <v>1.3873775843307943</v>
      </c>
      <c r="CT201">
        <v>88.073394495412799</v>
      </c>
      <c r="CU201">
        <v>11.697247706422038</v>
      </c>
      <c r="CV201">
        <v>0.22935779816513799</v>
      </c>
      <c r="CW201">
        <v>0</v>
      </c>
      <c r="CX201">
        <v>0</v>
      </c>
      <c r="CY201">
        <v>88.073394495412799</v>
      </c>
      <c r="CZ201">
        <v>11.697247706422038</v>
      </c>
      <c r="DA201">
        <v>0.22935779816513799</v>
      </c>
      <c r="DB201">
        <v>0</v>
      </c>
      <c r="DC201">
        <v>0</v>
      </c>
      <c r="DD201">
        <v>97.247706422018297</v>
      </c>
      <c r="DE201">
        <v>2.522935779816518</v>
      </c>
      <c r="DF201">
        <v>0.22935779816513799</v>
      </c>
      <c r="DG201">
        <v>0</v>
      </c>
      <c r="DH201">
        <v>0</v>
      </c>
      <c r="DI201">
        <v>91.513761467889907</v>
      </c>
      <c r="DJ201">
        <v>8.2568807339449553</v>
      </c>
      <c r="DK201">
        <v>0.22935779816513799</v>
      </c>
      <c r="DL201">
        <v>0</v>
      </c>
      <c r="DM201">
        <v>0</v>
      </c>
      <c r="DN201">
        <v>91.513761467889907</v>
      </c>
      <c r="DO201">
        <v>8.2568807339449553</v>
      </c>
      <c r="DP201">
        <v>0.22935779816513799</v>
      </c>
      <c r="DQ201">
        <v>0</v>
      </c>
      <c r="DR201">
        <v>0</v>
      </c>
      <c r="DS201" t="s">
        <v>371</v>
      </c>
      <c r="DT201" t="s">
        <v>313</v>
      </c>
      <c r="DU201">
        <v>12607</v>
      </c>
      <c r="DV201" t="s">
        <v>547</v>
      </c>
      <c r="DW201" t="s">
        <v>548</v>
      </c>
      <c r="DX201">
        <v>86</v>
      </c>
      <c r="DY201">
        <v>130</v>
      </c>
      <c r="DZ201">
        <v>216</v>
      </c>
      <c r="EA201">
        <v>606779</v>
      </c>
      <c r="EB201">
        <v>388178</v>
      </c>
      <c r="EC201">
        <v>994957</v>
      </c>
      <c r="ED201" t="s">
        <v>274</v>
      </c>
      <c r="EE201" t="s">
        <v>274</v>
      </c>
      <c r="EF201" t="s">
        <v>274</v>
      </c>
      <c r="EG201" t="s">
        <v>274</v>
      </c>
    </row>
    <row r="202" spans="1:137" ht="14.55" customHeight="1" x14ac:dyDescent="0.3">
      <c r="A202" t="s">
        <v>695</v>
      </c>
      <c r="B202">
        <v>6624</v>
      </c>
      <c r="C202" t="s">
        <v>696</v>
      </c>
      <c r="D202" t="s">
        <v>543</v>
      </c>
      <c r="E202" t="s">
        <v>645</v>
      </c>
      <c r="F202" t="s">
        <v>270</v>
      </c>
      <c r="G202" t="s">
        <v>646</v>
      </c>
      <c r="H202" s="3">
        <v>3286302.0235700002</v>
      </c>
      <c r="I202">
        <v>331</v>
      </c>
      <c r="J202" s="3">
        <v>328.63020235700003</v>
      </c>
      <c r="K202">
        <v>424</v>
      </c>
      <c r="L202">
        <v>496</v>
      </c>
      <c r="M202">
        <v>462.77916582712101</v>
      </c>
      <c r="N202">
        <v>15.413816124926701</v>
      </c>
      <c r="O202">
        <v>0</v>
      </c>
      <c r="P202">
        <v>17.721755981445298</v>
      </c>
      <c r="Q202">
        <v>4.1762757301330602</v>
      </c>
      <c r="R202">
        <v>2.52413082122803</v>
      </c>
      <c r="S202" t="s">
        <v>647</v>
      </c>
      <c r="T202" t="s">
        <v>695</v>
      </c>
      <c r="U202" t="s">
        <v>696</v>
      </c>
      <c r="V202" t="s">
        <v>696</v>
      </c>
      <c r="W202" s="3">
        <v>483</v>
      </c>
      <c r="X202" s="3">
        <v>3290000</v>
      </c>
      <c r="Y202">
        <v>3</v>
      </c>
      <c r="Z202" s="3">
        <v>203</v>
      </c>
      <c r="AA202" s="3">
        <v>249</v>
      </c>
      <c r="AB202" s="3">
        <v>382</v>
      </c>
      <c r="AC202" s="3">
        <v>395</v>
      </c>
      <c r="AD202" s="3">
        <v>406</v>
      </c>
      <c r="AE202" s="3">
        <v>420</v>
      </c>
      <c r="AF202" s="3">
        <v>421</v>
      </c>
      <c r="AG202" s="3">
        <v>454</v>
      </c>
      <c r="AH202" s="3">
        <v>485</v>
      </c>
      <c r="AI202" s="3">
        <v>480</v>
      </c>
      <c r="AJ202" s="3">
        <v>497</v>
      </c>
      <c r="AK202" s="3">
        <v>499</v>
      </c>
      <c r="AL202" s="3">
        <v>508</v>
      </c>
      <c r="AM202" s="3">
        <v>483</v>
      </c>
      <c r="AN202" s="3">
        <v>481</v>
      </c>
      <c r="AO202" s="3">
        <v>477</v>
      </c>
      <c r="AP202" s="3">
        <v>483</v>
      </c>
      <c r="AQ202" s="3">
        <v>473</v>
      </c>
      <c r="AR202" s="4">
        <v>146.80851063829786</v>
      </c>
      <c r="AS202" s="5">
        <f t="shared" si="32"/>
        <v>2.8325123152709359</v>
      </c>
      <c r="AT202" s="5">
        <f t="shared" si="33"/>
        <v>5.9348505131637665</v>
      </c>
      <c r="AU202" s="5">
        <f t="shared" si="34"/>
        <v>1.0209424083769634</v>
      </c>
      <c r="AV202" s="5">
        <f t="shared" si="35"/>
        <v>1.4726840855106889</v>
      </c>
      <c r="AW202" s="5">
        <f t="shared" si="36"/>
        <v>5.1869023471457556</v>
      </c>
      <c r="AX202" s="5">
        <f t="shared" si="37"/>
        <v>1.3219895287958114</v>
      </c>
      <c r="AY202" s="5">
        <f t="shared" si="38"/>
        <v>3.7278657968313142</v>
      </c>
      <c r="AZ202">
        <f t="shared" si="39"/>
        <v>3300000</v>
      </c>
      <c r="BA202">
        <v>0</v>
      </c>
      <c r="BB202">
        <v>230000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1980000</v>
      </c>
      <c r="BK202">
        <v>10000</v>
      </c>
      <c r="BL202">
        <v>0</v>
      </c>
      <c r="BM202">
        <v>0</v>
      </c>
      <c r="BN202">
        <v>0</v>
      </c>
      <c r="BO202">
        <v>0</v>
      </c>
      <c r="BP202">
        <v>1080000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20</v>
      </c>
      <c r="CC202">
        <v>22</v>
      </c>
      <c r="CD202">
        <v>27</v>
      </c>
      <c r="CE202">
        <v>28</v>
      </c>
      <c r="CF202" s="17">
        <v>6.25</v>
      </c>
      <c r="CG202" s="17">
        <v>6.8750000000000009</v>
      </c>
      <c r="CH202" s="17">
        <v>8.4375</v>
      </c>
      <c r="CI202" s="17">
        <v>8.75</v>
      </c>
      <c r="CJ202" s="18">
        <v>1</v>
      </c>
      <c r="CK202" s="18">
        <v>1.1000000000000001</v>
      </c>
      <c r="CL202" s="18">
        <v>1.35</v>
      </c>
      <c r="CM202" s="18">
        <v>1.4</v>
      </c>
      <c r="CN202" s="18">
        <v>0</v>
      </c>
      <c r="CO202" s="18">
        <v>0.625</v>
      </c>
      <c r="CP202" s="18">
        <v>2.1875</v>
      </c>
      <c r="CQ202" s="18">
        <v>2.5</v>
      </c>
      <c r="CR202" s="18">
        <f t="shared" si="40"/>
        <v>2.3793103448275863</v>
      </c>
      <c r="CS202" s="18">
        <f t="shared" si="41"/>
        <v>1.6995073891625618</v>
      </c>
      <c r="CT202">
        <v>7.5757575757575797</v>
      </c>
      <c r="CU202">
        <v>60.303030303030305</v>
      </c>
      <c r="CV202">
        <v>32.121212121212103</v>
      </c>
      <c r="CW202">
        <v>0</v>
      </c>
      <c r="CX202">
        <v>0</v>
      </c>
      <c r="CY202">
        <v>7.5757575757575797</v>
      </c>
      <c r="CZ202">
        <v>60.303030303030305</v>
      </c>
      <c r="DA202">
        <v>32.121212121212103</v>
      </c>
      <c r="DB202">
        <v>0</v>
      </c>
      <c r="DC202">
        <v>0</v>
      </c>
      <c r="DD202">
        <v>0</v>
      </c>
      <c r="DE202">
        <v>67.272727272727295</v>
      </c>
      <c r="DF202">
        <v>32.727272727272698</v>
      </c>
      <c r="DG202">
        <v>0</v>
      </c>
      <c r="DH202">
        <v>0</v>
      </c>
      <c r="DI202">
        <v>6.9696969696969697</v>
      </c>
      <c r="DJ202">
        <v>60.303030303030305</v>
      </c>
      <c r="DK202">
        <v>32.727272727272698</v>
      </c>
      <c r="DL202">
        <v>0</v>
      </c>
      <c r="DM202">
        <v>0</v>
      </c>
      <c r="DN202">
        <v>6.9696969696969697</v>
      </c>
      <c r="DO202">
        <v>60.303030303030305</v>
      </c>
      <c r="DP202">
        <v>32.727272727272698</v>
      </c>
      <c r="DQ202">
        <v>0</v>
      </c>
      <c r="DR202">
        <v>0</v>
      </c>
      <c r="DS202" t="s">
        <v>312</v>
      </c>
      <c r="DT202" t="s">
        <v>313</v>
      </c>
      <c r="DU202">
        <v>499</v>
      </c>
      <c r="DV202" t="s">
        <v>547</v>
      </c>
      <c r="DW202" t="s">
        <v>548</v>
      </c>
      <c r="DX202">
        <v>86</v>
      </c>
      <c r="DY202">
        <v>130</v>
      </c>
      <c r="DZ202">
        <v>216</v>
      </c>
      <c r="EA202">
        <v>606779</v>
      </c>
      <c r="EB202">
        <v>388178</v>
      </c>
      <c r="EC202">
        <v>994957</v>
      </c>
      <c r="ED202" t="s">
        <v>274</v>
      </c>
      <c r="EE202" t="s">
        <v>274</v>
      </c>
      <c r="EF202" t="s">
        <v>274</v>
      </c>
      <c r="EG202" t="s">
        <v>274</v>
      </c>
    </row>
    <row r="203" spans="1:137" ht="14.55" customHeight="1" x14ac:dyDescent="0.3">
      <c r="A203" t="s">
        <v>697</v>
      </c>
      <c r="B203">
        <v>6625</v>
      </c>
      <c r="C203" t="s">
        <v>698</v>
      </c>
      <c r="D203" t="s">
        <v>543</v>
      </c>
      <c r="E203" t="s">
        <v>645</v>
      </c>
      <c r="F203" t="s">
        <v>270</v>
      </c>
      <c r="G203" t="s">
        <v>646</v>
      </c>
      <c r="H203" s="3">
        <v>1430137.80846</v>
      </c>
      <c r="I203">
        <v>142</v>
      </c>
      <c r="J203" s="3">
        <v>143.01378086099999</v>
      </c>
      <c r="K203">
        <v>367</v>
      </c>
      <c r="L203">
        <v>428</v>
      </c>
      <c r="M203">
        <v>401.44542090656802</v>
      </c>
      <c r="N203">
        <v>14.134873971692899</v>
      </c>
      <c r="O203">
        <v>0</v>
      </c>
      <c r="P203">
        <v>18.305448532104499</v>
      </c>
      <c r="Q203">
        <v>4.2516927719116202</v>
      </c>
      <c r="R203">
        <v>2.5091741085052499</v>
      </c>
      <c r="S203" t="s">
        <v>647</v>
      </c>
      <c r="T203" t="s">
        <v>697</v>
      </c>
      <c r="U203" t="s">
        <v>698</v>
      </c>
      <c r="V203" t="s">
        <v>698</v>
      </c>
      <c r="W203" s="3">
        <v>1047</v>
      </c>
      <c r="X203" s="3">
        <v>1440000</v>
      </c>
      <c r="Y203">
        <v>2</v>
      </c>
      <c r="Z203" s="3">
        <v>604</v>
      </c>
      <c r="AA203" s="3">
        <v>663</v>
      </c>
      <c r="AB203" s="3">
        <v>794</v>
      </c>
      <c r="AC203" s="3">
        <v>898</v>
      </c>
      <c r="AD203" s="3">
        <v>904</v>
      </c>
      <c r="AE203" s="3">
        <v>915</v>
      </c>
      <c r="AF203" s="3">
        <v>925</v>
      </c>
      <c r="AG203" s="3">
        <v>939</v>
      </c>
      <c r="AH203" s="3">
        <v>946</v>
      </c>
      <c r="AI203" s="3">
        <v>965</v>
      </c>
      <c r="AJ203" s="3">
        <v>966</v>
      </c>
      <c r="AK203" s="3">
        <v>1013</v>
      </c>
      <c r="AL203" s="3">
        <v>1016</v>
      </c>
      <c r="AM203" s="3">
        <v>1014</v>
      </c>
      <c r="AN203" s="3">
        <v>1036</v>
      </c>
      <c r="AO203" s="3">
        <v>1062</v>
      </c>
      <c r="AP203" s="3">
        <v>1047</v>
      </c>
      <c r="AQ203" s="3">
        <v>1073</v>
      </c>
      <c r="AR203" s="4">
        <v>727.08333333333337</v>
      </c>
      <c r="AS203" s="5">
        <f t="shared" si="32"/>
        <v>1.2210264900662251</v>
      </c>
      <c r="AT203" s="5">
        <f t="shared" si="33"/>
        <v>2.195408077761019</v>
      </c>
      <c r="AU203" s="5">
        <f t="shared" si="34"/>
        <v>1.649874055415617</v>
      </c>
      <c r="AV203" s="5">
        <f t="shared" si="35"/>
        <v>1.318918918918919</v>
      </c>
      <c r="AW203" s="5">
        <f t="shared" si="36"/>
        <v>1.8504090377873004</v>
      </c>
      <c r="AX203" s="5">
        <f t="shared" si="37"/>
        <v>1.593198992443325</v>
      </c>
      <c r="AY203" s="5">
        <f t="shared" si="38"/>
        <v>1.9822802935385717</v>
      </c>
      <c r="AZ203">
        <f t="shared" si="39"/>
        <v>1450000</v>
      </c>
      <c r="BA203">
        <v>0</v>
      </c>
      <c r="BB203">
        <v>530000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540000</v>
      </c>
      <c r="BK203">
        <v>240000</v>
      </c>
      <c r="BL203">
        <v>0</v>
      </c>
      <c r="BM203">
        <v>0</v>
      </c>
      <c r="BN203">
        <v>0</v>
      </c>
      <c r="BO203">
        <v>0</v>
      </c>
      <c r="BP203">
        <v>140000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31</v>
      </c>
      <c r="CC203">
        <v>38</v>
      </c>
      <c r="CD203">
        <v>42</v>
      </c>
      <c r="CE203">
        <v>44</v>
      </c>
      <c r="CF203" s="17">
        <v>21.232876712328768</v>
      </c>
      <c r="CG203" s="17">
        <v>26.027397260273972</v>
      </c>
      <c r="CH203" s="17">
        <v>28.767123287671232</v>
      </c>
      <c r="CI203" s="17">
        <v>30.136986301369863</v>
      </c>
      <c r="CJ203" s="18">
        <v>1</v>
      </c>
      <c r="CK203" s="18">
        <v>1.2258064516129032</v>
      </c>
      <c r="CL203" s="18">
        <v>1.3548387096774193</v>
      </c>
      <c r="CM203" s="18">
        <v>1.4193548387096775</v>
      </c>
      <c r="CN203" s="18">
        <v>0</v>
      </c>
      <c r="CO203" s="18">
        <v>4.7945205479452051</v>
      </c>
      <c r="CP203" s="18">
        <v>7.5342465753424657</v>
      </c>
      <c r="CQ203" s="18">
        <v>8.9041095890410951</v>
      </c>
      <c r="CR203" s="18">
        <f t="shared" si="40"/>
        <v>1.6788079470198676</v>
      </c>
      <c r="CS203" s="18">
        <f t="shared" si="41"/>
        <v>1.1827965081276339</v>
      </c>
      <c r="CT203">
        <v>35.862068965517203</v>
      </c>
      <c r="CU203">
        <v>57.241379310344797</v>
      </c>
      <c r="CV203">
        <v>4.8275862068965498</v>
      </c>
      <c r="CW203">
        <v>0</v>
      </c>
      <c r="CX203">
        <v>2.0689655172413799</v>
      </c>
      <c r="CY203">
        <v>35.862068965517203</v>
      </c>
      <c r="CZ203">
        <v>57.241379310344797</v>
      </c>
      <c r="DA203">
        <v>4.8275862068965498</v>
      </c>
      <c r="DB203">
        <v>0</v>
      </c>
      <c r="DC203">
        <v>2.0689655172413799</v>
      </c>
      <c r="DD203">
        <v>37.241379310344797</v>
      </c>
      <c r="DE203">
        <v>53.103448275861993</v>
      </c>
      <c r="DF203">
        <v>9.6551724137930997</v>
      </c>
      <c r="DG203">
        <v>0</v>
      </c>
      <c r="DH203">
        <v>0</v>
      </c>
      <c r="DI203">
        <v>36.551724137930997</v>
      </c>
      <c r="DJ203">
        <v>53.793103448275801</v>
      </c>
      <c r="DK203">
        <v>9.6551724137930997</v>
      </c>
      <c r="DL203">
        <v>0</v>
      </c>
      <c r="DM203">
        <v>0</v>
      </c>
      <c r="DN203">
        <v>36.551724137930997</v>
      </c>
      <c r="DO203">
        <v>53.793103448275801</v>
      </c>
      <c r="DP203">
        <v>9.6551724137930997</v>
      </c>
      <c r="DQ203">
        <v>0</v>
      </c>
      <c r="DR203">
        <v>0</v>
      </c>
      <c r="DS203" t="s">
        <v>312</v>
      </c>
      <c r="DT203" t="s">
        <v>313</v>
      </c>
      <c r="DU203">
        <v>1189</v>
      </c>
      <c r="DV203" t="s">
        <v>547</v>
      </c>
      <c r="DW203" t="s">
        <v>548</v>
      </c>
      <c r="DX203">
        <v>86</v>
      </c>
      <c r="DY203">
        <v>130</v>
      </c>
      <c r="DZ203">
        <v>216</v>
      </c>
      <c r="EA203">
        <v>606779</v>
      </c>
      <c r="EB203">
        <v>388178</v>
      </c>
      <c r="EC203">
        <v>994957</v>
      </c>
      <c r="ED203" t="s">
        <v>274</v>
      </c>
      <c r="EE203" t="s">
        <v>274</v>
      </c>
      <c r="EF203" t="s">
        <v>274</v>
      </c>
      <c r="EG203" t="s">
        <v>274</v>
      </c>
    </row>
    <row r="204" spans="1:137" ht="14.55" customHeight="1" x14ac:dyDescent="0.3">
      <c r="A204" t="s">
        <v>699</v>
      </c>
      <c r="B204">
        <v>6626</v>
      </c>
      <c r="C204" t="s">
        <v>700</v>
      </c>
      <c r="D204" t="s">
        <v>543</v>
      </c>
      <c r="E204" t="s">
        <v>645</v>
      </c>
      <c r="F204" t="s">
        <v>270</v>
      </c>
      <c r="G204" t="s">
        <v>646</v>
      </c>
      <c r="H204" s="3">
        <v>11350154.0096</v>
      </c>
      <c r="I204">
        <v>1131</v>
      </c>
      <c r="J204" s="3">
        <v>1135.01540099</v>
      </c>
      <c r="K204">
        <v>422</v>
      </c>
      <c r="L204">
        <v>532</v>
      </c>
      <c r="M204">
        <v>482.61556397551698</v>
      </c>
      <c r="N204">
        <v>22.418690993961899</v>
      </c>
      <c r="O204">
        <v>0</v>
      </c>
      <c r="P204">
        <v>16.428861618041999</v>
      </c>
      <c r="Q204">
        <v>4.0575714111328098</v>
      </c>
      <c r="R204">
        <v>2.4139318466186501</v>
      </c>
      <c r="S204" t="s">
        <v>647</v>
      </c>
      <c r="T204" t="s">
        <v>699</v>
      </c>
      <c r="U204" t="s">
        <v>700</v>
      </c>
      <c r="V204" t="s">
        <v>700</v>
      </c>
      <c r="W204" s="3">
        <v>1241</v>
      </c>
      <c r="X204" s="3">
        <v>11350000</v>
      </c>
      <c r="Y204">
        <v>3</v>
      </c>
      <c r="Z204" s="3">
        <v>855</v>
      </c>
      <c r="AA204" s="3">
        <v>900</v>
      </c>
      <c r="AB204" s="3">
        <v>1002</v>
      </c>
      <c r="AC204" s="3">
        <v>1142</v>
      </c>
      <c r="AD204" s="3">
        <v>1168</v>
      </c>
      <c r="AE204" s="3">
        <v>1180</v>
      </c>
      <c r="AF204" s="3">
        <v>1169</v>
      </c>
      <c r="AG204" s="3">
        <v>1151</v>
      </c>
      <c r="AH204" s="3">
        <v>1158</v>
      </c>
      <c r="AI204" s="3">
        <v>1182</v>
      </c>
      <c r="AJ204" s="3">
        <v>1237</v>
      </c>
      <c r="AK204" s="3">
        <v>1256</v>
      </c>
      <c r="AL204" s="3">
        <v>1271</v>
      </c>
      <c r="AM204" s="3">
        <v>1264</v>
      </c>
      <c r="AN204" s="3">
        <v>1294</v>
      </c>
      <c r="AO204" s="3">
        <v>1279</v>
      </c>
      <c r="AP204" s="3">
        <v>1241</v>
      </c>
      <c r="AQ204" s="3">
        <v>1233</v>
      </c>
      <c r="AR204" s="4">
        <v>109.33920704845815</v>
      </c>
      <c r="AS204" s="5">
        <f t="shared" si="32"/>
        <v>0.6578947368421052</v>
      </c>
      <c r="AT204" s="5">
        <f t="shared" si="33"/>
        <v>1.2592592592592593</v>
      </c>
      <c r="AU204" s="5">
        <f t="shared" si="34"/>
        <v>1.6666666666666667</v>
      </c>
      <c r="AV204" s="5">
        <f t="shared" si="35"/>
        <v>0.61591103507271172</v>
      </c>
      <c r="AW204" s="5">
        <f t="shared" si="36"/>
        <v>1.0113519091847265</v>
      </c>
      <c r="AX204" s="5">
        <f t="shared" si="37"/>
        <v>1.1926147704590817</v>
      </c>
      <c r="AY204" s="5">
        <f t="shared" si="38"/>
        <v>1.2201675359570097</v>
      </c>
      <c r="AZ204">
        <f t="shared" si="39"/>
        <v>11330000</v>
      </c>
      <c r="BA204">
        <v>0</v>
      </c>
      <c r="BB204">
        <v>460000</v>
      </c>
      <c r="BC204">
        <v>230000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5860000</v>
      </c>
      <c r="BK204">
        <v>310000</v>
      </c>
      <c r="BL204">
        <v>0</v>
      </c>
      <c r="BM204">
        <v>0</v>
      </c>
      <c r="BN204">
        <v>0</v>
      </c>
      <c r="BO204">
        <v>0</v>
      </c>
      <c r="BP204">
        <v>4470000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74</v>
      </c>
      <c r="CC204">
        <v>85</v>
      </c>
      <c r="CD204">
        <v>103</v>
      </c>
      <c r="CE204">
        <v>105</v>
      </c>
      <c r="CF204" s="17">
        <v>6.5198237885462555</v>
      </c>
      <c r="CG204" s="17">
        <v>7.4889867841409687</v>
      </c>
      <c r="CH204" s="17">
        <v>9.0748898678414101</v>
      </c>
      <c r="CI204" s="17">
        <v>9.251101321585903</v>
      </c>
      <c r="CJ204" s="18">
        <v>1</v>
      </c>
      <c r="CK204" s="18">
        <v>1.1486486486486487</v>
      </c>
      <c r="CL204" s="18">
        <v>1.3918918918918919</v>
      </c>
      <c r="CM204" s="18">
        <v>1.4189189189189189</v>
      </c>
      <c r="CN204" s="18">
        <v>0</v>
      </c>
      <c r="CO204" s="18">
        <v>0.96916299559471364</v>
      </c>
      <c r="CP204" s="18">
        <v>2.5550660792951541</v>
      </c>
      <c r="CQ204" s="18">
        <v>2.7312775330396475</v>
      </c>
      <c r="CR204" s="18">
        <f t="shared" si="40"/>
        <v>1.4783625730994152</v>
      </c>
      <c r="CS204" s="18">
        <f t="shared" si="41"/>
        <v>1.0418936229462545</v>
      </c>
      <c r="CT204">
        <v>9.9735216240070592</v>
      </c>
      <c r="CU204">
        <v>51.191526919682282</v>
      </c>
      <c r="CV204">
        <v>38.834951456310698</v>
      </c>
      <c r="CW204">
        <v>0</v>
      </c>
      <c r="CX204">
        <v>0</v>
      </c>
      <c r="CY204">
        <v>9.9735216240070592</v>
      </c>
      <c r="CZ204">
        <v>51.191526919682282</v>
      </c>
      <c r="DA204">
        <v>38.834951456310698</v>
      </c>
      <c r="DB204">
        <v>0</v>
      </c>
      <c r="DC204">
        <v>0</v>
      </c>
      <c r="DD204">
        <v>2.9126213592233001</v>
      </c>
      <c r="DE204">
        <v>57.722859664607213</v>
      </c>
      <c r="DF204">
        <v>39.364518976169499</v>
      </c>
      <c r="DG204">
        <v>0</v>
      </c>
      <c r="DH204">
        <v>0</v>
      </c>
      <c r="DI204">
        <v>6.0900264783759894</v>
      </c>
      <c r="DJ204">
        <v>54.457193292144709</v>
      </c>
      <c r="DK204">
        <v>39.452780229479302</v>
      </c>
      <c r="DL204">
        <v>0</v>
      </c>
      <c r="DM204">
        <v>0</v>
      </c>
      <c r="DN204">
        <v>6.0900264783759894</v>
      </c>
      <c r="DO204">
        <v>54.457193292144709</v>
      </c>
      <c r="DP204">
        <v>39.452780229479302</v>
      </c>
      <c r="DQ204">
        <v>0</v>
      </c>
      <c r="DR204">
        <v>0</v>
      </c>
      <c r="DS204" t="s">
        <v>312</v>
      </c>
      <c r="DT204" t="s">
        <v>313</v>
      </c>
      <c r="DU204">
        <v>1193</v>
      </c>
      <c r="DV204" t="s">
        <v>547</v>
      </c>
      <c r="DW204" t="s">
        <v>548</v>
      </c>
      <c r="DX204">
        <v>86</v>
      </c>
      <c r="DY204">
        <v>130</v>
      </c>
      <c r="DZ204">
        <v>216</v>
      </c>
      <c r="EA204">
        <v>606779</v>
      </c>
      <c r="EB204">
        <v>388178</v>
      </c>
      <c r="EC204">
        <v>994957</v>
      </c>
      <c r="ED204" t="s">
        <v>274</v>
      </c>
      <c r="EE204" t="s">
        <v>274</v>
      </c>
      <c r="EF204" t="s">
        <v>274</v>
      </c>
      <c r="EG204" t="s">
        <v>274</v>
      </c>
    </row>
    <row r="205" spans="1:137" ht="14.55" customHeight="1" x14ac:dyDescent="0.3">
      <c r="A205" t="s">
        <v>701</v>
      </c>
      <c r="B205">
        <v>6627</v>
      </c>
      <c r="C205" t="s">
        <v>702</v>
      </c>
      <c r="D205" t="s">
        <v>543</v>
      </c>
      <c r="E205" t="s">
        <v>645</v>
      </c>
      <c r="F205" t="s">
        <v>270</v>
      </c>
      <c r="G205" t="s">
        <v>646</v>
      </c>
      <c r="H205" s="3">
        <v>3831208.4752099998</v>
      </c>
      <c r="I205">
        <v>382</v>
      </c>
      <c r="J205" s="3">
        <v>383.12084752099997</v>
      </c>
      <c r="K205">
        <v>419</v>
      </c>
      <c r="L205">
        <v>475</v>
      </c>
      <c r="M205">
        <v>440.52819093739203</v>
      </c>
      <c r="N205">
        <v>10.7133405949349</v>
      </c>
      <c r="O205">
        <v>0</v>
      </c>
      <c r="P205">
        <v>16.592353820800799</v>
      </c>
      <c r="Q205">
        <v>3.8850965499877899</v>
      </c>
      <c r="R205">
        <v>2.3043270111084002</v>
      </c>
      <c r="S205" t="s">
        <v>647</v>
      </c>
      <c r="T205" t="s">
        <v>701</v>
      </c>
      <c r="U205" t="s">
        <v>702</v>
      </c>
      <c r="V205" t="s">
        <v>702</v>
      </c>
      <c r="W205" s="3">
        <v>684</v>
      </c>
      <c r="X205" s="3">
        <v>3830000</v>
      </c>
      <c r="Y205">
        <v>2</v>
      </c>
      <c r="Z205" s="3">
        <v>447</v>
      </c>
      <c r="AA205" s="3">
        <v>487</v>
      </c>
      <c r="AB205" s="3">
        <v>542</v>
      </c>
      <c r="AC205" s="3">
        <v>609</v>
      </c>
      <c r="AD205" s="3">
        <v>624</v>
      </c>
      <c r="AE205" s="3">
        <v>628</v>
      </c>
      <c r="AF205" s="3">
        <v>626</v>
      </c>
      <c r="AG205" s="3">
        <v>610</v>
      </c>
      <c r="AH205" s="3">
        <v>614</v>
      </c>
      <c r="AI205" s="3">
        <v>605</v>
      </c>
      <c r="AJ205" s="3">
        <v>602</v>
      </c>
      <c r="AK205" s="3">
        <v>627</v>
      </c>
      <c r="AL205" s="3">
        <v>661</v>
      </c>
      <c r="AM205" s="3">
        <v>654</v>
      </c>
      <c r="AN205" s="3">
        <v>682</v>
      </c>
      <c r="AO205" s="3">
        <v>699</v>
      </c>
      <c r="AP205" s="3">
        <v>684</v>
      </c>
      <c r="AQ205" s="3">
        <v>710</v>
      </c>
      <c r="AR205" s="4">
        <v>178.59007832898172</v>
      </c>
      <c r="AS205" s="5">
        <f t="shared" si="32"/>
        <v>1.1185682326621924</v>
      </c>
      <c r="AT205" s="5">
        <f t="shared" si="33"/>
        <v>1.2548482774355463</v>
      </c>
      <c r="AU205" s="5">
        <f t="shared" si="34"/>
        <v>1.5498154981549817</v>
      </c>
      <c r="AV205" s="5">
        <f t="shared" si="35"/>
        <v>0.92651757188498396</v>
      </c>
      <c r="AW205" s="5">
        <f t="shared" si="36"/>
        <v>1.2501644953283326</v>
      </c>
      <c r="AX205" s="5">
        <f t="shared" si="37"/>
        <v>1.3099630996309963</v>
      </c>
      <c r="AY205" s="5">
        <f t="shared" si="38"/>
        <v>1.4329766007618356</v>
      </c>
      <c r="AZ205">
        <f t="shared" si="39"/>
        <v>3830000</v>
      </c>
      <c r="BA205">
        <v>0</v>
      </c>
      <c r="BB205">
        <v>280000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2770000</v>
      </c>
      <c r="BK205">
        <v>120000</v>
      </c>
      <c r="BL205">
        <v>0</v>
      </c>
      <c r="BM205">
        <v>0</v>
      </c>
      <c r="BN205">
        <v>430000</v>
      </c>
      <c r="BO205">
        <v>0</v>
      </c>
      <c r="BP205">
        <v>0</v>
      </c>
      <c r="BQ205">
        <v>0</v>
      </c>
      <c r="BR205">
        <v>230000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49</v>
      </c>
      <c r="CC205">
        <v>37</v>
      </c>
      <c r="CD205">
        <v>43</v>
      </c>
      <c r="CE205">
        <v>48</v>
      </c>
      <c r="CF205" s="17">
        <v>12.860892388451445</v>
      </c>
      <c r="CG205" s="17">
        <v>9.7112860892388451</v>
      </c>
      <c r="CH205" s="17">
        <v>11.286089238845145</v>
      </c>
      <c r="CI205" s="17">
        <v>12.598425196850393</v>
      </c>
      <c r="CJ205" s="18">
        <v>1</v>
      </c>
      <c r="CK205" s="18">
        <v>0.75510204081632648</v>
      </c>
      <c r="CL205" s="18">
        <v>0.87755102040816324</v>
      </c>
      <c r="CM205" s="18">
        <v>0.97959183673469385</v>
      </c>
      <c r="CN205" s="18">
        <v>0</v>
      </c>
      <c r="CO205" s="18">
        <v>-3.1496062992125982</v>
      </c>
      <c r="CP205" s="18">
        <v>-1.5748031496062991</v>
      </c>
      <c r="CQ205" s="18">
        <v>-0.26246719160104987</v>
      </c>
      <c r="CR205" s="18">
        <f t="shared" si="40"/>
        <v>1.4630872483221478</v>
      </c>
      <c r="CS205" s="18">
        <f t="shared" si="41"/>
        <v>1.4935682326621926</v>
      </c>
      <c r="CT205">
        <v>7.0496083550913804</v>
      </c>
      <c r="CU205">
        <v>86.945169712793728</v>
      </c>
      <c r="CV205">
        <v>6.0052219321148801</v>
      </c>
      <c r="CW205">
        <v>0</v>
      </c>
      <c r="CX205">
        <v>0</v>
      </c>
      <c r="CY205">
        <v>7.0496083550913804</v>
      </c>
      <c r="CZ205">
        <v>86.945169712793728</v>
      </c>
      <c r="DA205">
        <v>6.0052219321148801</v>
      </c>
      <c r="DB205">
        <v>0</v>
      </c>
      <c r="DC205">
        <v>0</v>
      </c>
      <c r="DD205">
        <v>7.3107049608355101</v>
      </c>
      <c r="DE205">
        <v>86.422976501305499</v>
      </c>
      <c r="DF205">
        <v>6.2663185378590098</v>
      </c>
      <c r="DG205">
        <v>0</v>
      </c>
      <c r="DH205">
        <v>0</v>
      </c>
      <c r="DI205">
        <v>7.3107049608355101</v>
      </c>
      <c r="DJ205">
        <v>86.684073107049599</v>
      </c>
      <c r="DK205">
        <v>6.0052219321148801</v>
      </c>
      <c r="DL205">
        <v>0</v>
      </c>
      <c r="DM205">
        <v>0</v>
      </c>
      <c r="DN205">
        <v>7.3107049608355101</v>
      </c>
      <c r="DO205">
        <v>86.684073107049599</v>
      </c>
      <c r="DP205">
        <v>6.0052219321148801</v>
      </c>
      <c r="DQ205">
        <v>0</v>
      </c>
      <c r="DR205">
        <v>0</v>
      </c>
      <c r="DS205" t="s">
        <v>312</v>
      </c>
      <c r="DT205" t="s">
        <v>313</v>
      </c>
      <c r="DU205">
        <v>703</v>
      </c>
      <c r="DV205" t="s">
        <v>547</v>
      </c>
      <c r="DW205" t="s">
        <v>548</v>
      </c>
      <c r="DX205">
        <v>86</v>
      </c>
      <c r="DY205">
        <v>130</v>
      </c>
      <c r="DZ205">
        <v>216</v>
      </c>
      <c r="EA205">
        <v>606779</v>
      </c>
      <c r="EB205">
        <v>388178</v>
      </c>
      <c r="EC205">
        <v>994957</v>
      </c>
      <c r="ED205" t="s">
        <v>274</v>
      </c>
      <c r="EE205" t="s">
        <v>274</v>
      </c>
      <c r="EF205" t="s">
        <v>274</v>
      </c>
      <c r="EG205" t="s">
        <v>274</v>
      </c>
    </row>
    <row r="206" spans="1:137" ht="14.55" customHeight="1" x14ac:dyDescent="0.3">
      <c r="A206" t="s">
        <v>703</v>
      </c>
      <c r="B206">
        <v>6628</v>
      </c>
      <c r="C206" t="s">
        <v>704</v>
      </c>
      <c r="D206" t="s">
        <v>543</v>
      </c>
      <c r="E206" t="s">
        <v>645</v>
      </c>
      <c r="F206" t="s">
        <v>270</v>
      </c>
      <c r="G206" t="s">
        <v>646</v>
      </c>
      <c r="H206" s="3">
        <v>4773774.0087799998</v>
      </c>
      <c r="I206">
        <v>482</v>
      </c>
      <c r="J206" s="3">
        <v>477.377400878</v>
      </c>
      <c r="K206">
        <v>364</v>
      </c>
      <c r="L206">
        <v>438</v>
      </c>
      <c r="M206">
        <v>405.51603053435099</v>
      </c>
      <c r="N206">
        <v>14.281532304034601</v>
      </c>
      <c r="O206">
        <v>0</v>
      </c>
      <c r="P206">
        <v>27.8870353698731</v>
      </c>
      <c r="Q206">
        <v>4.9021034240722701</v>
      </c>
      <c r="R206">
        <v>3.2657425403595002</v>
      </c>
      <c r="S206" t="s">
        <v>647</v>
      </c>
      <c r="T206" t="s">
        <v>703</v>
      </c>
      <c r="U206" t="s">
        <v>704</v>
      </c>
      <c r="V206" t="s">
        <v>704</v>
      </c>
      <c r="W206" s="3">
        <v>33377</v>
      </c>
      <c r="X206" s="3">
        <v>4770000</v>
      </c>
      <c r="Y206">
        <v>1</v>
      </c>
      <c r="Z206" s="3">
        <v>23556</v>
      </c>
      <c r="AA206" s="3">
        <v>23060</v>
      </c>
      <c r="AB206" s="3">
        <v>25343</v>
      </c>
      <c r="AC206" s="3">
        <v>27222</v>
      </c>
      <c r="AD206" s="3">
        <v>27371</v>
      </c>
      <c r="AE206" s="3">
        <v>27933</v>
      </c>
      <c r="AF206" s="3">
        <v>28389</v>
      </c>
      <c r="AG206" s="3">
        <v>28916</v>
      </c>
      <c r="AH206" s="3">
        <v>28723</v>
      </c>
      <c r="AI206" s="3">
        <v>28909</v>
      </c>
      <c r="AJ206" s="3">
        <v>29350</v>
      </c>
      <c r="AK206" s="3">
        <v>30919</v>
      </c>
      <c r="AL206" s="3">
        <v>31359</v>
      </c>
      <c r="AM206" s="3">
        <v>31661</v>
      </c>
      <c r="AN206" s="3">
        <v>31942</v>
      </c>
      <c r="AO206" s="3">
        <v>32851</v>
      </c>
      <c r="AP206" s="3">
        <v>33377</v>
      </c>
      <c r="AQ206" s="3">
        <v>33989</v>
      </c>
      <c r="AR206" s="4">
        <v>6997.2746331236895</v>
      </c>
      <c r="AS206" s="5">
        <f t="shared" si="32"/>
        <v>-0.2632025810833758</v>
      </c>
      <c r="AT206" s="5">
        <f t="shared" si="33"/>
        <v>1.1000289100896212</v>
      </c>
      <c r="AU206" s="5">
        <f t="shared" si="34"/>
        <v>1.2019097975772404</v>
      </c>
      <c r="AV206" s="5">
        <f t="shared" si="35"/>
        <v>1.757018563528127</v>
      </c>
      <c r="AW206" s="5">
        <f t="shared" si="36"/>
        <v>0.44624574231118835</v>
      </c>
      <c r="AX206" s="5">
        <f t="shared" si="37"/>
        <v>1.5850530718541609</v>
      </c>
      <c r="AY206" s="5">
        <f t="shared" si="38"/>
        <v>1.1268145374105638</v>
      </c>
      <c r="AZ206">
        <f t="shared" si="39"/>
        <v>4810000</v>
      </c>
      <c r="BA206">
        <v>0</v>
      </c>
      <c r="BB206">
        <v>3760000</v>
      </c>
      <c r="BC206">
        <v>660000</v>
      </c>
      <c r="BD206">
        <v>300000</v>
      </c>
      <c r="BE206">
        <v>0</v>
      </c>
      <c r="BF206">
        <v>0</v>
      </c>
      <c r="BG206">
        <v>0</v>
      </c>
      <c r="BH206">
        <v>30000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30000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30000</v>
      </c>
      <c r="CA206">
        <v>0</v>
      </c>
      <c r="CB206">
        <v>396</v>
      </c>
      <c r="CC206">
        <v>407</v>
      </c>
      <c r="CD206">
        <v>426</v>
      </c>
      <c r="CE206">
        <v>432</v>
      </c>
      <c r="CF206" s="17">
        <v>81.818181818181827</v>
      </c>
      <c r="CG206" s="17">
        <v>84.090909090909093</v>
      </c>
      <c r="CH206" s="17">
        <v>88.016528925619824</v>
      </c>
      <c r="CI206" s="17">
        <v>89.256198347107443</v>
      </c>
      <c r="CJ206" s="18">
        <v>1</v>
      </c>
      <c r="CK206" s="18">
        <v>1.0277777777777777</v>
      </c>
      <c r="CL206" s="18">
        <v>1.0757575757575757</v>
      </c>
      <c r="CM206" s="18">
        <v>1.0909090909090908</v>
      </c>
      <c r="CN206" s="18">
        <v>0</v>
      </c>
      <c r="CO206" s="18">
        <v>2.2727272727272729</v>
      </c>
      <c r="CP206" s="18">
        <v>6.1983471074380168</v>
      </c>
      <c r="CQ206" s="18">
        <v>7.4380165289256199</v>
      </c>
      <c r="CR206" s="18">
        <f t="shared" si="40"/>
        <v>1.3440736967227034</v>
      </c>
      <c r="CS206" s="18">
        <f t="shared" si="41"/>
        <v>1.2320675553291449</v>
      </c>
      <c r="CT206">
        <v>92.307692307692363</v>
      </c>
      <c r="CU206">
        <v>6.0291060291060301</v>
      </c>
      <c r="CV206">
        <v>0</v>
      </c>
      <c r="CW206">
        <v>0</v>
      </c>
      <c r="CX206">
        <v>1.66320166320166</v>
      </c>
      <c r="CY206">
        <v>92.307692307692363</v>
      </c>
      <c r="CZ206">
        <v>6.0291060291060301</v>
      </c>
      <c r="DA206">
        <v>0</v>
      </c>
      <c r="DB206">
        <v>0</v>
      </c>
      <c r="DC206">
        <v>1.66320166320166</v>
      </c>
      <c r="DD206">
        <v>99.376299376299386</v>
      </c>
      <c r="DE206">
        <v>0</v>
      </c>
      <c r="DF206">
        <v>0</v>
      </c>
      <c r="DG206">
        <v>0</v>
      </c>
      <c r="DH206">
        <v>0.62370062370062396</v>
      </c>
      <c r="DI206">
        <v>98.752598752598828</v>
      </c>
      <c r="DJ206">
        <v>0</v>
      </c>
      <c r="DK206">
        <v>0.62370062370062396</v>
      </c>
      <c r="DL206">
        <v>0</v>
      </c>
      <c r="DM206">
        <v>0.62370062370062396</v>
      </c>
      <c r="DN206">
        <v>98.752598752598828</v>
      </c>
      <c r="DO206">
        <v>0</v>
      </c>
      <c r="DP206">
        <v>0.62370062370062396</v>
      </c>
      <c r="DQ206">
        <v>0</v>
      </c>
      <c r="DR206">
        <v>0.62370062370062396</v>
      </c>
      <c r="DS206" t="s">
        <v>371</v>
      </c>
      <c r="DT206" t="s">
        <v>313</v>
      </c>
      <c r="DU206">
        <v>34656</v>
      </c>
      <c r="DV206" t="s">
        <v>547</v>
      </c>
      <c r="DW206" t="s">
        <v>548</v>
      </c>
      <c r="DX206">
        <v>86</v>
      </c>
      <c r="DY206">
        <v>130</v>
      </c>
      <c r="DZ206">
        <v>216</v>
      </c>
      <c r="EA206">
        <v>606779</v>
      </c>
      <c r="EB206">
        <v>388178</v>
      </c>
      <c r="EC206">
        <v>994957</v>
      </c>
      <c r="ED206" t="s">
        <v>274</v>
      </c>
      <c r="EE206" t="s">
        <v>274</v>
      </c>
      <c r="EF206" t="s">
        <v>274</v>
      </c>
      <c r="EG206" t="s">
        <v>274</v>
      </c>
    </row>
    <row r="207" spans="1:137" ht="14.55" customHeight="1" x14ac:dyDescent="0.3">
      <c r="A207" t="s">
        <v>705</v>
      </c>
      <c r="B207">
        <v>6629</v>
      </c>
      <c r="C207" t="s">
        <v>706</v>
      </c>
      <c r="D207" t="s">
        <v>543</v>
      </c>
      <c r="E207" t="s">
        <v>645</v>
      </c>
      <c r="F207" t="s">
        <v>270</v>
      </c>
      <c r="G207" t="s">
        <v>646</v>
      </c>
      <c r="H207" s="3">
        <v>6953478.1604800001</v>
      </c>
      <c r="I207">
        <v>699</v>
      </c>
      <c r="J207" s="3">
        <v>695.34781604800003</v>
      </c>
      <c r="K207">
        <v>418</v>
      </c>
      <c r="L207">
        <v>474</v>
      </c>
      <c r="M207">
        <v>437.65083293669699</v>
      </c>
      <c r="N207">
        <v>11.175154562963399</v>
      </c>
      <c r="O207">
        <v>0</v>
      </c>
      <c r="P207">
        <v>15.877561569213899</v>
      </c>
      <c r="Q207">
        <v>3.6139118671417201</v>
      </c>
      <c r="R207">
        <v>2.16025638580322</v>
      </c>
      <c r="S207" t="s">
        <v>647</v>
      </c>
      <c r="T207" t="s">
        <v>705</v>
      </c>
      <c r="U207" t="s">
        <v>706</v>
      </c>
      <c r="V207" t="s">
        <v>706</v>
      </c>
      <c r="W207" s="3">
        <v>2116</v>
      </c>
      <c r="X207" s="3">
        <v>6950000</v>
      </c>
      <c r="Y207">
        <v>2</v>
      </c>
      <c r="Z207" s="3">
        <v>1410</v>
      </c>
      <c r="AA207" s="3">
        <v>1554</v>
      </c>
      <c r="AB207" s="3">
        <v>1681</v>
      </c>
      <c r="AC207" s="3">
        <v>1807</v>
      </c>
      <c r="AD207" s="3">
        <v>1791</v>
      </c>
      <c r="AE207" s="3">
        <v>1799</v>
      </c>
      <c r="AF207" s="3">
        <v>1825</v>
      </c>
      <c r="AG207" s="3">
        <v>1911</v>
      </c>
      <c r="AH207" s="3">
        <v>1889</v>
      </c>
      <c r="AI207" s="3">
        <v>2012</v>
      </c>
      <c r="AJ207" s="3">
        <v>2066</v>
      </c>
      <c r="AK207" s="3">
        <v>2080</v>
      </c>
      <c r="AL207" s="3">
        <v>2140</v>
      </c>
      <c r="AM207" s="3">
        <v>2146</v>
      </c>
      <c r="AN207" s="3">
        <v>2141</v>
      </c>
      <c r="AO207" s="3">
        <v>2131</v>
      </c>
      <c r="AP207" s="3">
        <v>2116</v>
      </c>
      <c r="AQ207" s="3">
        <v>2115</v>
      </c>
      <c r="AR207" s="4">
        <v>304.46043165467626</v>
      </c>
      <c r="AS207" s="5">
        <f t="shared" si="32"/>
        <v>1.2765957446808509</v>
      </c>
      <c r="AT207" s="5">
        <f t="shared" si="33"/>
        <v>0.90805090805090793</v>
      </c>
      <c r="AU207" s="5">
        <f t="shared" si="34"/>
        <v>0.85663295657346827</v>
      </c>
      <c r="AV207" s="5">
        <f t="shared" si="35"/>
        <v>1.5945205479452056</v>
      </c>
      <c r="AW207" s="5">
        <f t="shared" si="36"/>
        <v>1.1305798915310805</v>
      </c>
      <c r="AX207" s="5">
        <f t="shared" si="37"/>
        <v>1.2938726948245092</v>
      </c>
      <c r="AY207" s="5">
        <f t="shared" si="38"/>
        <v>1.3532681617787998</v>
      </c>
      <c r="AZ207">
        <f t="shared" si="39"/>
        <v>6970000</v>
      </c>
      <c r="BA207">
        <v>0</v>
      </c>
      <c r="BB207">
        <v>350000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5740000</v>
      </c>
      <c r="BK207">
        <v>760000</v>
      </c>
      <c r="BL207">
        <v>0</v>
      </c>
      <c r="BM207">
        <v>0</v>
      </c>
      <c r="BN207">
        <v>120000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84</v>
      </c>
      <c r="CC207">
        <v>93</v>
      </c>
      <c r="CD207">
        <v>98</v>
      </c>
      <c r="CE207">
        <v>105</v>
      </c>
      <c r="CF207" s="17">
        <v>12.103746397694524</v>
      </c>
      <c r="CG207" s="17">
        <v>13.400576368876079</v>
      </c>
      <c r="CH207" s="17">
        <v>14.121037463976945</v>
      </c>
      <c r="CI207" s="17">
        <v>15.129682997118154</v>
      </c>
      <c r="CJ207" s="18">
        <v>1</v>
      </c>
      <c r="CK207" s="18">
        <v>1.1071428571428572</v>
      </c>
      <c r="CL207" s="18">
        <v>1.1666666666666667</v>
      </c>
      <c r="CM207" s="18">
        <v>1.25</v>
      </c>
      <c r="CN207" s="18">
        <v>0</v>
      </c>
      <c r="CO207" s="18">
        <v>1.2968299711815563</v>
      </c>
      <c r="CP207" s="18">
        <v>2.0172910662824206</v>
      </c>
      <c r="CQ207" s="18">
        <v>3.0259365994236309</v>
      </c>
      <c r="CR207" s="18">
        <f t="shared" si="40"/>
        <v>1.521985815602837</v>
      </c>
      <c r="CS207" s="18">
        <f t="shared" si="41"/>
        <v>1.2175886524822697</v>
      </c>
      <c r="CT207">
        <v>11.4777618364419</v>
      </c>
      <c r="CU207">
        <v>88.5222381635581</v>
      </c>
      <c r="CV207">
        <v>0</v>
      </c>
      <c r="CW207">
        <v>0</v>
      </c>
      <c r="CX207">
        <v>0</v>
      </c>
      <c r="CY207">
        <v>11.6212338593974</v>
      </c>
      <c r="CZ207">
        <v>88.378766140602593</v>
      </c>
      <c r="DA207">
        <v>0</v>
      </c>
      <c r="DB207">
        <v>0</v>
      </c>
      <c r="DC207">
        <v>0</v>
      </c>
      <c r="DD207">
        <v>4.7345767575322801</v>
      </c>
      <c r="DE207">
        <v>95.265423242467776</v>
      </c>
      <c r="DF207">
        <v>0</v>
      </c>
      <c r="DG207">
        <v>0</v>
      </c>
      <c r="DH207">
        <v>0</v>
      </c>
      <c r="DI207">
        <v>5.0215208034433303</v>
      </c>
      <c r="DJ207">
        <v>94.978479196556677</v>
      </c>
      <c r="DK207">
        <v>0</v>
      </c>
      <c r="DL207">
        <v>0</v>
      </c>
      <c r="DM207">
        <v>0</v>
      </c>
      <c r="DN207">
        <v>5.0215208034433303</v>
      </c>
      <c r="DO207">
        <v>94.978479196556677</v>
      </c>
      <c r="DP207">
        <v>0</v>
      </c>
      <c r="DQ207">
        <v>0</v>
      </c>
      <c r="DR207">
        <v>0</v>
      </c>
      <c r="DS207" t="s">
        <v>371</v>
      </c>
      <c r="DT207" t="s">
        <v>313</v>
      </c>
      <c r="DU207">
        <v>2069</v>
      </c>
      <c r="DV207" t="s">
        <v>547</v>
      </c>
      <c r="DW207" t="s">
        <v>548</v>
      </c>
      <c r="DX207">
        <v>86</v>
      </c>
      <c r="DY207">
        <v>130</v>
      </c>
      <c r="DZ207">
        <v>216</v>
      </c>
      <c r="EA207">
        <v>606779</v>
      </c>
      <c r="EB207">
        <v>388178</v>
      </c>
      <c r="EC207">
        <v>994957</v>
      </c>
      <c r="ED207" t="s">
        <v>274</v>
      </c>
      <c r="EE207" t="s">
        <v>274</v>
      </c>
      <c r="EF207" t="s">
        <v>274</v>
      </c>
      <c r="EG207" t="s">
        <v>274</v>
      </c>
    </row>
    <row r="208" spans="1:137" ht="14.55" customHeight="1" x14ac:dyDescent="0.3">
      <c r="A208" t="s">
        <v>707</v>
      </c>
      <c r="B208">
        <v>6630</v>
      </c>
      <c r="C208" t="s">
        <v>708</v>
      </c>
      <c r="D208" t="s">
        <v>543</v>
      </c>
      <c r="E208" t="s">
        <v>645</v>
      </c>
      <c r="F208" t="s">
        <v>270</v>
      </c>
      <c r="G208" t="s">
        <v>646</v>
      </c>
      <c r="H208" s="3">
        <v>9937366.6865200009</v>
      </c>
      <c r="I208">
        <v>989</v>
      </c>
      <c r="J208" s="3">
        <v>993.73666865999996</v>
      </c>
      <c r="K208">
        <v>406</v>
      </c>
      <c r="L208">
        <v>467</v>
      </c>
      <c r="M208">
        <v>429.24626965094598</v>
      </c>
      <c r="N208">
        <v>8.7321762475579607</v>
      </c>
      <c r="O208">
        <v>0</v>
      </c>
      <c r="P208">
        <v>19.851423263549801</v>
      </c>
      <c r="Q208">
        <v>3.99461150169373</v>
      </c>
      <c r="R208">
        <v>2.3738763332366899</v>
      </c>
      <c r="S208" t="s">
        <v>647</v>
      </c>
      <c r="T208" t="s">
        <v>707</v>
      </c>
      <c r="U208" t="s">
        <v>708</v>
      </c>
      <c r="V208" t="s">
        <v>708</v>
      </c>
      <c r="W208" s="3">
        <v>25745</v>
      </c>
      <c r="X208" s="3">
        <v>9940000</v>
      </c>
      <c r="Y208">
        <v>1</v>
      </c>
      <c r="Z208" s="3">
        <v>19640</v>
      </c>
      <c r="AA208" s="3">
        <v>19898</v>
      </c>
      <c r="AB208" s="3">
        <v>18758</v>
      </c>
      <c r="AC208" s="3">
        <v>19667</v>
      </c>
      <c r="AD208" s="3">
        <v>19894</v>
      </c>
      <c r="AE208" s="3">
        <v>20329</v>
      </c>
      <c r="AF208" s="3">
        <v>21333</v>
      </c>
      <c r="AG208" s="3">
        <v>21624</v>
      </c>
      <c r="AH208" s="3">
        <v>21729</v>
      </c>
      <c r="AI208" s="3">
        <v>21718</v>
      </c>
      <c r="AJ208" s="3">
        <v>21866</v>
      </c>
      <c r="AK208" s="3">
        <v>21993</v>
      </c>
      <c r="AL208" s="3">
        <v>22152</v>
      </c>
      <c r="AM208" s="3">
        <v>23044</v>
      </c>
      <c r="AN208" s="3">
        <v>24144</v>
      </c>
      <c r="AO208" s="3">
        <v>25255</v>
      </c>
      <c r="AP208" s="3">
        <v>25745</v>
      </c>
      <c r="AQ208" s="3">
        <v>26129</v>
      </c>
      <c r="AR208" s="4">
        <v>2590.0402414486921</v>
      </c>
      <c r="AS208" s="5">
        <f t="shared" si="32"/>
        <v>0.16420570264765785</v>
      </c>
      <c r="AT208" s="5">
        <f t="shared" si="33"/>
        <v>-0.6365798907762924</v>
      </c>
      <c r="AU208" s="5">
        <f t="shared" si="34"/>
        <v>1.3727476276788571</v>
      </c>
      <c r="AV208" s="5">
        <f t="shared" si="35"/>
        <v>2.0681573149580461</v>
      </c>
      <c r="AW208" s="5">
        <f t="shared" si="36"/>
        <v>-0.26416676650293519</v>
      </c>
      <c r="AX208" s="5">
        <f t="shared" si="37"/>
        <v>1.8624053737072184</v>
      </c>
      <c r="AY208" s="5">
        <f t="shared" si="38"/>
        <v>0.84012219959266798</v>
      </c>
      <c r="AZ208">
        <f t="shared" si="39"/>
        <v>9890000</v>
      </c>
      <c r="BA208">
        <v>0</v>
      </c>
      <c r="BB208">
        <v>3380000</v>
      </c>
      <c r="BC208">
        <v>1700000</v>
      </c>
      <c r="BD208">
        <v>0</v>
      </c>
      <c r="BE208">
        <v>0</v>
      </c>
      <c r="BF208">
        <v>1280000</v>
      </c>
      <c r="BG208">
        <v>0</v>
      </c>
      <c r="BH208">
        <v>0</v>
      </c>
      <c r="BI208">
        <v>0</v>
      </c>
      <c r="BJ208">
        <v>3160000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370000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509</v>
      </c>
      <c r="CC208">
        <v>566</v>
      </c>
      <c r="CD208">
        <v>609</v>
      </c>
      <c r="CE208">
        <v>634</v>
      </c>
      <c r="CF208" s="17">
        <v>51.362260343087797</v>
      </c>
      <c r="CG208" s="17">
        <v>57.114026236125127</v>
      </c>
      <c r="CH208" s="17">
        <v>61.453077699293644</v>
      </c>
      <c r="CI208" s="17">
        <v>63.975782038345109</v>
      </c>
      <c r="CJ208" s="18">
        <v>1</v>
      </c>
      <c r="CK208" s="18">
        <v>1.111984282907662</v>
      </c>
      <c r="CL208" s="18">
        <v>1.1964636542239686</v>
      </c>
      <c r="CM208" s="18">
        <v>1.2455795677799608</v>
      </c>
      <c r="CN208" s="18">
        <v>0</v>
      </c>
      <c r="CO208" s="18">
        <v>5.7517658930373363</v>
      </c>
      <c r="CP208" s="18">
        <v>10.090817356205854</v>
      </c>
      <c r="CQ208" s="18">
        <v>12.613521695257315</v>
      </c>
      <c r="CR208" s="18">
        <f t="shared" si="40"/>
        <v>1.1733197556008146</v>
      </c>
      <c r="CS208" s="18">
        <f t="shared" si="41"/>
        <v>0.94198699621579585</v>
      </c>
      <c r="CT208">
        <v>56.218402426693601</v>
      </c>
      <c r="CU208">
        <v>38.624873609706803</v>
      </c>
      <c r="CV208">
        <v>3.6400404448938302</v>
      </c>
      <c r="CW208">
        <v>1.5166835187057599</v>
      </c>
      <c r="CX208">
        <v>0</v>
      </c>
      <c r="CY208">
        <v>56.218402426693601</v>
      </c>
      <c r="CZ208">
        <v>38.624873609706803</v>
      </c>
      <c r="DA208">
        <v>3.6400404448938302</v>
      </c>
      <c r="DB208">
        <v>1.5166835187057599</v>
      </c>
      <c r="DC208">
        <v>0</v>
      </c>
      <c r="DD208">
        <v>60.869565217391298</v>
      </c>
      <c r="DE208">
        <v>35.389282103134498</v>
      </c>
      <c r="DF208">
        <v>3.74115267947422</v>
      </c>
      <c r="DG208">
        <v>0</v>
      </c>
      <c r="DH208">
        <v>0</v>
      </c>
      <c r="DI208">
        <v>61.678463094034399</v>
      </c>
      <c r="DJ208">
        <v>34.580384226491397</v>
      </c>
      <c r="DK208">
        <v>3.74115267947422</v>
      </c>
      <c r="DL208">
        <v>0</v>
      </c>
      <c r="DM208">
        <v>0</v>
      </c>
      <c r="DN208">
        <v>64.307381193124399</v>
      </c>
      <c r="DO208">
        <v>31.9514661274014</v>
      </c>
      <c r="DP208">
        <v>3.74115267947422</v>
      </c>
      <c r="DQ208">
        <v>0</v>
      </c>
      <c r="DR208">
        <v>0</v>
      </c>
      <c r="DS208" t="s">
        <v>371</v>
      </c>
      <c r="DT208" t="s">
        <v>313</v>
      </c>
      <c r="DU208">
        <v>26517</v>
      </c>
      <c r="DV208" t="s">
        <v>547</v>
      </c>
      <c r="DW208" t="s">
        <v>548</v>
      </c>
      <c r="DX208">
        <v>86</v>
      </c>
      <c r="DY208">
        <v>130</v>
      </c>
      <c r="DZ208">
        <v>216</v>
      </c>
      <c r="EA208">
        <v>606779</v>
      </c>
      <c r="EB208">
        <v>388178</v>
      </c>
      <c r="EC208">
        <v>994957</v>
      </c>
      <c r="ED208" t="s">
        <v>274</v>
      </c>
      <c r="EE208" t="s">
        <v>274</v>
      </c>
      <c r="EF208" t="s">
        <v>274</v>
      </c>
      <c r="EG208" t="s">
        <v>274</v>
      </c>
    </row>
    <row r="209" spans="1:137" ht="14.55" customHeight="1" x14ac:dyDescent="0.3">
      <c r="A209" t="s">
        <v>709</v>
      </c>
      <c r="B209">
        <v>6631</v>
      </c>
      <c r="C209" t="s">
        <v>710</v>
      </c>
      <c r="D209" t="s">
        <v>543</v>
      </c>
      <c r="E209" t="s">
        <v>645</v>
      </c>
      <c r="F209" t="s">
        <v>270</v>
      </c>
      <c r="G209" t="s">
        <v>646</v>
      </c>
      <c r="H209" s="3">
        <v>2814478.9341199999</v>
      </c>
      <c r="I209">
        <v>279</v>
      </c>
      <c r="J209" s="3">
        <v>281.44789341299997</v>
      </c>
      <c r="K209">
        <v>363</v>
      </c>
      <c r="L209">
        <v>443</v>
      </c>
      <c r="M209">
        <v>414.40690302887998</v>
      </c>
      <c r="N209">
        <v>13.985551168155499</v>
      </c>
      <c r="O209">
        <v>0</v>
      </c>
      <c r="P209">
        <v>35.0472412109375</v>
      </c>
      <c r="Q209">
        <v>4.90197706222534</v>
      </c>
      <c r="R209">
        <v>4.15651607513428</v>
      </c>
      <c r="S209" t="s">
        <v>647</v>
      </c>
      <c r="T209" t="s">
        <v>709</v>
      </c>
      <c r="U209" t="s">
        <v>710</v>
      </c>
      <c r="V209" t="s">
        <v>710</v>
      </c>
      <c r="W209" s="3">
        <v>19058</v>
      </c>
      <c r="X209" s="3">
        <v>2810000</v>
      </c>
      <c r="Y209">
        <v>1</v>
      </c>
      <c r="Z209" s="3">
        <v>17039</v>
      </c>
      <c r="AA209" s="3">
        <v>15562</v>
      </c>
      <c r="AB209" s="3">
        <v>16204</v>
      </c>
      <c r="AC209" s="3">
        <v>17142</v>
      </c>
      <c r="AD209" s="3">
        <v>17138</v>
      </c>
      <c r="AE209" s="3">
        <v>17108</v>
      </c>
      <c r="AF209" s="3">
        <v>17202</v>
      </c>
      <c r="AG209" s="3">
        <v>17366</v>
      </c>
      <c r="AH209" s="3">
        <v>17637</v>
      </c>
      <c r="AI209" s="3">
        <v>17851</v>
      </c>
      <c r="AJ209" s="3">
        <v>18029</v>
      </c>
      <c r="AK209" s="3">
        <v>18305</v>
      </c>
      <c r="AL209" s="3">
        <v>18635</v>
      </c>
      <c r="AM209" s="3">
        <v>18825</v>
      </c>
      <c r="AN209" s="3">
        <v>18977</v>
      </c>
      <c r="AO209" s="3">
        <v>18964</v>
      </c>
      <c r="AP209" s="3">
        <v>19058</v>
      </c>
      <c r="AQ209" s="3">
        <v>18933</v>
      </c>
      <c r="AR209" s="4">
        <v>6782.2064056939498</v>
      </c>
      <c r="AS209" s="5">
        <f t="shared" si="32"/>
        <v>-1.0835436351898586</v>
      </c>
      <c r="AT209" s="5">
        <f t="shared" si="33"/>
        <v>0.45838152765282947</v>
      </c>
      <c r="AU209" s="5">
        <f t="shared" si="34"/>
        <v>0.61589730930634412</v>
      </c>
      <c r="AV209" s="5">
        <f t="shared" si="35"/>
        <v>1.0789443088013022</v>
      </c>
      <c r="AW209" s="5">
        <f t="shared" si="36"/>
        <v>-0.28826601947780695</v>
      </c>
      <c r="AX209" s="5">
        <f t="shared" si="37"/>
        <v>0.88064675388792901</v>
      </c>
      <c r="AY209" s="5">
        <f t="shared" si="38"/>
        <v>0.32025099810767982</v>
      </c>
      <c r="AZ209">
        <f t="shared" si="39"/>
        <v>2770000</v>
      </c>
      <c r="BA209">
        <v>0</v>
      </c>
      <c r="BB209">
        <v>1970000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200000</v>
      </c>
      <c r="BJ209">
        <v>0</v>
      </c>
      <c r="BK209">
        <v>0</v>
      </c>
      <c r="BL209">
        <v>0</v>
      </c>
      <c r="BM209">
        <v>0</v>
      </c>
      <c r="BN209">
        <v>170000</v>
      </c>
      <c r="BO209">
        <v>0</v>
      </c>
      <c r="BP209">
        <v>350000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80000</v>
      </c>
      <c r="CA209">
        <v>0</v>
      </c>
      <c r="CB209">
        <v>192</v>
      </c>
      <c r="CC209">
        <v>202</v>
      </c>
      <c r="CD209">
        <v>217</v>
      </c>
      <c r="CE209">
        <v>220</v>
      </c>
      <c r="CF209" s="17">
        <v>68.085106382978722</v>
      </c>
      <c r="CG209" s="17">
        <v>71.63120567375887</v>
      </c>
      <c r="CH209" s="17">
        <v>76.950354609929079</v>
      </c>
      <c r="CI209" s="17">
        <v>78.01418439716312</v>
      </c>
      <c r="CJ209" s="18">
        <v>1</v>
      </c>
      <c r="CK209" s="18">
        <v>1.0520833333333333</v>
      </c>
      <c r="CL209" s="18">
        <v>1.1302083333333333</v>
      </c>
      <c r="CM209" s="18">
        <v>1.1458333333333333</v>
      </c>
      <c r="CN209" s="18">
        <v>0</v>
      </c>
      <c r="CO209" s="18">
        <v>3.5460992907801421</v>
      </c>
      <c r="CP209" s="18">
        <v>8.8652482269503547</v>
      </c>
      <c r="CQ209" s="18">
        <v>9.9290780141843982</v>
      </c>
      <c r="CR209" s="18">
        <f t="shared" si="40"/>
        <v>1.1048183578848525</v>
      </c>
      <c r="CS209" s="18">
        <f t="shared" si="41"/>
        <v>0.96420511233587136</v>
      </c>
      <c r="CT209">
        <v>73.285198555956697</v>
      </c>
      <c r="CU209">
        <v>14.801444043321322</v>
      </c>
      <c r="CV209">
        <v>7.5812274368230996</v>
      </c>
      <c r="CW209">
        <v>0</v>
      </c>
      <c r="CX209">
        <v>4.3321299638989199</v>
      </c>
      <c r="CY209">
        <v>73.646209386281598</v>
      </c>
      <c r="CZ209">
        <v>14.440433212996421</v>
      </c>
      <c r="DA209">
        <v>7.5812274368230996</v>
      </c>
      <c r="DB209">
        <v>0</v>
      </c>
      <c r="DC209">
        <v>4.3321299638989199</v>
      </c>
      <c r="DD209">
        <v>90.974729241877299</v>
      </c>
      <c r="DE209">
        <v>6.1371841155234703</v>
      </c>
      <c r="DF209">
        <v>0</v>
      </c>
      <c r="DG209">
        <v>0</v>
      </c>
      <c r="DH209">
        <v>2.8880866425992799</v>
      </c>
      <c r="DI209">
        <v>78.339350180505392</v>
      </c>
      <c r="DJ209">
        <v>6.1371841155234703</v>
      </c>
      <c r="DK209">
        <v>12.6353790613718</v>
      </c>
      <c r="DL209">
        <v>0</v>
      </c>
      <c r="DM209">
        <v>2.8880866425992799</v>
      </c>
      <c r="DN209">
        <v>78.339350180505392</v>
      </c>
      <c r="DO209">
        <v>6.1371841155234703</v>
      </c>
      <c r="DP209">
        <v>12.6353790613718</v>
      </c>
      <c r="DQ209">
        <v>0</v>
      </c>
      <c r="DR209">
        <v>2.8880866425992799</v>
      </c>
      <c r="DS209" t="s">
        <v>371</v>
      </c>
      <c r="DT209" t="s">
        <v>313</v>
      </c>
      <c r="DU209">
        <v>18773</v>
      </c>
      <c r="DV209" t="s">
        <v>547</v>
      </c>
      <c r="DW209" t="s">
        <v>548</v>
      </c>
      <c r="DX209">
        <v>86</v>
      </c>
      <c r="DY209">
        <v>130</v>
      </c>
      <c r="DZ209">
        <v>216</v>
      </c>
      <c r="EA209">
        <v>606779</v>
      </c>
      <c r="EB209">
        <v>388178</v>
      </c>
      <c r="EC209">
        <v>994957</v>
      </c>
      <c r="ED209" t="s">
        <v>274</v>
      </c>
      <c r="EE209" t="s">
        <v>274</v>
      </c>
      <c r="EF209" t="s">
        <v>274</v>
      </c>
      <c r="EG209" t="s">
        <v>274</v>
      </c>
    </row>
    <row r="210" spans="1:137" ht="14.55" customHeight="1" x14ac:dyDescent="0.3">
      <c r="A210" t="s">
        <v>711</v>
      </c>
      <c r="B210">
        <v>6632</v>
      </c>
      <c r="C210" t="s">
        <v>712</v>
      </c>
      <c r="D210" t="s">
        <v>543</v>
      </c>
      <c r="E210" t="s">
        <v>645</v>
      </c>
      <c r="F210" t="s">
        <v>270</v>
      </c>
      <c r="G210" t="s">
        <v>646</v>
      </c>
      <c r="H210" s="3">
        <v>2536576.1435400001</v>
      </c>
      <c r="I210">
        <v>251</v>
      </c>
      <c r="J210" s="3">
        <v>253.657614354</v>
      </c>
      <c r="K210">
        <v>392</v>
      </c>
      <c r="L210">
        <v>453</v>
      </c>
      <c r="M210">
        <v>417.95040459410097</v>
      </c>
      <c r="N210">
        <v>13.9538204036078</v>
      </c>
      <c r="O210">
        <v>0</v>
      </c>
      <c r="P210">
        <v>17.5484008789063</v>
      </c>
      <c r="Q210">
        <v>3.7263028621673602</v>
      </c>
      <c r="R210">
        <v>2.2838280200958301</v>
      </c>
      <c r="S210" t="s">
        <v>647</v>
      </c>
      <c r="T210" t="s">
        <v>711</v>
      </c>
      <c r="U210" t="s">
        <v>712</v>
      </c>
      <c r="V210" t="s">
        <v>712</v>
      </c>
      <c r="W210" s="3">
        <v>3099</v>
      </c>
      <c r="X210" s="3">
        <v>2540000</v>
      </c>
      <c r="Y210">
        <v>2</v>
      </c>
      <c r="Z210" s="3">
        <v>2305</v>
      </c>
      <c r="AA210" s="3">
        <v>2542</v>
      </c>
      <c r="AB210" s="3">
        <v>2746</v>
      </c>
      <c r="AC210" s="3">
        <v>2802</v>
      </c>
      <c r="AD210" s="3">
        <v>2826</v>
      </c>
      <c r="AE210" s="3">
        <v>2809</v>
      </c>
      <c r="AF210" s="3">
        <v>2875</v>
      </c>
      <c r="AG210" s="3">
        <v>2903</v>
      </c>
      <c r="AH210" s="3">
        <v>2948</v>
      </c>
      <c r="AI210" s="3">
        <v>2993</v>
      </c>
      <c r="AJ210" s="3">
        <v>3059</v>
      </c>
      <c r="AK210" s="3">
        <v>3066</v>
      </c>
      <c r="AL210" s="3">
        <v>3039</v>
      </c>
      <c r="AM210" s="3">
        <v>3028</v>
      </c>
      <c r="AN210" s="3">
        <v>3074</v>
      </c>
      <c r="AO210" s="3">
        <v>3052</v>
      </c>
      <c r="AP210" s="3">
        <v>3099</v>
      </c>
      <c r="AQ210" s="3">
        <v>3127</v>
      </c>
      <c r="AR210" s="4">
        <v>1220.0787401574803</v>
      </c>
      <c r="AS210" s="5">
        <f t="shared" si="32"/>
        <v>1.2852494577006508</v>
      </c>
      <c r="AT210" s="5">
        <f t="shared" si="33"/>
        <v>0.89168633621820093</v>
      </c>
      <c r="AU210" s="5">
        <f t="shared" si="34"/>
        <v>0.46977421704297156</v>
      </c>
      <c r="AV210" s="5">
        <f t="shared" si="35"/>
        <v>0.77913043478260868</v>
      </c>
      <c r="AW210" s="5">
        <f t="shared" si="36"/>
        <v>1.1254306494832207</v>
      </c>
      <c r="AX210" s="5">
        <f t="shared" si="37"/>
        <v>0.64275309541150771</v>
      </c>
      <c r="AY210" s="5">
        <f t="shared" si="38"/>
        <v>0.93099607199390277</v>
      </c>
      <c r="AZ210">
        <f t="shared" si="39"/>
        <v>2510000</v>
      </c>
      <c r="BA210">
        <v>0</v>
      </c>
      <c r="BB210">
        <v>420000</v>
      </c>
      <c r="BC210">
        <v>100000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1720000</v>
      </c>
      <c r="BK210">
        <v>270000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58</v>
      </c>
      <c r="CC210">
        <v>70</v>
      </c>
      <c r="CD210">
        <v>71</v>
      </c>
      <c r="CE210">
        <v>73</v>
      </c>
      <c r="CF210" s="17">
        <v>22.65625</v>
      </c>
      <c r="CG210" s="17">
        <v>27.34375</v>
      </c>
      <c r="CH210" s="17">
        <v>27.734375</v>
      </c>
      <c r="CI210" s="17">
        <v>28.515625</v>
      </c>
      <c r="CJ210" s="18">
        <v>1</v>
      </c>
      <c r="CK210" s="18">
        <v>1.2068965517241379</v>
      </c>
      <c r="CL210" s="18">
        <v>1.2241379310344827</v>
      </c>
      <c r="CM210" s="18">
        <v>1.2586206896551724</v>
      </c>
      <c r="CN210" s="18">
        <v>0</v>
      </c>
      <c r="CO210" s="18">
        <v>4.6875</v>
      </c>
      <c r="CP210" s="18">
        <v>5.078125</v>
      </c>
      <c r="CQ210" s="18">
        <v>5.859375</v>
      </c>
      <c r="CR210" s="18">
        <f t="shared" si="40"/>
        <v>1.3136659436008677</v>
      </c>
      <c r="CS210" s="18">
        <f t="shared" si="41"/>
        <v>1.0437345853267168</v>
      </c>
      <c r="CT210">
        <v>12.350597609561762</v>
      </c>
      <c r="CU210">
        <v>87.649402390438311</v>
      </c>
      <c r="CV210">
        <v>0</v>
      </c>
      <c r="CW210">
        <v>0</v>
      </c>
      <c r="CX210">
        <v>0</v>
      </c>
      <c r="CY210">
        <v>10.756972111553791</v>
      </c>
      <c r="CZ210">
        <v>89.243027888446207</v>
      </c>
      <c r="DA210">
        <v>0</v>
      </c>
      <c r="DB210">
        <v>0</v>
      </c>
      <c r="DC210">
        <v>0</v>
      </c>
      <c r="DD210">
        <v>28.286852589641413</v>
      </c>
      <c r="DE210">
        <v>71.713147410358602</v>
      </c>
      <c r="DF210">
        <v>0</v>
      </c>
      <c r="DG210">
        <v>0</v>
      </c>
      <c r="DH210">
        <v>0</v>
      </c>
      <c r="DI210">
        <v>20.717131474103621</v>
      </c>
      <c r="DJ210">
        <v>79.28286852589639</v>
      </c>
      <c r="DK210">
        <v>0</v>
      </c>
      <c r="DL210">
        <v>0</v>
      </c>
      <c r="DM210">
        <v>0</v>
      </c>
      <c r="DN210">
        <v>20.717131474103621</v>
      </c>
      <c r="DO210">
        <v>79.28286852589639</v>
      </c>
      <c r="DP210">
        <v>0</v>
      </c>
      <c r="DQ210">
        <v>0</v>
      </c>
      <c r="DR210">
        <v>0</v>
      </c>
      <c r="DS210" t="s">
        <v>371</v>
      </c>
      <c r="DT210" t="s">
        <v>313</v>
      </c>
      <c r="DU210">
        <v>3141</v>
      </c>
      <c r="DV210" t="s">
        <v>547</v>
      </c>
      <c r="DW210" t="s">
        <v>548</v>
      </c>
      <c r="DX210">
        <v>86</v>
      </c>
      <c r="DY210">
        <v>130</v>
      </c>
      <c r="DZ210">
        <v>216</v>
      </c>
      <c r="EA210">
        <v>606779</v>
      </c>
      <c r="EB210">
        <v>388178</v>
      </c>
      <c r="EC210">
        <v>994957</v>
      </c>
      <c r="ED210" t="s">
        <v>274</v>
      </c>
      <c r="EE210" t="s">
        <v>274</v>
      </c>
      <c r="EF210" t="s">
        <v>274</v>
      </c>
      <c r="EG210" t="s">
        <v>274</v>
      </c>
    </row>
    <row r="211" spans="1:137" ht="14.55" customHeight="1" x14ac:dyDescent="0.3">
      <c r="A211" t="s">
        <v>713</v>
      </c>
      <c r="B211">
        <v>6633</v>
      </c>
      <c r="C211" t="s">
        <v>714</v>
      </c>
      <c r="D211" t="s">
        <v>543</v>
      </c>
      <c r="E211" t="s">
        <v>645</v>
      </c>
      <c r="F211" t="s">
        <v>270</v>
      </c>
      <c r="G211" t="s">
        <v>646</v>
      </c>
      <c r="H211" s="3">
        <v>5853831.5235200003</v>
      </c>
      <c r="I211">
        <v>587</v>
      </c>
      <c r="J211" s="3">
        <v>585.38315235200002</v>
      </c>
      <c r="K211">
        <v>388</v>
      </c>
      <c r="L211">
        <v>480</v>
      </c>
      <c r="M211">
        <v>422.490773236726</v>
      </c>
      <c r="N211">
        <v>21.021328244031199</v>
      </c>
      <c r="O211">
        <v>0</v>
      </c>
      <c r="P211">
        <v>18.100721359252901</v>
      </c>
      <c r="Q211">
        <v>3.84092020988464</v>
      </c>
      <c r="R211">
        <v>2.3742761611938499</v>
      </c>
      <c r="S211" t="s">
        <v>647</v>
      </c>
      <c r="T211" t="s">
        <v>713</v>
      </c>
      <c r="U211" t="s">
        <v>714</v>
      </c>
      <c r="V211" t="s">
        <v>714</v>
      </c>
      <c r="W211" s="3">
        <v>10620</v>
      </c>
      <c r="X211" s="3">
        <v>5850000</v>
      </c>
      <c r="Y211">
        <v>1</v>
      </c>
      <c r="Z211" s="3">
        <v>3801</v>
      </c>
      <c r="AA211" s="3">
        <v>4925</v>
      </c>
      <c r="AB211" s="3">
        <v>6183</v>
      </c>
      <c r="AC211" s="3">
        <v>8903</v>
      </c>
      <c r="AD211" s="3">
        <v>9507</v>
      </c>
      <c r="AE211" s="3">
        <v>9756</v>
      </c>
      <c r="AF211" s="3">
        <v>9803</v>
      </c>
      <c r="AG211" s="3">
        <v>9974</v>
      </c>
      <c r="AH211" s="3">
        <v>10196</v>
      </c>
      <c r="AI211" s="3">
        <v>10250</v>
      </c>
      <c r="AJ211" s="3">
        <v>10261</v>
      </c>
      <c r="AK211" s="3">
        <v>10281</v>
      </c>
      <c r="AL211" s="3">
        <v>10344</v>
      </c>
      <c r="AM211" s="3">
        <v>10571</v>
      </c>
      <c r="AN211" s="3">
        <v>10697</v>
      </c>
      <c r="AO211" s="3">
        <v>10657</v>
      </c>
      <c r="AP211" s="3">
        <v>10620</v>
      </c>
      <c r="AQ211" s="3">
        <v>10601</v>
      </c>
      <c r="AR211" s="4">
        <v>1815.3846153846155</v>
      </c>
      <c r="AS211" s="5">
        <f t="shared" si="32"/>
        <v>3.6963956853459616</v>
      </c>
      <c r="AT211" s="5">
        <f t="shared" si="33"/>
        <v>2.838127467569092</v>
      </c>
      <c r="AU211" s="5">
        <f t="shared" si="34"/>
        <v>5.8547630600032354</v>
      </c>
      <c r="AV211" s="5">
        <f t="shared" si="35"/>
        <v>0.83341834132408443</v>
      </c>
      <c r="AW211" s="5">
        <f t="shared" si="36"/>
        <v>3.6863364130182465</v>
      </c>
      <c r="AX211" s="5">
        <f t="shared" si="37"/>
        <v>3.5880640465793303</v>
      </c>
      <c r="AY211" s="5">
        <f t="shared" si="38"/>
        <v>4.8486529149512574</v>
      </c>
      <c r="AZ211">
        <f t="shared" si="39"/>
        <v>5860000</v>
      </c>
      <c r="BA211">
        <v>0</v>
      </c>
      <c r="BB211">
        <v>2290000</v>
      </c>
      <c r="BC211">
        <v>860000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1970000</v>
      </c>
      <c r="BK211">
        <v>0</v>
      </c>
      <c r="BL211">
        <v>0</v>
      </c>
      <c r="BM211">
        <v>0</v>
      </c>
      <c r="BN211">
        <v>260000</v>
      </c>
      <c r="BO211">
        <v>480000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193</v>
      </c>
      <c r="CC211">
        <v>240</v>
      </c>
      <c r="CD211">
        <v>308</v>
      </c>
      <c r="CE211">
        <v>323</v>
      </c>
      <c r="CF211" s="17">
        <v>33.161512027491405</v>
      </c>
      <c r="CG211" s="17">
        <v>41.237113402061851</v>
      </c>
      <c r="CH211" s="17">
        <v>52.920962199312719</v>
      </c>
      <c r="CI211" s="17">
        <v>55.498281786941583</v>
      </c>
      <c r="CJ211" s="18">
        <v>1</v>
      </c>
      <c r="CK211" s="18">
        <v>1.2435233160621761</v>
      </c>
      <c r="CL211" s="18">
        <v>1.5958549222797926</v>
      </c>
      <c r="CM211" s="18">
        <v>1.6735751295336787</v>
      </c>
      <c r="CN211" s="18">
        <v>0</v>
      </c>
      <c r="CO211" s="18">
        <v>8.0756013745704465</v>
      </c>
      <c r="CP211" s="18">
        <v>19.759450171821307</v>
      </c>
      <c r="CQ211" s="18">
        <v>22.336769759450174</v>
      </c>
      <c r="CR211" s="18">
        <f t="shared" si="40"/>
        <v>2.7811102341489082</v>
      </c>
      <c r="CS211" s="18">
        <f t="shared" si="41"/>
        <v>1.6617779417669947</v>
      </c>
      <c r="CT211">
        <v>33.447098976109203</v>
      </c>
      <c r="CU211">
        <v>66.552901023890797</v>
      </c>
      <c r="CV211">
        <v>0</v>
      </c>
      <c r="CW211">
        <v>0</v>
      </c>
      <c r="CX211">
        <v>0</v>
      </c>
      <c r="CY211">
        <v>38.225255972696303</v>
      </c>
      <c r="CZ211">
        <v>61.774744027303797</v>
      </c>
      <c r="DA211">
        <v>0</v>
      </c>
      <c r="DB211">
        <v>0</v>
      </c>
      <c r="DC211">
        <v>0</v>
      </c>
      <c r="DD211">
        <v>54.095563139931699</v>
      </c>
      <c r="DE211">
        <v>45.904436860068202</v>
      </c>
      <c r="DF211">
        <v>0</v>
      </c>
      <c r="DG211">
        <v>0</v>
      </c>
      <c r="DH211">
        <v>0</v>
      </c>
      <c r="DI211">
        <v>53.754266211604104</v>
      </c>
      <c r="DJ211">
        <v>46.245733788395896</v>
      </c>
      <c r="DK211">
        <v>0</v>
      </c>
      <c r="DL211">
        <v>0</v>
      </c>
      <c r="DM211">
        <v>0</v>
      </c>
      <c r="DN211">
        <v>53.754266211604104</v>
      </c>
      <c r="DO211">
        <v>46.245733788395896</v>
      </c>
      <c r="DP211">
        <v>0</v>
      </c>
      <c r="DQ211">
        <v>0</v>
      </c>
      <c r="DR211">
        <v>0</v>
      </c>
      <c r="DS211" t="s">
        <v>371</v>
      </c>
      <c r="DT211" t="s">
        <v>313</v>
      </c>
      <c r="DU211">
        <v>12088</v>
      </c>
      <c r="DV211" t="s">
        <v>547</v>
      </c>
      <c r="DW211" t="s">
        <v>548</v>
      </c>
      <c r="DX211">
        <v>86</v>
      </c>
      <c r="DY211">
        <v>130</v>
      </c>
      <c r="DZ211">
        <v>216</v>
      </c>
      <c r="EA211">
        <v>606779</v>
      </c>
      <c r="EB211">
        <v>388178</v>
      </c>
      <c r="EC211">
        <v>994957</v>
      </c>
      <c r="ED211" t="s">
        <v>274</v>
      </c>
      <c r="EE211" t="s">
        <v>274</v>
      </c>
      <c r="EF211" t="s">
        <v>274</v>
      </c>
      <c r="EG211" t="s">
        <v>274</v>
      </c>
    </row>
    <row r="212" spans="1:137" ht="14.55" customHeight="1" x14ac:dyDescent="0.3">
      <c r="A212" t="s">
        <v>715</v>
      </c>
      <c r="B212">
        <v>6634</v>
      </c>
      <c r="C212" t="s">
        <v>716</v>
      </c>
      <c r="D212" t="s">
        <v>543</v>
      </c>
      <c r="E212" t="s">
        <v>645</v>
      </c>
      <c r="F212" t="s">
        <v>270</v>
      </c>
      <c r="G212" t="s">
        <v>646</v>
      </c>
      <c r="H212" s="3">
        <v>3226905.8573400001</v>
      </c>
      <c r="I212">
        <v>319</v>
      </c>
      <c r="J212" s="3">
        <v>322.69058573400002</v>
      </c>
      <c r="K212">
        <v>365</v>
      </c>
      <c r="L212">
        <v>476</v>
      </c>
      <c r="M212">
        <v>414.69241803278697</v>
      </c>
      <c r="N212">
        <v>24.9629369506534</v>
      </c>
      <c r="O212">
        <v>0</v>
      </c>
      <c r="P212">
        <v>20.699546813964801</v>
      </c>
      <c r="Q212">
        <v>4.76320600509644</v>
      </c>
      <c r="R212">
        <v>2.9805929660797101</v>
      </c>
      <c r="S212" t="s">
        <v>647</v>
      </c>
      <c r="T212" t="s">
        <v>715</v>
      </c>
      <c r="U212" t="s">
        <v>716</v>
      </c>
      <c r="V212" t="s">
        <v>716</v>
      </c>
      <c r="W212" s="3">
        <v>3775</v>
      </c>
      <c r="X212" s="3">
        <v>3240000</v>
      </c>
      <c r="Y212">
        <v>2</v>
      </c>
      <c r="Z212" s="3">
        <v>2033</v>
      </c>
      <c r="AA212" s="3">
        <v>2591</v>
      </c>
      <c r="AB212" s="3">
        <v>3016</v>
      </c>
      <c r="AC212" s="3">
        <v>3386</v>
      </c>
      <c r="AD212" s="3">
        <v>3457</v>
      </c>
      <c r="AE212" s="3">
        <v>3537</v>
      </c>
      <c r="AF212" s="3">
        <v>3656</v>
      </c>
      <c r="AG212" s="3">
        <v>3588</v>
      </c>
      <c r="AH212" s="3">
        <v>3544</v>
      </c>
      <c r="AI212" s="3">
        <v>3530</v>
      </c>
      <c r="AJ212" s="3">
        <v>3563</v>
      </c>
      <c r="AK212" s="3">
        <v>3594</v>
      </c>
      <c r="AL212" s="3">
        <v>3693</v>
      </c>
      <c r="AM212" s="3">
        <v>3794</v>
      </c>
      <c r="AN212" s="3">
        <v>3970</v>
      </c>
      <c r="AO212" s="3">
        <v>3881</v>
      </c>
      <c r="AP212" s="3">
        <v>3775</v>
      </c>
      <c r="AQ212" s="3">
        <v>3803</v>
      </c>
      <c r="AR212" s="4">
        <v>1165.1234567901236</v>
      </c>
      <c r="AS212" s="5">
        <f t="shared" si="32"/>
        <v>3.4308903098868666</v>
      </c>
      <c r="AT212" s="5">
        <f t="shared" si="33"/>
        <v>1.822548136712552</v>
      </c>
      <c r="AU212" s="5">
        <f t="shared" si="34"/>
        <v>2.1220159151193636</v>
      </c>
      <c r="AV212" s="5">
        <f t="shared" si="35"/>
        <v>0.32549234135667399</v>
      </c>
      <c r="AW212" s="5">
        <f t="shared" si="36"/>
        <v>2.8442464049072655</v>
      </c>
      <c r="AX212" s="5">
        <f t="shared" si="37"/>
        <v>1.2582891246684349</v>
      </c>
      <c r="AY212" s="5">
        <f t="shared" si="38"/>
        <v>2.3158426503237131</v>
      </c>
      <c r="AZ212">
        <f t="shared" si="39"/>
        <v>3200000</v>
      </c>
      <c r="BA212">
        <v>0</v>
      </c>
      <c r="BB212">
        <v>1630000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860000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500000</v>
      </c>
      <c r="BO212">
        <v>0</v>
      </c>
      <c r="BP212">
        <v>210000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194</v>
      </c>
      <c r="CC212">
        <v>219</v>
      </c>
      <c r="CD212">
        <v>236</v>
      </c>
      <c r="CE212">
        <v>246</v>
      </c>
      <c r="CF212" s="17">
        <v>59.692307692307686</v>
      </c>
      <c r="CG212" s="17">
        <v>67.384615384615387</v>
      </c>
      <c r="CH212" s="17">
        <v>72.615384615384613</v>
      </c>
      <c r="CI212" s="17">
        <v>75.692307692307693</v>
      </c>
      <c r="CJ212" s="18">
        <v>1</v>
      </c>
      <c r="CK212" s="18">
        <v>1.1288659793814433</v>
      </c>
      <c r="CL212" s="18">
        <v>1.2164948453608246</v>
      </c>
      <c r="CM212" s="18">
        <v>1.268041237113402</v>
      </c>
      <c r="CN212" s="18">
        <v>0</v>
      </c>
      <c r="CO212" s="18">
        <v>7.6923076923076925</v>
      </c>
      <c r="CP212" s="18">
        <v>12.923076923076923</v>
      </c>
      <c r="CQ212" s="18">
        <v>16</v>
      </c>
      <c r="CR212" s="18">
        <f t="shared" si="40"/>
        <v>1.8662075750122971</v>
      </c>
      <c r="CS212" s="18">
        <f t="shared" si="41"/>
        <v>1.4717246729771774</v>
      </c>
      <c r="CT212">
        <v>47.1875</v>
      </c>
      <c r="CU212">
        <v>52.8125</v>
      </c>
      <c r="CV212">
        <v>0</v>
      </c>
      <c r="CW212">
        <v>0</v>
      </c>
      <c r="CX212">
        <v>0</v>
      </c>
      <c r="CY212">
        <v>47.1875</v>
      </c>
      <c r="CZ212">
        <v>52.8125</v>
      </c>
      <c r="DA212">
        <v>0</v>
      </c>
      <c r="DB212">
        <v>0</v>
      </c>
      <c r="DC212">
        <v>0</v>
      </c>
      <c r="DD212">
        <v>79.6875</v>
      </c>
      <c r="DE212">
        <v>15.3125</v>
      </c>
      <c r="DF212">
        <v>5</v>
      </c>
      <c r="DG212">
        <v>0</v>
      </c>
      <c r="DH212">
        <v>0</v>
      </c>
      <c r="DI212">
        <v>77.8125</v>
      </c>
      <c r="DJ212">
        <v>15.625</v>
      </c>
      <c r="DK212">
        <v>6.5625</v>
      </c>
      <c r="DL212">
        <v>0</v>
      </c>
      <c r="DM212">
        <v>0</v>
      </c>
      <c r="DN212">
        <v>77.8125</v>
      </c>
      <c r="DO212">
        <v>15.625</v>
      </c>
      <c r="DP212">
        <v>6.5625</v>
      </c>
      <c r="DQ212">
        <v>0</v>
      </c>
      <c r="DR212">
        <v>0</v>
      </c>
      <c r="DS212" t="s">
        <v>371</v>
      </c>
      <c r="DT212" t="s">
        <v>313</v>
      </c>
      <c r="DU212">
        <v>3992</v>
      </c>
      <c r="DV212" t="s">
        <v>547</v>
      </c>
      <c r="DW212" t="s">
        <v>548</v>
      </c>
      <c r="DX212">
        <v>86</v>
      </c>
      <c r="DY212">
        <v>130</v>
      </c>
      <c r="DZ212">
        <v>216</v>
      </c>
      <c r="EA212">
        <v>606779</v>
      </c>
      <c r="EB212">
        <v>388178</v>
      </c>
      <c r="EC212">
        <v>994957</v>
      </c>
      <c r="ED212" t="s">
        <v>274</v>
      </c>
      <c r="EE212" t="s">
        <v>274</v>
      </c>
      <c r="EF212" t="s">
        <v>274</v>
      </c>
      <c r="EG212" t="s">
        <v>274</v>
      </c>
    </row>
    <row r="213" spans="1:137" ht="14.55" customHeight="1" x14ac:dyDescent="0.3">
      <c r="A213" t="s">
        <v>717</v>
      </c>
      <c r="B213">
        <v>6635</v>
      </c>
      <c r="C213" t="s">
        <v>718</v>
      </c>
      <c r="D213" t="s">
        <v>543</v>
      </c>
      <c r="E213" t="s">
        <v>645</v>
      </c>
      <c r="F213" t="s">
        <v>270</v>
      </c>
      <c r="G213" t="s">
        <v>646</v>
      </c>
      <c r="H213" s="3">
        <v>4707504.0235400004</v>
      </c>
      <c r="I213">
        <v>469</v>
      </c>
      <c r="J213" s="3">
        <v>470.75040235400002</v>
      </c>
      <c r="K213">
        <v>420</v>
      </c>
      <c r="L213">
        <v>518</v>
      </c>
      <c r="M213">
        <v>467.04625984251999</v>
      </c>
      <c r="N213">
        <v>23.651682950081501</v>
      </c>
      <c r="O213">
        <v>0</v>
      </c>
      <c r="P213">
        <v>15.5433044433594</v>
      </c>
      <c r="Q213">
        <v>4.0064206123352104</v>
      </c>
      <c r="R213">
        <v>2.3356122970581099</v>
      </c>
      <c r="S213" t="s">
        <v>647</v>
      </c>
      <c r="T213" t="s">
        <v>717</v>
      </c>
      <c r="U213" t="s">
        <v>718</v>
      </c>
      <c r="V213" t="s">
        <v>718</v>
      </c>
      <c r="W213" s="3">
        <v>723</v>
      </c>
      <c r="X213" s="3">
        <v>4710000</v>
      </c>
      <c r="Y213">
        <v>3</v>
      </c>
      <c r="Z213" s="3">
        <v>429</v>
      </c>
      <c r="AA213" s="3">
        <v>490</v>
      </c>
      <c r="AB213" s="3">
        <v>563</v>
      </c>
      <c r="AC213" s="3">
        <v>586</v>
      </c>
      <c r="AD213" s="3">
        <v>603</v>
      </c>
      <c r="AE213" s="3">
        <v>608</v>
      </c>
      <c r="AF213" s="3">
        <v>607</v>
      </c>
      <c r="AG213" s="3">
        <v>605</v>
      </c>
      <c r="AH213" s="3">
        <v>615</v>
      </c>
      <c r="AI213" s="3">
        <v>627</v>
      </c>
      <c r="AJ213" s="3">
        <v>639</v>
      </c>
      <c r="AK213" s="3">
        <v>651</v>
      </c>
      <c r="AL213" s="3">
        <v>692</v>
      </c>
      <c r="AM213" s="3">
        <v>649</v>
      </c>
      <c r="AN213" s="3">
        <v>687</v>
      </c>
      <c r="AO213" s="3">
        <v>713</v>
      </c>
      <c r="AP213" s="3">
        <v>723</v>
      </c>
      <c r="AQ213" s="3">
        <v>696</v>
      </c>
      <c r="AR213" s="4">
        <v>153.50318471337579</v>
      </c>
      <c r="AS213" s="5">
        <f t="shared" si="32"/>
        <v>1.7773892773892772</v>
      </c>
      <c r="AT213" s="5">
        <f t="shared" si="33"/>
        <v>1.6553287981859413</v>
      </c>
      <c r="AU213" s="5">
        <f t="shared" si="34"/>
        <v>0.7815275310834815</v>
      </c>
      <c r="AV213" s="5">
        <f t="shared" si="35"/>
        <v>1.9110378912685337</v>
      </c>
      <c r="AW213" s="5">
        <f t="shared" si="36"/>
        <v>1.8373783079665436</v>
      </c>
      <c r="AX213" s="5">
        <f t="shared" si="37"/>
        <v>1.4209591474245113</v>
      </c>
      <c r="AY213" s="5">
        <f t="shared" si="38"/>
        <v>1.8522018522018524</v>
      </c>
      <c r="AZ213">
        <f t="shared" si="39"/>
        <v>4690000</v>
      </c>
      <c r="BA213">
        <v>0</v>
      </c>
      <c r="BB213">
        <v>590000</v>
      </c>
      <c r="BC213">
        <v>30000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2950000</v>
      </c>
      <c r="BK213">
        <v>0</v>
      </c>
      <c r="BL213">
        <v>0</v>
      </c>
      <c r="BM213">
        <v>0</v>
      </c>
      <c r="BN213">
        <v>530000</v>
      </c>
      <c r="BO213">
        <v>0</v>
      </c>
      <c r="BP213">
        <v>590000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49</v>
      </c>
      <c r="CC213">
        <v>52</v>
      </c>
      <c r="CD213">
        <v>66</v>
      </c>
      <c r="CE213">
        <v>67</v>
      </c>
      <c r="CF213" s="17">
        <v>10.381355932203389</v>
      </c>
      <c r="CG213" s="17">
        <v>11.016949152542372</v>
      </c>
      <c r="CH213" s="17">
        <v>13.983050847457626</v>
      </c>
      <c r="CI213" s="17">
        <v>14.194915254237289</v>
      </c>
      <c r="CJ213" s="18">
        <v>1</v>
      </c>
      <c r="CK213" s="18">
        <v>1.0612244897959184</v>
      </c>
      <c r="CL213" s="18">
        <v>1.346938775510204</v>
      </c>
      <c r="CM213" s="18">
        <v>1.3673469387755102</v>
      </c>
      <c r="CN213" s="18">
        <v>0</v>
      </c>
      <c r="CO213" s="18">
        <v>0.63559322033898313</v>
      </c>
      <c r="CP213" s="18">
        <v>3.6016949152542375</v>
      </c>
      <c r="CQ213" s="18">
        <v>3.8135593220338984</v>
      </c>
      <c r="CR213" s="18">
        <f t="shared" si="40"/>
        <v>1.5128205128205128</v>
      </c>
      <c r="CS213" s="18">
        <f t="shared" si="41"/>
        <v>1.1063911213164945</v>
      </c>
      <c r="CT213">
        <v>1.4925373134328399</v>
      </c>
      <c r="CU213">
        <v>86.78038379530922</v>
      </c>
      <c r="CV213">
        <v>11.727078891258</v>
      </c>
      <c r="CW213">
        <v>0</v>
      </c>
      <c r="CX213">
        <v>0</v>
      </c>
      <c r="CY213">
        <v>1.4925373134328399</v>
      </c>
      <c r="CZ213">
        <v>86.78038379530922</v>
      </c>
      <c r="DA213">
        <v>11.727078891258</v>
      </c>
      <c r="DB213">
        <v>0</v>
      </c>
      <c r="DC213">
        <v>0</v>
      </c>
      <c r="DD213">
        <v>12.579957356076772</v>
      </c>
      <c r="DE213">
        <v>74.840085287846506</v>
      </c>
      <c r="DF213">
        <v>12.5799573560768</v>
      </c>
      <c r="DG213">
        <v>0</v>
      </c>
      <c r="DH213">
        <v>0</v>
      </c>
      <c r="DI213">
        <v>13.219616204690873</v>
      </c>
      <c r="DJ213">
        <v>74.200426439232402</v>
      </c>
      <c r="DK213">
        <v>12.5799573560768</v>
      </c>
      <c r="DL213">
        <v>0</v>
      </c>
      <c r="DM213">
        <v>0</v>
      </c>
      <c r="DN213">
        <v>13.219616204690873</v>
      </c>
      <c r="DO213">
        <v>74.200426439232402</v>
      </c>
      <c r="DP213">
        <v>12.5799573560768</v>
      </c>
      <c r="DQ213">
        <v>0</v>
      </c>
      <c r="DR213">
        <v>0</v>
      </c>
      <c r="DS213" t="s">
        <v>312</v>
      </c>
      <c r="DT213" t="s">
        <v>313</v>
      </c>
      <c r="DU213">
        <v>737</v>
      </c>
      <c r="DV213" t="s">
        <v>547</v>
      </c>
      <c r="DW213" t="s">
        <v>548</v>
      </c>
      <c r="DX213">
        <v>86</v>
      </c>
      <c r="DY213">
        <v>130</v>
      </c>
      <c r="DZ213">
        <v>216</v>
      </c>
      <c r="EA213">
        <v>606779</v>
      </c>
      <c r="EB213">
        <v>388178</v>
      </c>
      <c r="EC213">
        <v>994957</v>
      </c>
      <c r="ED213" t="s">
        <v>274</v>
      </c>
      <c r="EE213" t="s">
        <v>274</v>
      </c>
      <c r="EF213" t="s">
        <v>274</v>
      </c>
      <c r="EG213" t="s">
        <v>274</v>
      </c>
    </row>
    <row r="214" spans="1:137" ht="14.55" customHeight="1" x14ac:dyDescent="0.3">
      <c r="A214" t="s">
        <v>719</v>
      </c>
      <c r="B214">
        <v>6636</v>
      </c>
      <c r="C214" t="s">
        <v>720</v>
      </c>
      <c r="D214" t="s">
        <v>543</v>
      </c>
      <c r="E214" t="s">
        <v>645</v>
      </c>
      <c r="F214" t="s">
        <v>270</v>
      </c>
      <c r="G214" t="s">
        <v>646</v>
      </c>
      <c r="H214" s="3">
        <v>2672122.69356</v>
      </c>
      <c r="I214">
        <v>269</v>
      </c>
      <c r="J214" s="3">
        <v>267.21226935599998</v>
      </c>
      <c r="K214">
        <v>418</v>
      </c>
      <c r="L214">
        <v>450</v>
      </c>
      <c r="M214">
        <v>429.58083684080202</v>
      </c>
      <c r="N214">
        <v>4.8072363536249503</v>
      </c>
      <c r="O214">
        <v>0</v>
      </c>
      <c r="P214">
        <v>13.4569501876831</v>
      </c>
      <c r="Q214">
        <v>3.2202053070068399</v>
      </c>
      <c r="R214">
        <v>1.83137202262878</v>
      </c>
      <c r="S214" t="s">
        <v>647</v>
      </c>
      <c r="T214" t="s">
        <v>719</v>
      </c>
      <c r="U214" t="s">
        <v>720</v>
      </c>
      <c r="V214" t="s">
        <v>720</v>
      </c>
      <c r="W214" s="3">
        <v>2468</v>
      </c>
      <c r="X214" s="3">
        <v>2670000</v>
      </c>
      <c r="Y214">
        <v>2</v>
      </c>
      <c r="Z214" s="3">
        <v>1783</v>
      </c>
      <c r="AA214" s="3">
        <v>2109</v>
      </c>
      <c r="AB214" s="3">
        <v>2049</v>
      </c>
      <c r="AC214" s="3">
        <v>2086</v>
      </c>
      <c r="AD214" s="3">
        <v>2071</v>
      </c>
      <c r="AE214" s="3">
        <v>2076</v>
      </c>
      <c r="AF214" s="3">
        <v>2067</v>
      </c>
      <c r="AG214" s="3">
        <v>2032</v>
      </c>
      <c r="AH214" s="3">
        <v>2050</v>
      </c>
      <c r="AI214" s="3">
        <v>2041</v>
      </c>
      <c r="AJ214" s="3">
        <v>2049</v>
      </c>
      <c r="AK214" s="3">
        <v>2043</v>
      </c>
      <c r="AL214" s="3">
        <v>2122</v>
      </c>
      <c r="AM214" s="3">
        <v>2345</v>
      </c>
      <c r="AN214" s="3">
        <v>2430</v>
      </c>
      <c r="AO214" s="3">
        <v>2468</v>
      </c>
      <c r="AP214" s="3">
        <v>2468</v>
      </c>
      <c r="AQ214" s="3">
        <v>2488</v>
      </c>
      <c r="AR214" s="4">
        <v>924.34456928838949</v>
      </c>
      <c r="AS214" s="5">
        <f t="shared" si="32"/>
        <v>2.2854739203589456</v>
      </c>
      <c r="AT214" s="5">
        <f t="shared" si="33"/>
        <v>-0.31610557926347405</v>
      </c>
      <c r="AU214" s="5">
        <f t="shared" si="34"/>
        <v>8.7847730600292828E-2</v>
      </c>
      <c r="AV214" s="5">
        <f t="shared" si="35"/>
        <v>1.9400096758587324</v>
      </c>
      <c r="AW214" s="5">
        <f t="shared" si="36"/>
        <v>0.87756919930058397</v>
      </c>
      <c r="AX214" s="5">
        <f t="shared" si="37"/>
        <v>1.0224499755978527</v>
      </c>
      <c r="AY214" s="5">
        <f t="shared" si="38"/>
        <v>1.0383350259962711</v>
      </c>
      <c r="AZ214">
        <f t="shared" si="39"/>
        <v>2670000</v>
      </c>
      <c r="BA214">
        <v>0</v>
      </c>
      <c r="BB214">
        <v>410000</v>
      </c>
      <c r="BC214">
        <v>0</v>
      </c>
      <c r="BD214">
        <v>10000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1840000</v>
      </c>
      <c r="BK214">
        <v>0</v>
      </c>
      <c r="BL214">
        <v>0</v>
      </c>
      <c r="BM214">
        <v>0</v>
      </c>
      <c r="BN214">
        <v>410000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51</v>
      </c>
      <c r="CC214">
        <v>53</v>
      </c>
      <c r="CD214">
        <v>63</v>
      </c>
      <c r="CE214">
        <v>75</v>
      </c>
      <c r="CF214" s="17">
        <v>19.245283018867926</v>
      </c>
      <c r="CG214" s="17">
        <v>20</v>
      </c>
      <c r="CH214" s="17">
        <v>23.773584905660378</v>
      </c>
      <c r="CI214" s="17">
        <v>28.30188679245283</v>
      </c>
      <c r="CJ214" s="18">
        <v>1</v>
      </c>
      <c r="CK214" s="18">
        <v>1.0392156862745099</v>
      </c>
      <c r="CL214" s="18">
        <v>1.2352941176470589</v>
      </c>
      <c r="CM214" s="18">
        <v>1.4705882352941178</v>
      </c>
      <c r="CN214" s="18">
        <v>0</v>
      </c>
      <c r="CO214" s="18">
        <v>0.75471698113207553</v>
      </c>
      <c r="CP214" s="18">
        <v>4.5283018867924527</v>
      </c>
      <c r="CQ214" s="18">
        <v>9.0566037735849054</v>
      </c>
      <c r="CR214" s="18">
        <f t="shared" si="40"/>
        <v>1.3151991026360068</v>
      </c>
      <c r="CS214" s="18">
        <f t="shared" si="41"/>
        <v>0.89433538979248461</v>
      </c>
      <c r="CT214">
        <v>1.8726591760299629</v>
      </c>
      <c r="CU214">
        <v>98.127340823970002</v>
      </c>
      <c r="CV214">
        <v>0</v>
      </c>
      <c r="CW214">
        <v>0</v>
      </c>
      <c r="CX214">
        <v>0</v>
      </c>
      <c r="CY214">
        <v>2.247191011235953</v>
      </c>
      <c r="CZ214">
        <v>97.752808988764002</v>
      </c>
      <c r="DA214">
        <v>0</v>
      </c>
      <c r="DB214">
        <v>0</v>
      </c>
      <c r="DC214">
        <v>0</v>
      </c>
      <c r="DD214">
        <v>15.355805243445692</v>
      </c>
      <c r="DE214">
        <v>84.644194756554299</v>
      </c>
      <c r="DF214">
        <v>0</v>
      </c>
      <c r="DG214">
        <v>0</v>
      </c>
      <c r="DH214">
        <v>0</v>
      </c>
      <c r="DI214">
        <v>15.730337078651692</v>
      </c>
      <c r="DJ214">
        <v>84.269662921348299</v>
      </c>
      <c r="DK214">
        <v>0</v>
      </c>
      <c r="DL214">
        <v>0</v>
      </c>
      <c r="DM214">
        <v>0</v>
      </c>
      <c r="DN214">
        <v>15.730337078651692</v>
      </c>
      <c r="DO214">
        <v>84.269662921348299</v>
      </c>
      <c r="DP214">
        <v>0</v>
      </c>
      <c r="DQ214">
        <v>0</v>
      </c>
      <c r="DR214">
        <v>0</v>
      </c>
      <c r="DS214" t="s">
        <v>371</v>
      </c>
      <c r="DT214" t="s">
        <v>313</v>
      </c>
      <c r="DU214">
        <v>2527</v>
      </c>
      <c r="DV214" t="s">
        <v>547</v>
      </c>
      <c r="DW214" t="s">
        <v>548</v>
      </c>
      <c r="DX214">
        <v>86</v>
      </c>
      <c r="DY214">
        <v>130</v>
      </c>
      <c r="DZ214">
        <v>216</v>
      </c>
      <c r="EA214">
        <v>606779</v>
      </c>
      <c r="EB214">
        <v>388178</v>
      </c>
      <c r="EC214">
        <v>994957</v>
      </c>
      <c r="ED214" t="s">
        <v>274</v>
      </c>
      <c r="EE214" t="s">
        <v>274</v>
      </c>
      <c r="EF214" t="s">
        <v>274</v>
      </c>
      <c r="EG214" t="s">
        <v>274</v>
      </c>
    </row>
    <row r="215" spans="1:137" ht="14.55" customHeight="1" x14ac:dyDescent="0.3">
      <c r="A215" t="s">
        <v>721</v>
      </c>
      <c r="B215">
        <v>6637</v>
      </c>
      <c r="C215" t="s">
        <v>722</v>
      </c>
      <c r="D215" t="s">
        <v>543</v>
      </c>
      <c r="E215" t="s">
        <v>645</v>
      </c>
      <c r="F215" t="s">
        <v>270</v>
      </c>
      <c r="G215" t="s">
        <v>646</v>
      </c>
      <c r="H215" s="3">
        <v>4909735.2041999996</v>
      </c>
      <c r="I215">
        <v>489</v>
      </c>
      <c r="J215" s="3">
        <v>490.97352041999994</v>
      </c>
      <c r="K215">
        <v>336</v>
      </c>
      <c r="L215">
        <v>478</v>
      </c>
      <c r="M215">
        <v>398.904960905905</v>
      </c>
      <c r="N215">
        <v>30.2048769437788</v>
      </c>
      <c r="O215">
        <v>0</v>
      </c>
      <c r="P215">
        <v>29.700096130371101</v>
      </c>
      <c r="Q215">
        <v>6.2421946525573704</v>
      </c>
      <c r="R215">
        <v>4.6392168998718297</v>
      </c>
      <c r="S215" t="s">
        <v>647</v>
      </c>
      <c r="T215" t="s">
        <v>721</v>
      </c>
      <c r="U215" t="s">
        <v>722</v>
      </c>
      <c r="V215" t="s">
        <v>722</v>
      </c>
      <c r="W215" s="3">
        <v>541</v>
      </c>
      <c r="X215" s="3">
        <v>4910000</v>
      </c>
      <c r="Y215">
        <v>3</v>
      </c>
      <c r="Z215" s="3">
        <v>351</v>
      </c>
      <c r="AA215" s="3">
        <v>350</v>
      </c>
      <c r="AB215" s="3">
        <v>398</v>
      </c>
      <c r="AC215" s="3">
        <v>400</v>
      </c>
      <c r="AD215" s="3">
        <v>392</v>
      </c>
      <c r="AE215" s="3">
        <v>399</v>
      </c>
      <c r="AF215" s="3">
        <v>464</v>
      </c>
      <c r="AG215" s="3">
        <v>470</v>
      </c>
      <c r="AH215" s="3">
        <v>478</v>
      </c>
      <c r="AI215" s="3">
        <v>485</v>
      </c>
      <c r="AJ215" s="3">
        <v>489</v>
      </c>
      <c r="AK215" s="3">
        <v>508</v>
      </c>
      <c r="AL215" s="3">
        <v>540</v>
      </c>
      <c r="AM215" s="3">
        <v>540</v>
      </c>
      <c r="AN215" s="3">
        <v>548</v>
      </c>
      <c r="AO215" s="3">
        <v>541</v>
      </c>
      <c r="AP215" s="3">
        <v>541</v>
      </c>
      <c r="AQ215" s="3">
        <v>530</v>
      </c>
      <c r="AR215" s="4">
        <v>110.18329938900203</v>
      </c>
      <c r="AS215" s="5">
        <f t="shared" si="32"/>
        <v>-3.5612535612535613E-2</v>
      </c>
      <c r="AT215" s="5">
        <f t="shared" si="33"/>
        <v>1.5238095238095237</v>
      </c>
      <c r="AU215" s="5">
        <f t="shared" si="34"/>
        <v>1.6582914572864322</v>
      </c>
      <c r="AV215" s="5">
        <f t="shared" si="35"/>
        <v>1.6594827586206899</v>
      </c>
      <c r="AW215" s="5">
        <f t="shared" si="36"/>
        <v>0.78766549354784654</v>
      </c>
      <c r="AX215" s="5">
        <f t="shared" si="37"/>
        <v>1.7964824120603013</v>
      </c>
      <c r="AY215" s="5">
        <f t="shared" si="38"/>
        <v>1.4630014630014632</v>
      </c>
      <c r="AZ215">
        <f t="shared" si="39"/>
        <v>4900000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2180000</v>
      </c>
      <c r="BK215">
        <v>1060000</v>
      </c>
      <c r="BL215">
        <v>0</v>
      </c>
      <c r="BM215">
        <v>0</v>
      </c>
      <c r="BN215">
        <v>0</v>
      </c>
      <c r="BO215">
        <v>0</v>
      </c>
      <c r="BP215">
        <v>940000</v>
      </c>
      <c r="BQ215">
        <v>0</v>
      </c>
      <c r="BR215">
        <v>0</v>
      </c>
      <c r="BS215">
        <v>0</v>
      </c>
      <c r="BT215">
        <v>0</v>
      </c>
      <c r="BU215">
        <v>520000</v>
      </c>
      <c r="BV215">
        <v>0</v>
      </c>
      <c r="BW215">
        <v>0</v>
      </c>
      <c r="BX215">
        <v>0</v>
      </c>
      <c r="BY215">
        <v>0</v>
      </c>
      <c r="BZ215">
        <v>200000</v>
      </c>
      <c r="CA215">
        <v>0</v>
      </c>
      <c r="CB215">
        <v>104</v>
      </c>
      <c r="CC215">
        <v>80</v>
      </c>
      <c r="CD215">
        <v>66</v>
      </c>
      <c r="CE215">
        <v>49</v>
      </c>
      <c r="CF215" s="17">
        <v>21.052631578947366</v>
      </c>
      <c r="CG215" s="17">
        <v>16.194331983805668</v>
      </c>
      <c r="CH215" s="17">
        <v>13.360323886639677</v>
      </c>
      <c r="CI215" s="17">
        <v>9.9190283400809722</v>
      </c>
      <c r="CJ215" s="18">
        <v>1</v>
      </c>
      <c r="CK215" s="18">
        <v>0.76923076923076927</v>
      </c>
      <c r="CL215" s="18">
        <v>0.63461538461538458</v>
      </c>
      <c r="CM215" s="18">
        <v>0.47115384615384615</v>
      </c>
      <c r="CN215" s="18">
        <v>0</v>
      </c>
      <c r="CO215" s="18">
        <v>-4.8582995951417001</v>
      </c>
      <c r="CP215" s="18">
        <v>-7.6923076923076925</v>
      </c>
      <c r="CQ215" s="18">
        <v>-11.133603238866396</v>
      </c>
      <c r="CR215" s="18">
        <f t="shared" si="40"/>
        <v>1.5384615384615385</v>
      </c>
      <c r="CS215" s="18">
        <f t="shared" si="41"/>
        <v>3.2653061224489797</v>
      </c>
      <c r="CT215">
        <v>8.3673469387755102</v>
      </c>
      <c r="CU215">
        <v>58.163265306122398</v>
      </c>
      <c r="CV215">
        <v>21.224489795918402</v>
      </c>
      <c r="CW215">
        <v>7.7551020408163298</v>
      </c>
      <c r="CX215">
        <v>4.4897959183673501</v>
      </c>
      <c r="CY215">
        <v>8.3673469387755102</v>
      </c>
      <c r="CZ215">
        <v>58.163265306122398</v>
      </c>
      <c r="DA215">
        <v>21.224489795918402</v>
      </c>
      <c r="DB215">
        <v>7.7551020408163298</v>
      </c>
      <c r="DC215">
        <v>4.4897959183673501</v>
      </c>
      <c r="DD215">
        <v>5.71428571428571</v>
      </c>
      <c r="DE215">
        <v>66.122448979591866</v>
      </c>
      <c r="DF215">
        <v>24.081632653061231</v>
      </c>
      <c r="DG215">
        <v>0</v>
      </c>
      <c r="DH215">
        <v>4.0816326530612201</v>
      </c>
      <c r="DI215">
        <v>0</v>
      </c>
      <c r="DJ215">
        <v>66.122448979591795</v>
      </c>
      <c r="DK215">
        <v>29.795918367346999</v>
      </c>
      <c r="DL215">
        <v>0</v>
      </c>
      <c r="DM215">
        <v>4.0816326530612201</v>
      </c>
      <c r="DN215">
        <v>0</v>
      </c>
      <c r="DO215">
        <v>66.122448979591795</v>
      </c>
      <c r="DP215">
        <v>29.795918367346999</v>
      </c>
      <c r="DQ215">
        <v>0</v>
      </c>
      <c r="DR215">
        <v>4.0816326530612201</v>
      </c>
      <c r="DS215" t="s">
        <v>312</v>
      </c>
      <c r="DT215" t="s">
        <v>313</v>
      </c>
      <c r="DU215">
        <v>536</v>
      </c>
      <c r="DV215" t="s">
        <v>547</v>
      </c>
      <c r="DW215" t="s">
        <v>548</v>
      </c>
      <c r="DX215">
        <v>86</v>
      </c>
      <c r="DY215">
        <v>130</v>
      </c>
      <c r="DZ215">
        <v>216</v>
      </c>
      <c r="EA215">
        <v>606779</v>
      </c>
      <c r="EB215">
        <v>388178</v>
      </c>
      <c r="EC215">
        <v>994957</v>
      </c>
      <c r="ED215" t="s">
        <v>274</v>
      </c>
      <c r="EE215" t="s">
        <v>274</v>
      </c>
      <c r="EF215" t="s">
        <v>274</v>
      </c>
      <c r="EG215" t="s">
        <v>274</v>
      </c>
    </row>
    <row r="216" spans="1:137" ht="14.55" customHeight="1" x14ac:dyDescent="0.3">
      <c r="A216" t="s">
        <v>723</v>
      </c>
      <c r="B216">
        <v>6638</v>
      </c>
      <c r="C216" t="s">
        <v>724</v>
      </c>
      <c r="D216" t="s">
        <v>543</v>
      </c>
      <c r="E216" t="s">
        <v>645</v>
      </c>
      <c r="F216" t="s">
        <v>270</v>
      </c>
      <c r="G216" t="s">
        <v>646</v>
      </c>
      <c r="H216" s="3">
        <v>18921143.317200001</v>
      </c>
      <c r="I216">
        <v>1891</v>
      </c>
      <c r="J216" s="3">
        <v>1892.1143319200003</v>
      </c>
      <c r="K216">
        <v>357</v>
      </c>
      <c r="L216">
        <v>513</v>
      </c>
      <c r="M216">
        <v>432.03113085452401</v>
      </c>
      <c r="N216">
        <v>32.413470208349302</v>
      </c>
      <c r="O216">
        <v>0</v>
      </c>
      <c r="P216">
        <v>28.762123107910199</v>
      </c>
      <c r="Q216">
        <v>4.8978853225707999</v>
      </c>
      <c r="R216">
        <v>3.2499132156372101</v>
      </c>
      <c r="S216" t="s">
        <v>647</v>
      </c>
      <c r="T216" t="s">
        <v>723</v>
      </c>
      <c r="U216" t="s">
        <v>724</v>
      </c>
      <c r="V216" t="s">
        <v>724</v>
      </c>
      <c r="W216" s="3">
        <v>4273</v>
      </c>
      <c r="X216" s="3">
        <v>18920000</v>
      </c>
      <c r="Y216">
        <v>3</v>
      </c>
      <c r="Z216" s="3">
        <v>1846</v>
      </c>
      <c r="AA216" s="3">
        <v>2235</v>
      </c>
      <c r="AB216" s="3">
        <v>2691</v>
      </c>
      <c r="AC216" s="3">
        <v>2996</v>
      </c>
      <c r="AD216" s="3">
        <v>3009</v>
      </c>
      <c r="AE216" s="3">
        <v>3142</v>
      </c>
      <c r="AF216" s="3">
        <v>3271</v>
      </c>
      <c r="AG216" s="3">
        <v>3586</v>
      </c>
      <c r="AH216" s="3">
        <v>3764</v>
      </c>
      <c r="AI216" s="3">
        <v>3874</v>
      </c>
      <c r="AJ216" s="3">
        <v>3962</v>
      </c>
      <c r="AK216" s="3">
        <v>4016</v>
      </c>
      <c r="AL216" s="3">
        <v>4107</v>
      </c>
      <c r="AM216" s="3">
        <v>4102</v>
      </c>
      <c r="AN216" s="3">
        <v>4109</v>
      </c>
      <c r="AO216" s="3">
        <v>4187</v>
      </c>
      <c r="AP216" s="3">
        <v>4273</v>
      </c>
      <c r="AQ216" s="3">
        <v>4286</v>
      </c>
      <c r="AR216" s="4">
        <v>225.84566596194503</v>
      </c>
      <c r="AS216" s="5">
        <f t="shared" si="32"/>
        <v>2.6340736728060672</v>
      </c>
      <c r="AT216" s="5">
        <f t="shared" si="33"/>
        <v>2.2669649515287098</v>
      </c>
      <c r="AU216" s="5">
        <f t="shared" si="34"/>
        <v>2.155332590115199</v>
      </c>
      <c r="AV216" s="5">
        <f t="shared" si="35"/>
        <v>3.0632833995719966</v>
      </c>
      <c r="AW216" s="5">
        <f t="shared" si="36"/>
        <v>2.6926263463131734</v>
      </c>
      <c r="AX216" s="5">
        <f t="shared" si="37"/>
        <v>2.939427722036418</v>
      </c>
      <c r="AY216" s="5">
        <f t="shared" si="38"/>
        <v>3.553336651928201</v>
      </c>
      <c r="AZ216">
        <f t="shared" si="39"/>
        <v>18920000</v>
      </c>
      <c r="BA216">
        <v>0</v>
      </c>
      <c r="BB216">
        <v>680000</v>
      </c>
      <c r="BC216">
        <v>2220000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6020000</v>
      </c>
      <c r="BK216">
        <v>5520000</v>
      </c>
      <c r="BL216">
        <v>0</v>
      </c>
      <c r="BM216">
        <v>0</v>
      </c>
      <c r="BN216">
        <v>910000</v>
      </c>
      <c r="BO216">
        <v>0</v>
      </c>
      <c r="BP216">
        <v>3160000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410000</v>
      </c>
      <c r="CA216">
        <v>0</v>
      </c>
      <c r="CB216">
        <v>296</v>
      </c>
      <c r="CC216">
        <v>363</v>
      </c>
      <c r="CD216">
        <v>361</v>
      </c>
      <c r="CE216">
        <v>394</v>
      </c>
      <c r="CF216" s="17">
        <v>15.661375661375661</v>
      </c>
      <c r="CG216" s="17">
        <v>19.206349206349209</v>
      </c>
      <c r="CH216" s="17">
        <v>19.100529100529101</v>
      </c>
      <c r="CI216" s="17">
        <v>20.846560846560848</v>
      </c>
      <c r="CJ216" s="18">
        <v>1</v>
      </c>
      <c r="CK216" s="18">
        <v>1.2263513513513513</v>
      </c>
      <c r="CL216" s="18">
        <v>1.2195945945945945</v>
      </c>
      <c r="CM216" s="18">
        <v>1.3310810810810811</v>
      </c>
      <c r="CN216" s="18">
        <v>0</v>
      </c>
      <c r="CO216" s="18">
        <v>3.5449735449735447</v>
      </c>
      <c r="CP216" s="18">
        <v>3.4391534391534391</v>
      </c>
      <c r="CQ216" s="18">
        <v>5.1851851851851851</v>
      </c>
      <c r="CR216" s="18">
        <f t="shared" si="40"/>
        <v>2.2221018418201517</v>
      </c>
      <c r="CS216" s="18">
        <f t="shared" si="41"/>
        <v>1.6693963075603169</v>
      </c>
      <c r="CT216">
        <v>11.997885835095131</v>
      </c>
      <c r="CU216">
        <v>68.710359408033852</v>
      </c>
      <c r="CV216">
        <v>16.014799154334</v>
      </c>
      <c r="CW216">
        <v>0.89852008456659604</v>
      </c>
      <c r="CX216">
        <v>2.3784355179704</v>
      </c>
      <c r="CY216">
        <v>12.89640591966171</v>
      </c>
      <c r="CZ216">
        <v>67.811839323467254</v>
      </c>
      <c r="DA216">
        <v>16.014799154334</v>
      </c>
      <c r="DB216">
        <v>0.89852008456659604</v>
      </c>
      <c r="DC216">
        <v>2.3784355179704</v>
      </c>
      <c r="DD216">
        <v>14.1120507399577</v>
      </c>
      <c r="DE216">
        <v>66.966173361522124</v>
      </c>
      <c r="DF216">
        <v>16.754756871035902</v>
      </c>
      <c r="DG216">
        <v>0</v>
      </c>
      <c r="DH216">
        <v>2.1670190274841401</v>
      </c>
      <c r="DI216">
        <v>15.010570824524279</v>
      </c>
      <c r="DJ216">
        <v>66.120507399577164</v>
      </c>
      <c r="DK216">
        <v>16.701902748414401</v>
      </c>
      <c r="DL216">
        <v>0</v>
      </c>
      <c r="DM216">
        <v>2.1670190274841401</v>
      </c>
      <c r="DN216">
        <v>15.32769556025368</v>
      </c>
      <c r="DO216">
        <v>65.803382663847771</v>
      </c>
      <c r="DP216">
        <v>16.701902748414401</v>
      </c>
      <c r="DQ216">
        <v>0</v>
      </c>
      <c r="DR216">
        <v>2.1670190274841401</v>
      </c>
      <c r="DS216" t="s">
        <v>312</v>
      </c>
      <c r="DT216" t="s">
        <v>313</v>
      </c>
      <c r="DU216">
        <v>4449</v>
      </c>
      <c r="DV216" t="s">
        <v>547</v>
      </c>
      <c r="DW216" t="s">
        <v>548</v>
      </c>
      <c r="DX216">
        <v>86</v>
      </c>
      <c r="DY216">
        <v>130</v>
      </c>
      <c r="DZ216">
        <v>216</v>
      </c>
      <c r="EA216">
        <v>606779</v>
      </c>
      <c r="EB216">
        <v>388178</v>
      </c>
      <c r="EC216">
        <v>994957</v>
      </c>
      <c r="ED216" t="s">
        <v>274</v>
      </c>
      <c r="EE216" t="s">
        <v>274</v>
      </c>
      <c r="EF216" t="s">
        <v>274</v>
      </c>
      <c r="EG216" t="s">
        <v>274</v>
      </c>
    </row>
    <row r="217" spans="1:137" ht="14.55" customHeight="1" x14ac:dyDescent="0.3">
      <c r="A217" t="s">
        <v>725</v>
      </c>
      <c r="B217">
        <v>6639</v>
      </c>
      <c r="C217" t="s">
        <v>726</v>
      </c>
      <c r="D217" t="s">
        <v>543</v>
      </c>
      <c r="E217" t="s">
        <v>645</v>
      </c>
      <c r="F217" t="s">
        <v>270</v>
      </c>
      <c r="G217" t="s">
        <v>646</v>
      </c>
      <c r="H217" s="3">
        <v>2942030.7229499999</v>
      </c>
      <c r="I217">
        <v>290</v>
      </c>
      <c r="J217" s="3">
        <v>294.20307229600002</v>
      </c>
      <c r="K217">
        <v>404</v>
      </c>
      <c r="L217">
        <v>469</v>
      </c>
      <c r="M217">
        <v>435.68814781433099</v>
      </c>
      <c r="N217">
        <v>14.6486905976921</v>
      </c>
      <c r="O217">
        <v>0</v>
      </c>
      <c r="P217">
        <v>13.678958892822299</v>
      </c>
      <c r="Q217">
        <v>3.7430100440978999</v>
      </c>
      <c r="R217">
        <v>2.26736259460449</v>
      </c>
      <c r="S217" t="s">
        <v>647</v>
      </c>
      <c r="T217" t="s">
        <v>725</v>
      </c>
      <c r="U217" t="s">
        <v>726</v>
      </c>
      <c r="V217" t="s">
        <v>726</v>
      </c>
      <c r="W217" s="3">
        <v>955</v>
      </c>
      <c r="X217" s="3">
        <v>2940000</v>
      </c>
      <c r="Y217">
        <v>3</v>
      </c>
      <c r="Z217" s="3">
        <v>459</v>
      </c>
      <c r="AA217" s="3">
        <v>539</v>
      </c>
      <c r="AB217" s="3">
        <v>592</v>
      </c>
      <c r="AC217" s="3">
        <v>666</v>
      </c>
      <c r="AD217" s="3">
        <v>667</v>
      </c>
      <c r="AE217" s="3">
        <v>688</v>
      </c>
      <c r="AF217" s="3">
        <v>718</v>
      </c>
      <c r="AG217" s="3">
        <v>734</v>
      </c>
      <c r="AH217" s="3">
        <v>731</v>
      </c>
      <c r="AI217" s="3">
        <v>718</v>
      </c>
      <c r="AJ217" s="3">
        <v>744</v>
      </c>
      <c r="AK217" s="3">
        <v>762</v>
      </c>
      <c r="AL217" s="3">
        <v>752</v>
      </c>
      <c r="AM217" s="3">
        <v>767</v>
      </c>
      <c r="AN217" s="3">
        <v>822</v>
      </c>
      <c r="AO217" s="3">
        <v>853</v>
      </c>
      <c r="AP217" s="3">
        <v>955</v>
      </c>
      <c r="AQ217" s="3">
        <v>976</v>
      </c>
      <c r="AR217" s="4">
        <v>324.8299319727891</v>
      </c>
      <c r="AS217" s="5">
        <f t="shared" si="32"/>
        <v>2.1786492374727668</v>
      </c>
      <c r="AT217" s="5">
        <f t="shared" si="33"/>
        <v>1.0925582354153782</v>
      </c>
      <c r="AU217" s="5">
        <f t="shared" si="34"/>
        <v>2.1283783783783781</v>
      </c>
      <c r="AV217" s="5">
        <f t="shared" si="35"/>
        <v>3.3008356545961002</v>
      </c>
      <c r="AW217" s="5">
        <f t="shared" si="36"/>
        <v>1.7044726387286941</v>
      </c>
      <c r="AX217" s="5">
        <f t="shared" si="37"/>
        <v>3.0658783783783781</v>
      </c>
      <c r="AY217" s="5">
        <f t="shared" si="38"/>
        <v>2.9205676264499796</v>
      </c>
      <c r="AZ217">
        <f t="shared" si="39"/>
        <v>2890000</v>
      </c>
      <c r="BA217">
        <v>0</v>
      </c>
      <c r="BB217">
        <v>300000</v>
      </c>
      <c r="BC217">
        <v>0</v>
      </c>
      <c r="BD217">
        <v>0</v>
      </c>
      <c r="BE217">
        <v>0</v>
      </c>
      <c r="BF217">
        <v>0</v>
      </c>
      <c r="BG217">
        <v>20000</v>
      </c>
      <c r="BH217">
        <v>0</v>
      </c>
      <c r="BI217">
        <v>0</v>
      </c>
      <c r="BJ217">
        <v>2260000</v>
      </c>
      <c r="BK217">
        <v>270000</v>
      </c>
      <c r="BL217">
        <v>0</v>
      </c>
      <c r="BM217">
        <v>0</v>
      </c>
      <c r="BN217">
        <v>0</v>
      </c>
      <c r="BO217">
        <v>0</v>
      </c>
      <c r="BP217">
        <v>40000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23</v>
      </c>
      <c r="CC217">
        <v>26</v>
      </c>
      <c r="CD217">
        <v>36</v>
      </c>
      <c r="CE217">
        <v>44</v>
      </c>
      <c r="CF217" s="17">
        <v>7.8498293515358366</v>
      </c>
      <c r="CG217" s="17">
        <v>8.8737201365187719</v>
      </c>
      <c r="CH217" s="17">
        <v>12.286689419795222</v>
      </c>
      <c r="CI217" s="17">
        <v>15.017064846416384</v>
      </c>
      <c r="CJ217" s="18">
        <v>1</v>
      </c>
      <c r="CK217" s="18">
        <v>1.1304347826086956</v>
      </c>
      <c r="CL217" s="18">
        <v>1.5652173913043479</v>
      </c>
      <c r="CM217" s="18">
        <v>1.9130434782608696</v>
      </c>
      <c r="CN217" s="18">
        <v>0</v>
      </c>
      <c r="CO217" s="18">
        <v>1.0238907849829351</v>
      </c>
      <c r="CP217" s="18">
        <v>4.4368600682593859</v>
      </c>
      <c r="CQ217" s="18">
        <v>7.1672354948805461</v>
      </c>
      <c r="CR217" s="18">
        <f t="shared" si="40"/>
        <v>1.6710239651416121</v>
      </c>
      <c r="CS217" s="18">
        <f t="shared" si="41"/>
        <v>0.87348979996038811</v>
      </c>
      <c r="CT217">
        <v>8.3044982698961896</v>
      </c>
      <c r="CU217">
        <v>88.581314878892798</v>
      </c>
      <c r="CV217">
        <v>3.1141868512110702</v>
      </c>
      <c r="CW217">
        <v>0</v>
      </c>
      <c r="CX217">
        <v>0</v>
      </c>
      <c r="CY217">
        <v>8.3044982698961896</v>
      </c>
      <c r="CZ217">
        <v>88.581314878892798</v>
      </c>
      <c r="DA217">
        <v>3.1141868512110702</v>
      </c>
      <c r="DB217">
        <v>0</v>
      </c>
      <c r="DC217">
        <v>0</v>
      </c>
      <c r="DD217">
        <v>10.380622837370201</v>
      </c>
      <c r="DE217">
        <v>88.235294117647015</v>
      </c>
      <c r="DF217">
        <v>1.3840830449827</v>
      </c>
      <c r="DG217">
        <v>0</v>
      </c>
      <c r="DH217">
        <v>0</v>
      </c>
      <c r="DI217">
        <v>12.802768166089921</v>
      </c>
      <c r="DJ217">
        <v>85.813148788927322</v>
      </c>
      <c r="DK217">
        <v>1.3840830449827</v>
      </c>
      <c r="DL217">
        <v>0</v>
      </c>
      <c r="DM217">
        <v>0</v>
      </c>
      <c r="DN217">
        <v>11.07266435986155</v>
      </c>
      <c r="DO217">
        <v>87.543252595155721</v>
      </c>
      <c r="DP217">
        <v>1.3840830449827</v>
      </c>
      <c r="DQ217">
        <v>0</v>
      </c>
      <c r="DR217">
        <v>0</v>
      </c>
      <c r="DS217" t="s">
        <v>312</v>
      </c>
      <c r="DT217" t="s">
        <v>313</v>
      </c>
      <c r="DU217">
        <v>963</v>
      </c>
      <c r="DV217" t="s">
        <v>547</v>
      </c>
      <c r="DW217" t="s">
        <v>548</v>
      </c>
      <c r="DX217">
        <v>86</v>
      </c>
      <c r="DY217">
        <v>130</v>
      </c>
      <c r="DZ217">
        <v>216</v>
      </c>
      <c r="EA217">
        <v>606779</v>
      </c>
      <c r="EB217">
        <v>388178</v>
      </c>
      <c r="EC217">
        <v>994957</v>
      </c>
      <c r="ED217" t="s">
        <v>274</v>
      </c>
      <c r="EE217" t="s">
        <v>274</v>
      </c>
      <c r="EF217" t="s">
        <v>274</v>
      </c>
      <c r="EG217" t="s">
        <v>274</v>
      </c>
    </row>
    <row r="218" spans="1:137" ht="14.55" customHeight="1" x14ac:dyDescent="0.3">
      <c r="A218" t="s">
        <v>727</v>
      </c>
      <c r="B218">
        <v>6640</v>
      </c>
      <c r="C218" t="s">
        <v>728</v>
      </c>
      <c r="D218" t="s">
        <v>543</v>
      </c>
      <c r="E218" t="s">
        <v>645</v>
      </c>
      <c r="F218" t="s">
        <v>270</v>
      </c>
      <c r="G218" t="s">
        <v>646</v>
      </c>
      <c r="H218" s="3">
        <v>3820204.0653900001</v>
      </c>
      <c r="I218">
        <v>384</v>
      </c>
      <c r="J218" s="3">
        <v>382.02040654199999</v>
      </c>
      <c r="K218">
        <v>382</v>
      </c>
      <c r="L218">
        <v>452</v>
      </c>
      <c r="M218">
        <v>418.26849600555698</v>
      </c>
      <c r="N218">
        <v>12.2854699826495</v>
      </c>
      <c r="O218">
        <v>0</v>
      </c>
      <c r="P218">
        <v>17.594079971313501</v>
      </c>
      <c r="Q218">
        <v>3.7978994846343999</v>
      </c>
      <c r="R218">
        <v>2.5207359790802002</v>
      </c>
      <c r="S218" t="s">
        <v>647</v>
      </c>
      <c r="T218" t="s">
        <v>727</v>
      </c>
      <c r="U218" t="s">
        <v>728</v>
      </c>
      <c r="V218" t="s">
        <v>728</v>
      </c>
      <c r="W218" s="3">
        <v>14182</v>
      </c>
      <c r="X218" s="3">
        <v>3820000</v>
      </c>
      <c r="Y218">
        <v>1</v>
      </c>
      <c r="Z218" s="3">
        <v>9428</v>
      </c>
      <c r="AA218" s="3">
        <v>10385</v>
      </c>
      <c r="AB218" s="3">
        <v>11767</v>
      </c>
      <c r="AC218" s="3">
        <v>13077</v>
      </c>
      <c r="AD218" s="3">
        <v>13124</v>
      </c>
      <c r="AE218" s="3">
        <v>13340</v>
      </c>
      <c r="AF218" s="3">
        <v>13483</v>
      </c>
      <c r="AG218" s="3">
        <v>13578</v>
      </c>
      <c r="AH218" s="3">
        <v>13478</v>
      </c>
      <c r="AI218" s="3">
        <v>13587</v>
      </c>
      <c r="AJ218" s="3">
        <v>13756</v>
      </c>
      <c r="AK218" s="3">
        <v>13971</v>
      </c>
      <c r="AL218" s="3">
        <v>13955</v>
      </c>
      <c r="AM218" s="3">
        <v>13906</v>
      </c>
      <c r="AN218" s="3">
        <v>14091</v>
      </c>
      <c r="AO218" s="3">
        <v>14122</v>
      </c>
      <c r="AP218" s="3">
        <v>14182</v>
      </c>
      <c r="AQ218" s="3">
        <v>14573</v>
      </c>
      <c r="AR218" s="4">
        <v>3712.5654450261782</v>
      </c>
      <c r="AS218" s="5">
        <f t="shared" si="32"/>
        <v>1.2688268985999152</v>
      </c>
      <c r="AT218" s="5">
        <f t="shared" si="33"/>
        <v>1.4786283635585513</v>
      </c>
      <c r="AU218" s="5">
        <f t="shared" si="34"/>
        <v>1.4583156284524519</v>
      </c>
      <c r="AV218" s="5">
        <f t="shared" si="35"/>
        <v>0.51843061633167697</v>
      </c>
      <c r="AW218" s="5">
        <f t="shared" si="36"/>
        <v>1.4593576081259827</v>
      </c>
      <c r="AX218" s="5">
        <f t="shared" si="37"/>
        <v>1.0261748958953005</v>
      </c>
      <c r="AY218" s="5">
        <f t="shared" si="38"/>
        <v>1.362818057769267</v>
      </c>
      <c r="AZ218">
        <f t="shared" si="39"/>
        <v>3820000</v>
      </c>
      <c r="BA218">
        <v>0</v>
      </c>
      <c r="BB218">
        <v>2860000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170000</v>
      </c>
      <c r="BI218">
        <v>0</v>
      </c>
      <c r="BJ218">
        <v>580000</v>
      </c>
      <c r="BK218">
        <v>0</v>
      </c>
      <c r="BL218">
        <v>0</v>
      </c>
      <c r="BM218">
        <v>0</v>
      </c>
      <c r="BN218">
        <v>210000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242</v>
      </c>
      <c r="CC218">
        <v>262</v>
      </c>
      <c r="CD218">
        <v>279</v>
      </c>
      <c r="CE218">
        <v>284</v>
      </c>
      <c r="CF218" s="17">
        <v>63.185378590078336</v>
      </c>
      <c r="CG218" s="17">
        <v>68.407310704960835</v>
      </c>
      <c r="CH218" s="17">
        <v>72.845953002610969</v>
      </c>
      <c r="CI218" s="17">
        <v>74.151436031331599</v>
      </c>
      <c r="CJ218" s="18">
        <v>1</v>
      </c>
      <c r="CK218" s="18">
        <v>1.0826446280991735</v>
      </c>
      <c r="CL218" s="18">
        <v>1.1528925619834711</v>
      </c>
      <c r="CM218" s="18">
        <v>1.1735537190082646</v>
      </c>
      <c r="CN218" s="18">
        <v>0</v>
      </c>
      <c r="CO218" s="18">
        <v>5.221932114882506</v>
      </c>
      <c r="CP218" s="18">
        <v>9.660574412532636</v>
      </c>
      <c r="CQ218" s="18">
        <v>10.966057441253264</v>
      </c>
      <c r="CR218" s="18">
        <f t="shared" si="40"/>
        <v>1.4749681798896903</v>
      </c>
      <c r="CS218" s="18">
        <f t="shared" si="41"/>
        <v>1.2568390828637501</v>
      </c>
      <c r="CT218">
        <v>68.324607329842905</v>
      </c>
      <c r="CU218">
        <v>31.675392670157098</v>
      </c>
      <c r="CV218">
        <v>0</v>
      </c>
      <c r="CW218">
        <v>0</v>
      </c>
      <c r="CX218">
        <v>0</v>
      </c>
      <c r="CY218">
        <v>68.324607329842905</v>
      </c>
      <c r="CZ218">
        <v>31.675392670157098</v>
      </c>
      <c r="DA218">
        <v>0</v>
      </c>
      <c r="DB218">
        <v>0</v>
      </c>
      <c r="DC218">
        <v>0</v>
      </c>
      <c r="DD218">
        <v>80.366492146596912</v>
      </c>
      <c r="DE218">
        <v>19.633507853403181</v>
      </c>
      <c r="DF218">
        <v>0</v>
      </c>
      <c r="DG218">
        <v>0</v>
      </c>
      <c r="DH218">
        <v>0</v>
      </c>
      <c r="DI218">
        <v>79.319371727748717</v>
      </c>
      <c r="DJ218">
        <v>20.68062827225128</v>
      </c>
      <c r="DK218">
        <v>0</v>
      </c>
      <c r="DL218">
        <v>0</v>
      </c>
      <c r="DM218">
        <v>0</v>
      </c>
      <c r="DN218">
        <v>79.319371727748717</v>
      </c>
      <c r="DO218">
        <v>20.68062827225128</v>
      </c>
      <c r="DP218">
        <v>0</v>
      </c>
      <c r="DQ218">
        <v>0</v>
      </c>
      <c r="DR218">
        <v>0</v>
      </c>
      <c r="DS218" t="s">
        <v>371</v>
      </c>
      <c r="DT218" t="s">
        <v>313</v>
      </c>
      <c r="DU218">
        <v>16115</v>
      </c>
      <c r="DV218" t="s">
        <v>547</v>
      </c>
      <c r="DW218" t="s">
        <v>548</v>
      </c>
      <c r="DX218">
        <v>86</v>
      </c>
      <c r="DY218">
        <v>130</v>
      </c>
      <c r="DZ218">
        <v>216</v>
      </c>
      <c r="EA218">
        <v>606779</v>
      </c>
      <c r="EB218">
        <v>388178</v>
      </c>
      <c r="EC218">
        <v>994957</v>
      </c>
      <c r="ED218" t="s">
        <v>274</v>
      </c>
      <c r="EE218" t="s">
        <v>274</v>
      </c>
      <c r="EF218" t="s">
        <v>274</v>
      </c>
      <c r="EG218" t="s">
        <v>274</v>
      </c>
    </row>
    <row r="219" spans="1:137" ht="14.55" customHeight="1" x14ac:dyDescent="0.3">
      <c r="A219" t="s">
        <v>729</v>
      </c>
      <c r="B219">
        <v>6641</v>
      </c>
      <c r="C219" t="s">
        <v>730</v>
      </c>
      <c r="D219" t="s">
        <v>543</v>
      </c>
      <c r="E219" t="s">
        <v>645</v>
      </c>
      <c r="F219" t="s">
        <v>270</v>
      </c>
      <c r="G219" t="s">
        <v>646</v>
      </c>
      <c r="H219" s="3">
        <v>3429910.1784399999</v>
      </c>
      <c r="I219">
        <v>341</v>
      </c>
      <c r="J219" s="3">
        <v>342.99101784499999</v>
      </c>
      <c r="K219">
        <v>404</v>
      </c>
      <c r="L219">
        <v>467</v>
      </c>
      <c r="M219">
        <v>430.85352657004802</v>
      </c>
      <c r="N219">
        <v>13.038100785941401</v>
      </c>
      <c r="O219">
        <v>0</v>
      </c>
      <c r="P219">
        <v>13.709786415100099</v>
      </c>
      <c r="Q219">
        <v>3.79520916938782</v>
      </c>
      <c r="R219">
        <v>2.2016332149505602</v>
      </c>
      <c r="S219" t="s">
        <v>647</v>
      </c>
      <c r="T219" t="s">
        <v>729</v>
      </c>
      <c r="U219" t="s">
        <v>730</v>
      </c>
      <c r="V219" t="s">
        <v>730</v>
      </c>
      <c r="W219" s="3">
        <v>2520</v>
      </c>
      <c r="X219" s="3">
        <v>3430000</v>
      </c>
      <c r="Y219">
        <v>1</v>
      </c>
      <c r="Z219" s="3">
        <v>1173</v>
      </c>
      <c r="AA219" s="3">
        <v>1389</v>
      </c>
      <c r="AB219" s="3">
        <v>1947</v>
      </c>
      <c r="AC219" s="3">
        <v>2160</v>
      </c>
      <c r="AD219" s="3">
        <v>2164</v>
      </c>
      <c r="AE219" s="3">
        <v>2215</v>
      </c>
      <c r="AF219" s="3">
        <v>2215</v>
      </c>
      <c r="AG219" s="3">
        <v>2237</v>
      </c>
      <c r="AH219" s="3">
        <v>2249</v>
      </c>
      <c r="AI219" s="3">
        <v>2236</v>
      </c>
      <c r="AJ219" s="3">
        <v>2295</v>
      </c>
      <c r="AK219" s="3">
        <v>2329</v>
      </c>
      <c r="AL219" s="3">
        <v>2336</v>
      </c>
      <c r="AM219" s="3">
        <v>2274</v>
      </c>
      <c r="AN219" s="3">
        <v>2412</v>
      </c>
      <c r="AO219" s="3">
        <v>2501</v>
      </c>
      <c r="AP219" s="3">
        <v>2520</v>
      </c>
      <c r="AQ219" s="3">
        <v>2551</v>
      </c>
      <c r="AR219" s="4">
        <v>734.69387755102036</v>
      </c>
      <c r="AS219" s="5">
        <f t="shared" si="32"/>
        <v>2.3017902813299234</v>
      </c>
      <c r="AT219" s="5">
        <f t="shared" si="33"/>
        <v>4.4636429085673139</v>
      </c>
      <c r="AU219" s="5">
        <f t="shared" si="34"/>
        <v>1.3764766307139191</v>
      </c>
      <c r="AV219" s="5">
        <f t="shared" si="35"/>
        <v>1.3769751693002259</v>
      </c>
      <c r="AW219" s="5">
        <f t="shared" si="36"/>
        <v>3.8814502783210472</v>
      </c>
      <c r="AX219" s="5">
        <f t="shared" si="37"/>
        <v>1.4714946070878274</v>
      </c>
      <c r="AY219" s="5">
        <f t="shared" si="38"/>
        <v>3.1036151240754823</v>
      </c>
      <c r="AZ219">
        <f t="shared" si="39"/>
        <v>3410000</v>
      </c>
      <c r="BA219">
        <v>0</v>
      </c>
      <c r="BB219">
        <v>750000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1650000</v>
      </c>
      <c r="BK219">
        <v>0</v>
      </c>
      <c r="BL219">
        <v>0</v>
      </c>
      <c r="BM219">
        <v>0</v>
      </c>
      <c r="BN219">
        <v>0</v>
      </c>
      <c r="BO219">
        <v>1010000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79</v>
      </c>
      <c r="CC219">
        <v>84</v>
      </c>
      <c r="CD219">
        <v>95</v>
      </c>
      <c r="CE219">
        <v>99</v>
      </c>
      <c r="CF219" s="17">
        <v>22.89855072463768</v>
      </c>
      <c r="CG219" s="17">
        <v>24.347826086956523</v>
      </c>
      <c r="CH219" s="17">
        <v>27.536231884057973</v>
      </c>
      <c r="CI219" s="17">
        <v>28.695652173913043</v>
      </c>
      <c r="CJ219" s="18">
        <v>1</v>
      </c>
      <c r="CK219" s="18">
        <v>1.0632911392405062</v>
      </c>
      <c r="CL219" s="18">
        <v>1.2025316455696202</v>
      </c>
      <c r="CM219" s="18">
        <v>1.2531645569620253</v>
      </c>
      <c r="CN219" s="18">
        <v>0</v>
      </c>
      <c r="CO219" s="18">
        <v>1.4492753623188406</v>
      </c>
      <c r="CP219" s="18">
        <v>4.63768115942029</v>
      </c>
      <c r="CQ219" s="18">
        <v>5.7971014492753623</v>
      </c>
      <c r="CR219" s="18">
        <f t="shared" si="40"/>
        <v>1.9386189258312021</v>
      </c>
      <c r="CS219" s="18">
        <f t="shared" si="41"/>
        <v>1.5469787387945957</v>
      </c>
      <c r="CT219">
        <v>20.234604105571801</v>
      </c>
      <c r="CU219">
        <v>79.765395894428195</v>
      </c>
      <c r="CV219">
        <v>0</v>
      </c>
      <c r="CW219">
        <v>0</v>
      </c>
      <c r="CX219">
        <v>0</v>
      </c>
      <c r="CY219">
        <v>20.234604105571801</v>
      </c>
      <c r="CZ219">
        <v>79.765395894428195</v>
      </c>
      <c r="DA219">
        <v>0</v>
      </c>
      <c r="DB219">
        <v>0</v>
      </c>
      <c r="DC219">
        <v>0</v>
      </c>
      <c r="DD219">
        <v>24.633431085043998</v>
      </c>
      <c r="DE219">
        <v>75.366568914956105</v>
      </c>
      <c r="DF219">
        <v>0</v>
      </c>
      <c r="DG219">
        <v>0</v>
      </c>
      <c r="DH219">
        <v>0</v>
      </c>
      <c r="DI219">
        <v>21.994134897360698</v>
      </c>
      <c r="DJ219">
        <v>78.005865102639405</v>
      </c>
      <c r="DK219">
        <v>0</v>
      </c>
      <c r="DL219">
        <v>0</v>
      </c>
      <c r="DM219">
        <v>0</v>
      </c>
      <c r="DN219">
        <v>21.994134897360698</v>
      </c>
      <c r="DO219">
        <v>78.005865102639405</v>
      </c>
      <c r="DP219">
        <v>0</v>
      </c>
      <c r="DQ219">
        <v>0</v>
      </c>
      <c r="DR219">
        <v>0</v>
      </c>
      <c r="DS219" t="s">
        <v>371</v>
      </c>
      <c r="DT219" t="s">
        <v>313</v>
      </c>
      <c r="DU219">
        <v>2600</v>
      </c>
      <c r="DV219" t="s">
        <v>547</v>
      </c>
      <c r="DW219" t="s">
        <v>548</v>
      </c>
      <c r="DX219">
        <v>86</v>
      </c>
      <c r="DY219">
        <v>130</v>
      </c>
      <c r="DZ219">
        <v>216</v>
      </c>
      <c r="EA219">
        <v>606779</v>
      </c>
      <c r="EB219">
        <v>388178</v>
      </c>
      <c r="EC219">
        <v>994957</v>
      </c>
      <c r="ED219" t="s">
        <v>274</v>
      </c>
      <c r="EE219" t="s">
        <v>274</v>
      </c>
      <c r="EF219" t="s">
        <v>274</v>
      </c>
      <c r="EG219" t="s">
        <v>274</v>
      </c>
    </row>
    <row r="220" spans="1:137" ht="14.55" customHeight="1" x14ac:dyDescent="0.3">
      <c r="A220" t="s">
        <v>731</v>
      </c>
      <c r="B220">
        <v>6642</v>
      </c>
      <c r="C220" t="s">
        <v>732</v>
      </c>
      <c r="D220" t="s">
        <v>543</v>
      </c>
      <c r="E220" t="s">
        <v>645</v>
      </c>
      <c r="F220" t="s">
        <v>270</v>
      </c>
      <c r="G220" t="s">
        <v>646</v>
      </c>
      <c r="H220" s="3">
        <v>4419833.00459</v>
      </c>
      <c r="I220">
        <v>441</v>
      </c>
      <c r="J220" s="3">
        <v>441.98330045900002</v>
      </c>
      <c r="K220">
        <v>418</v>
      </c>
      <c r="L220">
        <v>502</v>
      </c>
      <c r="M220">
        <v>450.844830166093</v>
      </c>
      <c r="N220">
        <v>22.714625805412499</v>
      </c>
      <c r="O220">
        <v>0</v>
      </c>
      <c r="P220">
        <v>13.5937662124634</v>
      </c>
      <c r="Q220">
        <v>3.9559569358825701</v>
      </c>
      <c r="R220">
        <v>2.2490472793579102</v>
      </c>
      <c r="S220" t="s">
        <v>647</v>
      </c>
      <c r="T220" t="s">
        <v>731</v>
      </c>
      <c r="U220" t="s">
        <v>732</v>
      </c>
      <c r="V220" t="s">
        <v>732</v>
      </c>
      <c r="W220" s="3">
        <v>2577</v>
      </c>
      <c r="X220" s="3">
        <v>4420000</v>
      </c>
      <c r="Y220">
        <v>2</v>
      </c>
      <c r="Z220" s="3">
        <v>1775</v>
      </c>
      <c r="AA220" s="3">
        <v>1870</v>
      </c>
      <c r="AB220" s="3">
        <v>2207</v>
      </c>
      <c r="AC220" s="3">
        <v>2575</v>
      </c>
      <c r="AD220" s="3">
        <v>2610</v>
      </c>
      <c r="AE220" s="3">
        <v>2616</v>
      </c>
      <c r="AF220" s="3">
        <v>2604</v>
      </c>
      <c r="AG220" s="3">
        <v>2620</v>
      </c>
      <c r="AH220" s="3">
        <v>2664</v>
      </c>
      <c r="AI220" s="3">
        <v>2578</v>
      </c>
      <c r="AJ220" s="3">
        <v>2572</v>
      </c>
      <c r="AK220" s="3">
        <v>2564</v>
      </c>
      <c r="AL220" s="3">
        <v>2513</v>
      </c>
      <c r="AM220" s="3">
        <v>2521</v>
      </c>
      <c r="AN220" s="3">
        <v>2504</v>
      </c>
      <c r="AO220" s="3">
        <v>2484</v>
      </c>
      <c r="AP220" s="3">
        <v>2577</v>
      </c>
      <c r="AQ220" s="3">
        <v>2754</v>
      </c>
      <c r="AR220" s="4">
        <v>583.03167420814475</v>
      </c>
      <c r="AS220" s="5">
        <f t="shared" si="32"/>
        <v>0.66901408450704225</v>
      </c>
      <c r="AT220" s="5">
        <f t="shared" si="33"/>
        <v>2.0023767082590611</v>
      </c>
      <c r="AU220" s="5">
        <f t="shared" si="34"/>
        <v>1.798821930222021</v>
      </c>
      <c r="AV220" s="5">
        <f t="shared" si="35"/>
        <v>-0.10368663594470047</v>
      </c>
      <c r="AW220" s="5">
        <f t="shared" si="36"/>
        <v>1.4316487158243578</v>
      </c>
      <c r="AX220" s="5">
        <f t="shared" si="37"/>
        <v>0.83824195740824659</v>
      </c>
      <c r="AY220" s="5">
        <f t="shared" si="38"/>
        <v>1.2211648267986297</v>
      </c>
      <c r="AZ220">
        <f t="shared" si="39"/>
        <v>4400000</v>
      </c>
      <c r="BA220">
        <v>0</v>
      </c>
      <c r="BB220">
        <v>1990000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440000</v>
      </c>
      <c r="BJ220">
        <v>900000</v>
      </c>
      <c r="BK220">
        <v>0</v>
      </c>
      <c r="BL220">
        <v>0</v>
      </c>
      <c r="BM220">
        <v>0</v>
      </c>
      <c r="BN220">
        <v>1070000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206</v>
      </c>
      <c r="CC220">
        <v>233</v>
      </c>
      <c r="CD220">
        <v>257</v>
      </c>
      <c r="CE220">
        <v>259</v>
      </c>
      <c r="CF220" s="17">
        <v>46.50112866817156</v>
      </c>
      <c r="CG220" s="17">
        <v>52.595936794582386</v>
      </c>
      <c r="CH220" s="17">
        <v>58.013544018058695</v>
      </c>
      <c r="CI220" s="17">
        <v>58.465011286681715</v>
      </c>
      <c r="CJ220" s="18">
        <v>1</v>
      </c>
      <c r="CK220" s="18">
        <v>1.1310679611650485</v>
      </c>
      <c r="CL220" s="18">
        <v>1.2475728155339805</v>
      </c>
      <c r="CM220" s="18">
        <v>1.2572815533980584</v>
      </c>
      <c r="CN220" s="18">
        <v>0</v>
      </c>
      <c r="CO220" s="18">
        <v>6.0948081264108351</v>
      </c>
      <c r="CP220" s="18">
        <v>11.512415349887133</v>
      </c>
      <c r="CQ220" s="18">
        <v>11.963882618510159</v>
      </c>
      <c r="CR220" s="18">
        <f t="shared" si="40"/>
        <v>1.420281690140845</v>
      </c>
      <c r="CS220" s="18">
        <f t="shared" si="41"/>
        <v>1.1296448964054597</v>
      </c>
      <c r="CT220">
        <v>55.681818181818194</v>
      </c>
      <c r="CU220">
        <v>44.318181818181799</v>
      </c>
      <c r="CV220">
        <v>0</v>
      </c>
      <c r="CW220">
        <v>0</v>
      </c>
      <c r="CX220">
        <v>0</v>
      </c>
      <c r="CY220">
        <v>55.681818181818194</v>
      </c>
      <c r="CZ220">
        <v>44.318181818181799</v>
      </c>
      <c r="DA220">
        <v>0</v>
      </c>
      <c r="DB220">
        <v>0</v>
      </c>
      <c r="DC220">
        <v>0</v>
      </c>
      <c r="DD220">
        <v>54.545454545454596</v>
      </c>
      <c r="DE220">
        <v>45.454545454545503</v>
      </c>
      <c r="DF220">
        <v>0</v>
      </c>
      <c r="DG220">
        <v>0</v>
      </c>
      <c r="DH220">
        <v>0</v>
      </c>
      <c r="DI220">
        <v>55.227272727272698</v>
      </c>
      <c r="DJ220">
        <v>44.772727272727295</v>
      </c>
      <c r="DK220">
        <v>0</v>
      </c>
      <c r="DL220">
        <v>0</v>
      </c>
      <c r="DM220">
        <v>0</v>
      </c>
      <c r="DN220">
        <v>55.227272727272698</v>
      </c>
      <c r="DO220">
        <v>44.772727272727295</v>
      </c>
      <c r="DP220">
        <v>0</v>
      </c>
      <c r="DQ220">
        <v>0</v>
      </c>
      <c r="DR220">
        <v>0</v>
      </c>
      <c r="DS220" t="s">
        <v>371</v>
      </c>
      <c r="DT220" t="s">
        <v>313</v>
      </c>
      <c r="DU220">
        <v>2851</v>
      </c>
      <c r="DV220" t="s">
        <v>547</v>
      </c>
      <c r="DW220" t="s">
        <v>548</v>
      </c>
      <c r="DX220">
        <v>86</v>
      </c>
      <c r="DY220">
        <v>130</v>
      </c>
      <c r="DZ220">
        <v>216</v>
      </c>
      <c r="EA220">
        <v>606779</v>
      </c>
      <c r="EB220">
        <v>388178</v>
      </c>
      <c r="EC220">
        <v>994957</v>
      </c>
      <c r="ED220" t="s">
        <v>274</v>
      </c>
      <c r="EE220" t="s">
        <v>274</v>
      </c>
      <c r="EF220" t="s">
        <v>274</v>
      </c>
      <c r="EG220" t="s">
        <v>274</v>
      </c>
    </row>
    <row r="221" spans="1:137" ht="14.55" customHeight="1" x14ac:dyDescent="0.3">
      <c r="A221" t="s">
        <v>733</v>
      </c>
      <c r="B221">
        <v>6643</v>
      </c>
      <c r="C221" t="s">
        <v>734</v>
      </c>
      <c r="D221" t="s">
        <v>543</v>
      </c>
      <c r="E221" t="s">
        <v>645</v>
      </c>
      <c r="F221" t="s">
        <v>270</v>
      </c>
      <c r="G221" t="s">
        <v>646</v>
      </c>
      <c r="H221" s="3">
        <v>7687261.6908499999</v>
      </c>
      <c r="I221">
        <v>769</v>
      </c>
      <c r="J221" s="3">
        <v>768.72616908500004</v>
      </c>
      <c r="K221">
        <v>362</v>
      </c>
      <c r="L221">
        <v>452</v>
      </c>
      <c r="M221">
        <v>415.96148211977601</v>
      </c>
      <c r="N221">
        <v>19.743289552044001</v>
      </c>
      <c r="O221">
        <v>0</v>
      </c>
      <c r="P221">
        <v>37.935253143310597</v>
      </c>
      <c r="Q221">
        <v>5.2649288177490199</v>
      </c>
      <c r="R221">
        <v>3.9086101055145299</v>
      </c>
      <c r="S221" t="s">
        <v>647</v>
      </c>
      <c r="T221" t="s">
        <v>733</v>
      </c>
      <c r="U221" t="s">
        <v>734</v>
      </c>
      <c r="V221" t="s">
        <v>734</v>
      </c>
      <c r="W221" s="3">
        <v>34958</v>
      </c>
      <c r="X221" s="3">
        <v>7690000</v>
      </c>
      <c r="Y221">
        <v>1</v>
      </c>
      <c r="Z221" s="3">
        <v>27749</v>
      </c>
      <c r="AA221" s="3">
        <v>28061</v>
      </c>
      <c r="AB221" s="3">
        <v>28607</v>
      </c>
      <c r="AC221" s="3">
        <v>30606</v>
      </c>
      <c r="AD221" s="3">
        <v>31160</v>
      </c>
      <c r="AE221" s="3">
        <v>31756</v>
      </c>
      <c r="AF221" s="3">
        <v>32374</v>
      </c>
      <c r="AG221" s="3">
        <v>32758</v>
      </c>
      <c r="AH221" s="3">
        <v>33237</v>
      </c>
      <c r="AI221" s="3">
        <v>33744</v>
      </c>
      <c r="AJ221" s="3">
        <v>34235</v>
      </c>
      <c r="AK221" s="3">
        <v>34477</v>
      </c>
      <c r="AL221" s="3">
        <v>34655</v>
      </c>
      <c r="AM221" s="3">
        <v>34983</v>
      </c>
      <c r="AN221" s="3">
        <v>35132</v>
      </c>
      <c r="AO221" s="3">
        <v>34791</v>
      </c>
      <c r="AP221" s="3">
        <v>34958</v>
      </c>
      <c r="AQ221" s="3">
        <v>34898</v>
      </c>
      <c r="AR221" s="4">
        <v>4545.9037711313395</v>
      </c>
      <c r="AS221" s="5">
        <f t="shared" si="32"/>
        <v>0.14054560524703594</v>
      </c>
      <c r="AT221" s="5">
        <f t="shared" si="33"/>
        <v>0.21619566895929107</v>
      </c>
      <c r="AU221" s="5">
        <f t="shared" si="34"/>
        <v>1.3168105708393052</v>
      </c>
      <c r="AV221" s="5">
        <f t="shared" si="35"/>
        <v>0.79817137208871325</v>
      </c>
      <c r="AW221" s="5">
        <f t="shared" si="36"/>
        <v>0.18188254796675238</v>
      </c>
      <c r="AX221" s="5">
        <f t="shared" si="37"/>
        <v>1.1100429964693954</v>
      </c>
      <c r="AY221" s="5">
        <f t="shared" si="38"/>
        <v>0.70214363702417326</v>
      </c>
      <c r="AZ221">
        <f t="shared" si="39"/>
        <v>7660000</v>
      </c>
      <c r="BA221">
        <v>0</v>
      </c>
      <c r="BB221">
        <v>4730000</v>
      </c>
      <c r="BC221">
        <v>1640000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210000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770000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310000</v>
      </c>
      <c r="CA221">
        <v>0</v>
      </c>
      <c r="CB221">
        <v>492</v>
      </c>
      <c r="CC221">
        <v>536</v>
      </c>
      <c r="CD221">
        <v>562</v>
      </c>
      <c r="CE221">
        <v>576</v>
      </c>
      <c r="CF221" s="17">
        <v>64.0625</v>
      </c>
      <c r="CG221" s="17">
        <v>69.791666666666657</v>
      </c>
      <c r="CH221" s="17">
        <v>73.177083333333343</v>
      </c>
      <c r="CI221" s="17">
        <v>75</v>
      </c>
      <c r="CJ221" s="18">
        <v>1</v>
      </c>
      <c r="CK221" s="18">
        <v>1.089430894308943</v>
      </c>
      <c r="CL221" s="18">
        <v>1.1422764227642277</v>
      </c>
      <c r="CM221" s="18">
        <v>1.1707317073170731</v>
      </c>
      <c r="CN221" s="18">
        <v>0</v>
      </c>
      <c r="CO221" s="18">
        <v>5.7291666666666661</v>
      </c>
      <c r="CP221" s="18">
        <v>9.1145833333333321</v>
      </c>
      <c r="CQ221" s="18">
        <v>10.9375</v>
      </c>
      <c r="CR221" s="18">
        <f t="shared" si="40"/>
        <v>1.2606940790659122</v>
      </c>
      <c r="CS221" s="18">
        <f t="shared" si="41"/>
        <v>1.0768428592021335</v>
      </c>
      <c r="CT221">
        <v>78.851174934725805</v>
      </c>
      <c r="CU221">
        <v>6.6579634464752004</v>
      </c>
      <c r="CV221">
        <v>9.3994778067885107</v>
      </c>
      <c r="CW221">
        <v>0</v>
      </c>
      <c r="CX221">
        <v>5.0913838120104398</v>
      </c>
      <c r="CY221">
        <v>78.851174934725805</v>
      </c>
      <c r="CZ221">
        <v>6.6579634464752004</v>
      </c>
      <c r="DA221">
        <v>9.3994778067885107</v>
      </c>
      <c r="DB221">
        <v>0</v>
      </c>
      <c r="DC221">
        <v>5.0913838120104398</v>
      </c>
      <c r="DD221">
        <v>81.070496083550907</v>
      </c>
      <c r="DE221">
        <v>4.9608355091383798</v>
      </c>
      <c r="DF221">
        <v>9.9216710182767596</v>
      </c>
      <c r="DG221">
        <v>0</v>
      </c>
      <c r="DH221">
        <v>4.0469973890339404</v>
      </c>
      <c r="DI221">
        <v>83.159268929503995</v>
      </c>
      <c r="DJ221">
        <v>2.7415143603133201</v>
      </c>
      <c r="DK221">
        <v>10.052219321148799</v>
      </c>
      <c r="DL221">
        <v>0</v>
      </c>
      <c r="DM221">
        <v>4.0469973890339404</v>
      </c>
      <c r="DN221">
        <v>83.159268929503995</v>
      </c>
      <c r="DO221">
        <v>2.7415143603133201</v>
      </c>
      <c r="DP221">
        <v>10.052219321148799</v>
      </c>
      <c r="DQ221">
        <v>0</v>
      </c>
      <c r="DR221">
        <v>4.0469973890339404</v>
      </c>
      <c r="DS221" t="s">
        <v>371</v>
      </c>
      <c r="DT221" t="s">
        <v>313</v>
      </c>
      <c r="DU221">
        <v>36572</v>
      </c>
      <c r="DV221" t="s">
        <v>547</v>
      </c>
      <c r="DW221" t="s">
        <v>548</v>
      </c>
      <c r="DX221">
        <v>86</v>
      </c>
      <c r="DY221">
        <v>130</v>
      </c>
      <c r="DZ221">
        <v>216</v>
      </c>
      <c r="EA221">
        <v>606779</v>
      </c>
      <c r="EB221">
        <v>388178</v>
      </c>
      <c r="EC221">
        <v>994957</v>
      </c>
      <c r="ED221" t="s">
        <v>274</v>
      </c>
      <c r="EE221" t="s">
        <v>274</v>
      </c>
      <c r="EF221" t="s">
        <v>274</v>
      </c>
      <c r="EG221" t="s">
        <v>274</v>
      </c>
    </row>
    <row r="222" spans="1:137" ht="14.55" customHeight="1" x14ac:dyDescent="0.3">
      <c r="A222" t="s">
        <v>735</v>
      </c>
      <c r="B222">
        <v>6644</v>
      </c>
      <c r="C222" t="s">
        <v>736</v>
      </c>
      <c r="D222" t="s">
        <v>543</v>
      </c>
      <c r="E222" t="s">
        <v>645</v>
      </c>
      <c r="F222" t="s">
        <v>270</v>
      </c>
      <c r="G222" t="s">
        <v>646</v>
      </c>
      <c r="H222" s="3">
        <v>10488538.6862</v>
      </c>
      <c r="I222">
        <v>1047</v>
      </c>
      <c r="J222" s="3">
        <v>1048.8538949700001</v>
      </c>
      <c r="K222">
        <v>370</v>
      </c>
      <c r="L222">
        <v>486</v>
      </c>
      <c r="M222">
        <v>427.934194768358</v>
      </c>
      <c r="N222">
        <v>25.993486661844099</v>
      </c>
      <c r="O222">
        <v>0</v>
      </c>
      <c r="P222">
        <v>22.721244812011701</v>
      </c>
      <c r="Q222">
        <v>4.6570734977722203</v>
      </c>
      <c r="R222">
        <v>2.99846315383911</v>
      </c>
      <c r="S222" t="s">
        <v>647</v>
      </c>
      <c r="T222" t="s">
        <v>735</v>
      </c>
      <c r="U222" t="s">
        <v>736</v>
      </c>
      <c r="V222" t="s">
        <v>736</v>
      </c>
      <c r="W222" s="3">
        <v>13411</v>
      </c>
      <c r="X222" s="3">
        <v>10500000</v>
      </c>
      <c r="Y222">
        <v>2</v>
      </c>
      <c r="Z222" s="3">
        <v>7903</v>
      </c>
      <c r="AA222" s="3">
        <v>8737</v>
      </c>
      <c r="AB222" s="3">
        <v>10502</v>
      </c>
      <c r="AC222" s="3">
        <v>12119</v>
      </c>
      <c r="AD222" s="3">
        <v>12369</v>
      </c>
      <c r="AE222" s="3">
        <v>12636</v>
      </c>
      <c r="AF222" s="3">
        <v>12947</v>
      </c>
      <c r="AG222" s="3">
        <v>13046</v>
      </c>
      <c r="AH222" s="3">
        <v>12942</v>
      </c>
      <c r="AI222" s="3">
        <v>12879</v>
      </c>
      <c r="AJ222" s="3">
        <v>13021</v>
      </c>
      <c r="AK222" s="3">
        <v>13057</v>
      </c>
      <c r="AL222" s="3">
        <v>13263</v>
      </c>
      <c r="AM222" s="3">
        <v>13247</v>
      </c>
      <c r="AN222" s="3">
        <v>13329</v>
      </c>
      <c r="AO222" s="3">
        <v>13432</v>
      </c>
      <c r="AP222" s="3">
        <v>13411</v>
      </c>
      <c r="AQ222" s="3">
        <v>13281</v>
      </c>
      <c r="AR222" s="4">
        <v>1277.2380952380952</v>
      </c>
      <c r="AS222" s="5">
        <f t="shared" si="32"/>
        <v>1.3191193217765405</v>
      </c>
      <c r="AT222" s="5">
        <f t="shared" si="33"/>
        <v>2.2446046825124313</v>
      </c>
      <c r="AU222" s="5">
        <f t="shared" si="34"/>
        <v>2.328127975623691</v>
      </c>
      <c r="AV222" s="5">
        <f t="shared" si="35"/>
        <v>0.35838418166370589</v>
      </c>
      <c r="AW222" s="5">
        <f t="shared" si="36"/>
        <v>1.9344850429099896</v>
      </c>
      <c r="AX222" s="5">
        <f t="shared" si="37"/>
        <v>1.3849742906113123</v>
      </c>
      <c r="AY222" s="5">
        <f t="shared" si="38"/>
        <v>1.883650067883903</v>
      </c>
      <c r="AZ222">
        <f t="shared" si="39"/>
        <v>10450000</v>
      </c>
      <c r="BA222">
        <v>0</v>
      </c>
      <c r="BB222">
        <v>2920000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70000</v>
      </c>
      <c r="BI222">
        <v>0</v>
      </c>
      <c r="BJ222">
        <v>2790000</v>
      </c>
      <c r="BK222">
        <v>0</v>
      </c>
      <c r="BL222">
        <v>0</v>
      </c>
      <c r="BM222">
        <v>0</v>
      </c>
      <c r="BN222">
        <v>0</v>
      </c>
      <c r="BO222">
        <v>640000</v>
      </c>
      <c r="BP222">
        <v>210000</v>
      </c>
      <c r="BQ222">
        <v>1400000</v>
      </c>
      <c r="BR222">
        <v>2420000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298</v>
      </c>
      <c r="CC222">
        <v>329</v>
      </c>
      <c r="CD222">
        <v>345</v>
      </c>
      <c r="CE222">
        <v>356</v>
      </c>
      <c r="CF222" s="17">
        <v>28.300094966761634</v>
      </c>
      <c r="CG222" s="17">
        <v>31.244064577397911</v>
      </c>
      <c r="CH222" s="17">
        <v>32.763532763532766</v>
      </c>
      <c r="CI222" s="17">
        <v>33.808167141500469</v>
      </c>
      <c r="CJ222" s="18">
        <v>1</v>
      </c>
      <c r="CK222" s="18">
        <v>1.1040268456375839</v>
      </c>
      <c r="CL222" s="18">
        <v>1.1577181208053691</v>
      </c>
      <c r="CM222" s="18">
        <v>1.1946308724832215</v>
      </c>
      <c r="CN222" s="18">
        <v>0</v>
      </c>
      <c r="CO222" s="18">
        <v>2.9439696106362776</v>
      </c>
      <c r="CP222" s="18">
        <v>4.4634377967711298</v>
      </c>
      <c r="CQ222" s="18">
        <v>5.5080721747388415</v>
      </c>
      <c r="CR222" s="18">
        <f t="shared" si="40"/>
        <v>1.6761989118056435</v>
      </c>
      <c r="CS222" s="18">
        <f t="shared" si="41"/>
        <v>1.4031103250507915</v>
      </c>
      <c r="CT222">
        <v>26.411483253588521</v>
      </c>
      <c r="CU222">
        <v>39.712918660287109</v>
      </c>
      <c r="CV222">
        <v>33.875598086124398</v>
      </c>
      <c r="CW222">
        <v>0</v>
      </c>
      <c r="CX222">
        <v>0</v>
      </c>
      <c r="CY222">
        <v>26.411483253588521</v>
      </c>
      <c r="CZ222">
        <v>39.712918660287109</v>
      </c>
      <c r="DA222">
        <v>33.875598086124398</v>
      </c>
      <c r="DB222">
        <v>0</v>
      </c>
      <c r="DC222">
        <v>0</v>
      </c>
      <c r="DD222">
        <v>24.880382775119646</v>
      </c>
      <c r="DE222">
        <v>36.363636363636402</v>
      </c>
      <c r="DF222">
        <v>38.755980861243998</v>
      </c>
      <c r="DG222">
        <v>0</v>
      </c>
      <c r="DH222">
        <v>0</v>
      </c>
      <c r="DI222">
        <v>28.133971291866043</v>
      </c>
      <c r="DJ222">
        <v>33.301435406698531</v>
      </c>
      <c r="DK222">
        <v>38.564593301435401</v>
      </c>
      <c r="DL222">
        <v>0</v>
      </c>
      <c r="DM222">
        <v>0</v>
      </c>
      <c r="DN222">
        <v>28.612440191387545</v>
      </c>
      <c r="DO222">
        <v>32.822966507177</v>
      </c>
      <c r="DP222">
        <v>38.564593301435401</v>
      </c>
      <c r="DQ222">
        <v>0</v>
      </c>
      <c r="DR222">
        <v>0</v>
      </c>
      <c r="DS222" t="s">
        <v>564</v>
      </c>
      <c r="DT222" t="s">
        <v>313</v>
      </c>
      <c r="DU222">
        <v>13337</v>
      </c>
      <c r="DV222" t="s">
        <v>547</v>
      </c>
      <c r="DW222" t="s">
        <v>548</v>
      </c>
      <c r="DX222">
        <v>86</v>
      </c>
      <c r="DY222">
        <v>130</v>
      </c>
      <c r="DZ222">
        <v>216</v>
      </c>
      <c r="EA222">
        <v>606779</v>
      </c>
      <c r="EB222">
        <v>388178</v>
      </c>
      <c r="EC222">
        <v>994957</v>
      </c>
      <c r="ED222" t="s">
        <v>274</v>
      </c>
      <c r="EE222" t="s">
        <v>274</v>
      </c>
      <c r="EF222" t="s">
        <v>274</v>
      </c>
      <c r="EG222" t="s">
        <v>274</v>
      </c>
    </row>
    <row r="223" spans="1:137" ht="14.55" customHeight="1" x14ac:dyDescent="0.3">
      <c r="A223" t="s">
        <v>737</v>
      </c>
      <c r="B223">
        <v>6645</v>
      </c>
      <c r="C223" t="s">
        <v>738</v>
      </c>
      <c r="D223" t="s">
        <v>543</v>
      </c>
      <c r="E223" t="s">
        <v>645</v>
      </c>
      <c r="F223" t="s">
        <v>270</v>
      </c>
      <c r="G223" t="s">
        <v>646</v>
      </c>
      <c r="H223" s="3">
        <v>6496643.2387199998</v>
      </c>
      <c r="I223">
        <v>649</v>
      </c>
      <c r="J223" s="3">
        <v>649.66432387199995</v>
      </c>
      <c r="K223">
        <v>376</v>
      </c>
      <c r="L223">
        <v>454</v>
      </c>
      <c r="M223">
        <v>417.82160342717299</v>
      </c>
      <c r="N223">
        <v>12.574141542702501</v>
      </c>
      <c r="O223">
        <v>0</v>
      </c>
      <c r="P223">
        <v>23.021526336669901</v>
      </c>
      <c r="Q223">
        <v>4.1994071006774902</v>
      </c>
      <c r="R223">
        <v>2.9938173294067401</v>
      </c>
      <c r="S223" t="s">
        <v>647</v>
      </c>
      <c r="T223" t="s">
        <v>737</v>
      </c>
      <c r="U223" t="s">
        <v>738</v>
      </c>
      <c r="V223" t="s">
        <v>738</v>
      </c>
      <c r="W223" s="3">
        <v>11887</v>
      </c>
      <c r="X223" s="3">
        <v>6500000</v>
      </c>
      <c r="Y223">
        <v>2</v>
      </c>
      <c r="Z223" s="3">
        <v>6323</v>
      </c>
      <c r="AA223" s="3">
        <v>6976</v>
      </c>
      <c r="AB223" s="3">
        <v>8908</v>
      </c>
      <c r="AC223" s="3">
        <v>9641</v>
      </c>
      <c r="AD223" s="3">
        <v>9631</v>
      </c>
      <c r="AE223" s="3">
        <v>9754</v>
      </c>
      <c r="AF223" s="3">
        <v>9809</v>
      </c>
      <c r="AG223" s="3">
        <v>10036</v>
      </c>
      <c r="AH223" s="3">
        <v>10289</v>
      </c>
      <c r="AI223" s="3">
        <v>10215</v>
      </c>
      <c r="AJ223" s="3">
        <v>10799</v>
      </c>
      <c r="AK223" s="3">
        <v>10999</v>
      </c>
      <c r="AL223" s="3">
        <v>11273</v>
      </c>
      <c r="AM223" s="3">
        <v>11535</v>
      </c>
      <c r="AN223" s="3">
        <v>11540</v>
      </c>
      <c r="AO223" s="3">
        <v>11612</v>
      </c>
      <c r="AP223" s="3">
        <v>11887</v>
      </c>
      <c r="AQ223" s="3">
        <v>11861</v>
      </c>
      <c r="AR223" s="4">
        <v>1828.7692307692307</v>
      </c>
      <c r="AS223" s="5">
        <f t="shared" si="32"/>
        <v>1.2909220306816385</v>
      </c>
      <c r="AT223" s="5">
        <f t="shared" si="33"/>
        <v>3.0772171253822629</v>
      </c>
      <c r="AU223" s="5">
        <f t="shared" si="34"/>
        <v>1.0114503816793894</v>
      </c>
      <c r="AV223" s="5">
        <f t="shared" si="35"/>
        <v>2.1184626363543688</v>
      </c>
      <c r="AW223" s="5">
        <f t="shared" si="36"/>
        <v>2.4048524992790097</v>
      </c>
      <c r="AX223" s="5">
        <f t="shared" si="37"/>
        <v>1.6720925011225864</v>
      </c>
      <c r="AY223" s="5">
        <f t="shared" si="38"/>
        <v>2.3782757927942177</v>
      </c>
      <c r="AZ223">
        <f t="shared" si="39"/>
        <v>6510000</v>
      </c>
      <c r="BA223">
        <v>0</v>
      </c>
      <c r="BB223">
        <v>3290000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250000</v>
      </c>
      <c r="BI223">
        <v>410000</v>
      </c>
      <c r="BJ223">
        <v>2200000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360000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260</v>
      </c>
      <c r="CC223">
        <v>305</v>
      </c>
      <c r="CD223">
        <v>330</v>
      </c>
      <c r="CE223">
        <v>337</v>
      </c>
      <c r="CF223" s="17">
        <v>39.877300613496928</v>
      </c>
      <c r="CG223" s="17">
        <v>46.779141104294482</v>
      </c>
      <c r="CH223" s="17">
        <v>50.613496932515332</v>
      </c>
      <c r="CI223" s="17">
        <v>51.687116564417181</v>
      </c>
      <c r="CJ223" s="18">
        <v>1</v>
      </c>
      <c r="CK223" s="18">
        <v>1.1730769230769231</v>
      </c>
      <c r="CL223" s="18">
        <v>1.2692307692307692</v>
      </c>
      <c r="CM223" s="18">
        <v>1.2961538461538462</v>
      </c>
      <c r="CN223" s="18">
        <v>0</v>
      </c>
      <c r="CO223" s="18">
        <v>6.9018404907975466</v>
      </c>
      <c r="CP223" s="18">
        <v>10.736196319018406</v>
      </c>
      <c r="CQ223" s="18">
        <v>11.809815950920246</v>
      </c>
      <c r="CR223" s="18">
        <f t="shared" si="40"/>
        <v>1.824292266329274</v>
      </c>
      <c r="CS223" s="18">
        <f t="shared" si="41"/>
        <v>1.407465843458787</v>
      </c>
      <c r="CT223">
        <v>44.700460829493046</v>
      </c>
      <c r="CU223">
        <v>40.092165898617488</v>
      </c>
      <c r="CV223">
        <v>15.2073732718894</v>
      </c>
      <c r="CW223">
        <v>0</v>
      </c>
      <c r="CX223">
        <v>0</v>
      </c>
      <c r="CY223">
        <v>44.700460829493046</v>
      </c>
      <c r="CZ223">
        <v>40.092165898617488</v>
      </c>
      <c r="DA223">
        <v>15.2073732718894</v>
      </c>
      <c r="DB223">
        <v>0</v>
      </c>
      <c r="DC223">
        <v>0</v>
      </c>
      <c r="DD223">
        <v>60.5222734254993</v>
      </c>
      <c r="DE223">
        <v>34.40860215053759</v>
      </c>
      <c r="DF223">
        <v>5.0691244239631299</v>
      </c>
      <c r="DG223">
        <v>0</v>
      </c>
      <c r="DH223">
        <v>0</v>
      </c>
      <c r="DI223">
        <v>60.6758832565285</v>
      </c>
      <c r="DJ223">
        <v>33.794162826420902</v>
      </c>
      <c r="DK223">
        <v>5.5299539170506904</v>
      </c>
      <c r="DL223">
        <v>0</v>
      </c>
      <c r="DM223">
        <v>0</v>
      </c>
      <c r="DN223">
        <v>60.6758832565285</v>
      </c>
      <c r="DO223">
        <v>33.794162826420902</v>
      </c>
      <c r="DP223">
        <v>5.5299539170506904</v>
      </c>
      <c r="DQ223">
        <v>0</v>
      </c>
      <c r="DR223">
        <v>0</v>
      </c>
      <c r="DS223" t="s">
        <v>371</v>
      </c>
      <c r="DT223" t="s">
        <v>313</v>
      </c>
      <c r="DU223">
        <v>11901</v>
      </c>
      <c r="DV223" t="s">
        <v>547</v>
      </c>
      <c r="DW223" t="s">
        <v>548</v>
      </c>
      <c r="DX223">
        <v>86</v>
      </c>
      <c r="DY223">
        <v>130</v>
      </c>
      <c r="DZ223">
        <v>216</v>
      </c>
      <c r="EA223">
        <v>606779</v>
      </c>
      <c r="EB223">
        <v>388178</v>
      </c>
      <c r="EC223">
        <v>994957</v>
      </c>
      <c r="ED223" t="s">
        <v>274</v>
      </c>
      <c r="EE223" t="s">
        <v>274</v>
      </c>
      <c r="EF223" t="s">
        <v>274</v>
      </c>
      <c r="EG223" t="s">
        <v>274</v>
      </c>
    </row>
    <row r="224" spans="1:137" ht="14.55" customHeight="1" x14ac:dyDescent="0.3">
      <c r="A224" t="s">
        <v>739</v>
      </c>
      <c r="B224">
        <v>1033</v>
      </c>
      <c r="C224" t="s">
        <v>740</v>
      </c>
      <c r="D224" t="s">
        <v>543</v>
      </c>
      <c r="E224" t="s">
        <v>741</v>
      </c>
      <c r="F224" t="s">
        <v>742</v>
      </c>
      <c r="G224" t="s">
        <v>740</v>
      </c>
      <c r="H224" s="3">
        <v>62887914.155400001</v>
      </c>
      <c r="I224">
        <v>6292</v>
      </c>
      <c r="J224" s="3">
        <v>6288.7914155400003</v>
      </c>
      <c r="K224">
        <v>320</v>
      </c>
      <c r="L224">
        <v>1595</v>
      </c>
      <c r="M224">
        <v>735.86594210537396</v>
      </c>
      <c r="N224">
        <v>294.84276654818501</v>
      </c>
      <c r="O224">
        <v>0</v>
      </c>
      <c r="P224">
        <v>49.328102111816399</v>
      </c>
      <c r="Q224">
        <v>11.7215375900269</v>
      </c>
      <c r="R224">
        <v>8.01493644714356</v>
      </c>
      <c r="S224" t="s">
        <v>743</v>
      </c>
      <c r="T224" t="s">
        <v>744</v>
      </c>
      <c r="U224" t="s">
        <v>740</v>
      </c>
      <c r="V224" t="s">
        <v>740</v>
      </c>
      <c r="W224" s="3">
        <v>16423</v>
      </c>
      <c r="X224" s="3">
        <v>62880000</v>
      </c>
      <c r="Y224">
        <v>2</v>
      </c>
      <c r="Z224" s="3">
        <v>13812</v>
      </c>
      <c r="AA224" s="3">
        <v>14157</v>
      </c>
      <c r="AB224" s="3">
        <v>14422</v>
      </c>
      <c r="AC224" s="3">
        <v>15450</v>
      </c>
      <c r="AD224" s="3">
        <v>15375</v>
      </c>
      <c r="AE224" s="3">
        <v>15528</v>
      </c>
      <c r="AF224" s="3">
        <v>15832</v>
      </c>
      <c r="AG224" s="3">
        <v>15962</v>
      </c>
      <c r="AH224" s="3">
        <v>15810</v>
      </c>
      <c r="AI224" s="3">
        <v>15764</v>
      </c>
      <c r="AJ224" s="3">
        <v>15847</v>
      </c>
      <c r="AK224" s="3">
        <v>16084</v>
      </c>
      <c r="AL224" s="3">
        <v>16303</v>
      </c>
      <c r="AM224" s="3">
        <v>16302</v>
      </c>
      <c r="AN224" s="3">
        <v>16423</v>
      </c>
      <c r="AO224" s="3">
        <v>16431</v>
      </c>
      <c r="AP224" s="3">
        <v>16378</v>
      </c>
      <c r="AQ224" s="3">
        <v>16295</v>
      </c>
      <c r="AR224" s="4">
        <v>260.4643765903308</v>
      </c>
      <c r="AS224" s="5">
        <f t="shared" si="32"/>
        <v>0.31222849695916594</v>
      </c>
      <c r="AT224" s="5">
        <f t="shared" si="33"/>
        <v>0.20798505646990495</v>
      </c>
      <c r="AU224" s="5">
        <f t="shared" si="34"/>
        <v>0.97767299958396903</v>
      </c>
      <c r="AV224" s="5">
        <f t="shared" si="35"/>
        <v>0.3448711470439616</v>
      </c>
      <c r="AW224" s="5">
        <f t="shared" si="36"/>
        <v>0.2597911449549411</v>
      </c>
      <c r="AX224" s="5">
        <f t="shared" si="37"/>
        <v>0.67813063375398697</v>
      </c>
      <c r="AY224" s="5">
        <f t="shared" si="38"/>
        <v>0.50210940740914678</v>
      </c>
      <c r="AZ224">
        <f t="shared" si="39"/>
        <v>62870000</v>
      </c>
      <c r="BA224">
        <v>270000</v>
      </c>
      <c r="BB224">
        <v>5130000</v>
      </c>
      <c r="BC224">
        <v>1430000</v>
      </c>
      <c r="BD224">
        <v>1270000</v>
      </c>
      <c r="BE224">
        <v>0</v>
      </c>
      <c r="BF224">
        <v>0</v>
      </c>
      <c r="BG224">
        <v>620000</v>
      </c>
      <c r="BH224">
        <v>0</v>
      </c>
      <c r="BI224">
        <v>660000</v>
      </c>
      <c r="BJ224">
        <v>2960000</v>
      </c>
      <c r="BK224">
        <v>0</v>
      </c>
      <c r="BL224">
        <v>0</v>
      </c>
      <c r="BM224">
        <v>8360000</v>
      </c>
      <c r="BN224">
        <v>1320000</v>
      </c>
      <c r="BO224">
        <v>2660000</v>
      </c>
      <c r="BP224">
        <v>12680000</v>
      </c>
      <c r="BQ224">
        <v>12340000</v>
      </c>
      <c r="BR224">
        <v>10530000</v>
      </c>
      <c r="BS224">
        <v>1720000</v>
      </c>
      <c r="BT224">
        <v>0</v>
      </c>
      <c r="BU224">
        <v>420000</v>
      </c>
      <c r="BV224">
        <v>0</v>
      </c>
      <c r="BW224">
        <v>0</v>
      </c>
      <c r="BX224">
        <v>0</v>
      </c>
      <c r="BY224">
        <v>0</v>
      </c>
      <c r="BZ224">
        <v>500000</v>
      </c>
      <c r="CA224">
        <v>0</v>
      </c>
      <c r="CT224">
        <v>13.329091776682047</v>
      </c>
      <c r="CU224">
        <v>24.494989661205619</v>
      </c>
      <c r="CV224">
        <v>61.348815015110546</v>
      </c>
      <c r="CW224">
        <v>0</v>
      </c>
      <c r="CX224">
        <v>0.82710354700175004</v>
      </c>
      <c r="CY224">
        <v>12.9632575155082</v>
      </c>
      <c r="CZ224">
        <v>25.163034833783982</v>
      </c>
      <c r="DA224">
        <v>61.046604103706088</v>
      </c>
      <c r="DB224">
        <v>0</v>
      </c>
      <c r="DC224">
        <v>0.82710354700175004</v>
      </c>
      <c r="DD224">
        <v>13.48815015110546</v>
      </c>
      <c r="DE224">
        <v>25.306187370765119</v>
      </c>
      <c r="DF224">
        <v>60.394464768570053</v>
      </c>
      <c r="DG224">
        <v>0</v>
      </c>
      <c r="DH224">
        <v>0.81119770955940795</v>
      </c>
      <c r="DI224">
        <v>14.506123747415304</v>
      </c>
      <c r="DJ224">
        <v>24.74948306028314</v>
      </c>
      <c r="DK224">
        <v>59.949101320184553</v>
      </c>
      <c r="DL224">
        <v>0</v>
      </c>
      <c r="DM224">
        <v>0.79529187211706698</v>
      </c>
      <c r="DN224">
        <v>14.919675520916174</v>
      </c>
      <c r="DO224">
        <v>24.335931286782291</v>
      </c>
      <c r="DP224">
        <v>59.949101320184553</v>
      </c>
      <c r="DQ224">
        <v>0</v>
      </c>
      <c r="DR224">
        <v>0.79529187211706698</v>
      </c>
      <c r="DS224" t="s">
        <v>312</v>
      </c>
      <c r="DT224" t="s">
        <v>337</v>
      </c>
      <c r="DU224">
        <v>16434</v>
      </c>
      <c r="DV224" t="s">
        <v>547</v>
      </c>
      <c r="DW224" t="s">
        <v>548</v>
      </c>
      <c r="DX224">
        <v>86</v>
      </c>
      <c r="DY224">
        <v>130</v>
      </c>
      <c r="DZ224">
        <v>216</v>
      </c>
      <c r="EA224">
        <v>606779</v>
      </c>
      <c r="EB224">
        <v>388178</v>
      </c>
      <c r="EC224">
        <v>994957</v>
      </c>
      <c r="ED224" t="s">
        <v>745</v>
      </c>
      <c r="EE224" t="s">
        <v>740</v>
      </c>
      <c r="EF224" t="s">
        <v>746</v>
      </c>
      <c r="EG224" t="s">
        <v>747</v>
      </c>
    </row>
    <row r="225" spans="1:137" ht="14.55" customHeight="1" x14ac:dyDescent="0.3">
      <c r="A225" t="s">
        <v>748</v>
      </c>
      <c r="B225">
        <v>1044</v>
      </c>
      <c r="C225" t="s">
        <v>749</v>
      </c>
      <c r="D225" t="s">
        <v>543</v>
      </c>
      <c r="E225" t="s">
        <v>741</v>
      </c>
      <c r="F225" t="s">
        <v>742</v>
      </c>
      <c r="G225" t="s">
        <v>740</v>
      </c>
      <c r="H225" s="3">
        <v>14047884.051100001</v>
      </c>
      <c r="I225">
        <v>1410</v>
      </c>
      <c r="J225" s="3">
        <v>1404.78840511</v>
      </c>
      <c r="K225">
        <v>319</v>
      </c>
      <c r="L225">
        <v>1317</v>
      </c>
      <c r="M225">
        <v>776.87030829517005</v>
      </c>
      <c r="N225">
        <v>326.51542429837701</v>
      </c>
      <c r="O225">
        <v>0</v>
      </c>
      <c r="P225">
        <v>38.320297241210902</v>
      </c>
      <c r="Q225">
        <v>8.4318408966064506</v>
      </c>
      <c r="R225">
        <v>5.1699233055114799</v>
      </c>
      <c r="S225" t="s">
        <v>743</v>
      </c>
      <c r="T225" t="s">
        <v>750</v>
      </c>
      <c r="U225" t="s">
        <v>749</v>
      </c>
      <c r="V225" t="s">
        <v>749</v>
      </c>
      <c r="W225" s="3">
        <v>622</v>
      </c>
      <c r="X225" s="3">
        <v>14040000</v>
      </c>
      <c r="Y225">
        <v>3</v>
      </c>
      <c r="Z225" s="3">
        <v>348</v>
      </c>
      <c r="AA225" s="3">
        <v>396</v>
      </c>
      <c r="AB225" s="3">
        <v>411</v>
      </c>
      <c r="AC225" s="3">
        <v>440</v>
      </c>
      <c r="AD225" s="3">
        <v>444</v>
      </c>
      <c r="AE225" s="3">
        <v>448</v>
      </c>
      <c r="AF225" s="3">
        <v>456</v>
      </c>
      <c r="AG225" s="3">
        <v>484</v>
      </c>
      <c r="AH225" s="3">
        <v>516</v>
      </c>
      <c r="AI225" s="3">
        <v>547</v>
      </c>
      <c r="AJ225" s="3">
        <v>578</v>
      </c>
      <c r="AK225" s="3">
        <v>595</v>
      </c>
      <c r="AL225" s="3">
        <v>601</v>
      </c>
      <c r="AM225" s="3">
        <v>611</v>
      </c>
      <c r="AN225" s="3">
        <v>622</v>
      </c>
      <c r="AO225" s="3">
        <v>632</v>
      </c>
      <c r="AP225" s="3">
        <v>632</v>
      </c>
      <c r="AQ225" s="3">
        <v>626</v>
      </c>
      <c r="AR225" s="4">
        <v>45.014245014245013</v>
      </c>
      <c r="AS225" s="5">
        <f t="shared" si="32"/>
        <v>1.7241379310344827</v>
      </c>
      <c r="AT225" s="5">
        <f t="shared" si="33"/>
        <v>0.42087542087542085</v>
      </c>
      <c r="AU225" s="5">
        <f t="shared" si="34"/>
        <v>1.0948905109489051</v>
      </c>
      <c r="AV225" s="5">
        <f t="shared" si="35"/>
        <v>3.8596491228070171</v>
      </c>
      <c r="AW225" s="5">
        <f t="shared" si="36"/>
        <v>1.0649087221095335</v>
      </c>
      <c r="AX225" s="5">
        <f t="shared" si="37"/>
        <v>2.6885644768856447</v>
      </c>
      <c r="AY225" s="5">
        <f t="shared" si="38"/>
        <v>2.2056539297918611</v>
      </c>
      <c r="AZ225">
        <f t="shared" si="39"/>
        <v>14130000</v>
      </c>
      <c r="BA225">
        <v>0</v>
      </c>
      <c r="BB225">
        <v>370000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1120000</v>
      </c>
      <c r="BK225">
        <v>0</v>
      </c>
      <c r="BL225">
        <v>0</v>
      </c>
      <c r="BM225">
        <v>2940000</v>
      </c>
      <c r="BN225">
        <v>0</v>
      </c>
      <c r="BO225">
        <v>1640000</v>
      </c>
      <c r="BP225">
        <v>5540000</v>
      </c>
      <c r="BQ225">
        <v>170000</v>
      </c>
      <c r="BR225">
        <v>670000</v>
      </c>
      <c r="BS225">
        <v>1410000</v>
      </c>
      <c r="BT225">
        <v>0</v>
      </c>
      <c r="BU225">
        <v>140000</v>
      </c>
      <c r="BV225">
        <v>0</v>
      </c>
      <c r="BW225">
        <v>0</v>
      </c>
      <c r="BX225">
        <v>0</v>
      </c>
      <c r="BY225">
        <v>0</v>
      </c>
      <c r="BZ225">
        <v>130000</v>
      </c>
      <c r="CA225">
        <v>0</v>
      </c>
      <c r="CT225">
        <v>2.05237084217976</v>
      </c>
      <c r="CU225">
        <v>39.348903043170623</v>
      </c>
      <c r="CV225">
        <v>57.678697806086305</v>
      </c>
      <c r="CW225">
        <v>0</v>
      </c>
      <c r="CX225">
        <v>0.92002830856334095</v>
      </c>
      <c r="CY225">
        <v>2.05237084217976</v>
      </c>
      <c r="CZ225">
        <v>40.76433121019106</v>
      </c>
      <c r="DA225">
        <v>56.263269639065804</v>
      </c>
      <c r="DB225">
        <v>0</v>
      </c>
      <c r="DC225">
        <v>0.92002830856334095</v>
      </c>
      <c r="DD225">
        <v>2.12314225053079</v>
      </c>
      <c r="DE225">
        <v>40.83510261854213</v>
      </c>
      <c r="DF225">
        <v>56.121726822363797</v>
      </c>
      <c r="DG225">
        <v>0</v>
      </c>
      <c r="DH225">
        <v>0.92002830856334095</v>
      </c>
      <c r="DI225">
        <v>2.6185421089879699</v>
      </c>
      <c r="DJ225">
        <v>40.339702760084926</v>
      </c>
      <c r="DK225">
        <v>56.121726822363797</v>
      </c>
      <c r="DL225">
        <v>0</v>
      </c>
      <c r="DM225">
        <v>0.92002830856334095</v>
      </c>
      <c r="DN225">
        <v>2.6185421089879699</v>
      </c>
      <c r="DO225">
        <v>40.339702760084926</v>
      </c>
      <c r="DP225">
        <v>56.121726822363797</v>
      </c>
      <c r="DQ225">
        <v>0</v>
      </c>
      <c r="DR225">
        <v>0.92002830856334095</v>
      </c>
      <c r="DS225" t="s">
        <v>312</v>
      </c>
      <c r="DT225" t="s">
        <v>337</v>
      </c>
      <c r="DU225">
        <v>628</v>
      </c>
      <c r="DV225" t="s">
        <v>547</v>
      </c>
      <c r="DW225" t="s">
        <v>548</v>
      </c>
      <c r="DX225">
        <v>86</v>
      </c>
      <c r="DY225">
        <v>130</v>
      </c>
      <c r="DZ225">
        <v>216</v>
      </c>
      <c r="EA225">
        <v>606779</v>
      </c>
      <c r="EB225">
        <v>388178</v>
      </c>
      <c r="EC225">
        <v>994957</v>
      </c>
      <c r="ED225" t="s">
        <v>751</v>
      </c>
      <c r="EE225" t="s">
        <v>752</v>
      </c>
      <c r="EF225" t="s">
        <v>753</v>
      </c>
      <c r="EG225" t="s">
        <v>754</v>
      </c>
    </row>
    <row r="226" spans="1:137" ht="14.55" customHeight="1" x14ac:dyDescent="0.3">
      <c r="A226" t="s">
        <v>755</v>
      </c>
      <c r="B226">
        <v>1071</v>
      </c>
      <c r="C226" t="s">
        <v>756</v>
      </c>
      <c r="D226" t="s">
        <v>543</v>
      </c>
      <c r="E226" t="s">
        <v>741</v>
      </c>
      <c r="F226" t="s">
        <v>742</v>
      </c>
      <c r="G226" t="s">
        <v>757</v>
      </c>
      <c r="H226" s="3">
        <v>6403813.4267100003</v>
      </c>
      <c r="I226">
        <v>639</v>
      </c>
      <c r="J226" s="3">
        <v>640.38134267099997</v>
      </c>
      <c r="K226">
        <v>491</v>
      </c>
      <c r="L226">
        <v>583</v>
      </c>
      <c r="M226">
        <v>525.42817308685301</v>
      </c>
      <c r="N226">
        <v>20.1513810200588</v>
      </c>
      <c r="O226">
        <v>0</v>
      </c>
      <c r="P226">
        <v>17.038709640502901</v>
      </c>
      <c r="Q226">
        <v>3.88432765007019</v>
      </c>
      <c r="R226">
        <v>2.2584531307220499</v>
      </c>
      <c r="S226" t="s">
        <v>743</v>
      </c>
      <c r="T226" t="s">
        <v>758</v>
      </c>
      <c r="U226" t="s">
        <v>756</v>
      </c>
      <c r="V226" t="s">
        <v>756</v>
      </c>
      <c r="W226" s="3">
        <v>4856</v>
      </c>
      <c r="X226" s="3">
        <v>6400000</v>
      </c>
      <c r="Y226">
        <v>2</v>
      </c>
      <c r="Z226" s="3">
        <v>1068</v>
      </c>
      <c r="AA226" s="3">
        <v>1763</v>
      </c>
      <c r="AB226" s="3">
        <v>2283</v>
      </c>
      <c r="AC226" s="3">
        <v>3233</v>
      </c>
      <c r="AD226" s="3">
        <v>3368</v>
      </c>
      <c r="AE226" s="3">
        <v>3660</v>
      </c>
      <c r="AF226" s="3">
        <v>3819</v>
      </c>
      <c r="AG226" s="3">
        <v>3992</v>
      </c>
      <c r="AH226" s="3">
        <v>4167</v>
      </c>
      <c r="AI226" s="3">
        <v>4342</v>
      </c>
      <c r="AJ226" s="3">
        <v>4524</v>
      </c>
      <c r="AK226" s="3">
        <v>4797</v>
      </c>
      <c r="AL226" s="3">
        <v>4817</v>
      </c>
      <c r="AM226" s="3">
        <v>4836</v>
      </c>
      <c r="AN226" s="3">
        <v>4856</v>
      </c>
      <c r="AO226" s="3">
        <v>4843</v>
      </c>
      <c r="AP226" s="3">
        <v>4808</v>
      </c>
      <c r="AQ226" s="3">
        <v>5307</v>
      </c>
      <c r="AR226" s="4">
        <v>751.25</v>
      </c>
      <c r="AS226" s="5">
        <f t="shared" si="32"/>
        <v>8.1343632958801493</v>
      </c>
      <c r="AT226" s="5">
        <f t="shared" si="33"/>
        <v>3.2772420747463289</v>
      </c>
      <c r="AU226" s="5">
        <f t="shared" si="34"/>
        <v>6.7279894875164254</v>
      </c>
      <c r="AV226" s="5">
        <f t="shared" si="35"/>
        <v>2.5896831631317099</v>
      </c>
      <c r="AW226" s="5">
        <f t="shared" si="36"/>
        <v>6.6920026437541305</v>
      </c>
      <c r="AX226" s="5">
        <f t="shared" si="37"/>
        <v>5.5300043802014898</v>
      </c>
      <c r="AY226" s="5">
        <f t="shared" si="38"/>
        <v>9.4645207004757559</v>
      </c>
      <c r="AZ226">
        <f t="shared" si="39"/>
        <v>6410000</v>
      </c>
      <c r="BA226">
        <v>0</v>
      </c>
      <c r="BB226">
        <v>2110000</v>
      </c>
      <c r="BC226">
        <v>190000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1770000</v>
      </c>
      <c r="BK226">
        <v>0</v>
      </c>
      <c r="BL226">
        <v>0</v>
      </c>
      <c r="BM226">
        <v>920000</v>
      </c>
      <c r="BN226">
        <v>0</v>
      </c>
      <c r="BO226">
        <v>1010000</v>
      </c>
      <c r="BP226">
        <v>410000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T226">
        <v>25.897035881435233</v>
      </c>
      <c r="CU226">
        <v>64.430577223088903</v>
      </c>
      <c r="CV226">
        <v>9.6723868954758192</v>
      </c>
      <c r="CW226">
        <v>0</v>
      </c>
      <c r="CX226">
        <v>0</v>
      </c>
      <c r="CY226">
        <v>27.925117004680232</v>
      </c>
      <c r="CZ226">
        <v>62.402496099844001</v>
      </c>
      <c r="DA226">
        <v>9.6723868954758192</v>
      </c>
      <c r="DB226">
        <v>0</v>
      </c>
      <c r="DC226">
        <v>0</v>
      </c>
      <c r="DD226">
        <v>32.761310452418073</v>
      </c>
      <c r="DE226">
        <v>57.566302652106103</v>
      </c>
      <c r="DF226">
        <v>9.6723868954758192</v>
      </c>
      <c r="DG226">
        <v>0</v>
      </c>
      <c r="DH226">
        <v>0</v>
      </c>
      <c r="DI226">
        <v>34.633385335413386</v>
      </c>
      <c r="DJ226">
        <v>58.970358814352601</v>
      </c>
      <c r="DK226">
        <v>6.3962558502340103</v>
      </c>
      <c r="DL226">
        <v>0</v>
      </c>
      <c r="DM226">
        <v>0</v>
      </c>
      <c r="DN226">
        <v>35.881435257410288</v>
      </c>
      <c r="DO226">
        <v>57.722308892355699</v>
      </c>
      <c r="DP226">
        <v>6.3962558502340103</v>
      </c>
      <c r="DQ226">
        <v>0</v>
      </c>
      <c r="DR226">
        <v>0</v>
      </c>
      <c r="DS226" t="s">
        <v>564</v>
      </c>
      <c r="DT226" t="s">
        <v>313</v>
      </c>
      <c r="DU226">
        <v>5045</v>
      </c>
      <c r="DV226" t="s">
        <v>547</v>
      </c>
      <c r="DW226" t="s">
        <v>548</v>
      </c>
      <c r="DX226">
        <v>86</v>
      </c>
      <c r="DY226">
        <v>130</v>
      </c>
      <c r="DZ226">
        <v>216</v>
      </c>
      <c r="EA226">
        <v>606779</v>
      </c>
      <c r="EB226">
        <v>388178</v>
      </c>
      <c r="EC226">
        <v>994957</v>
      </c>
      <c r="ED226" t="s">
        <v>759</v>
      </c>
      <c r="EE226" t="s">
        <v>757</v>
      </c>
      <c r="EF226" t="s">
        <v>746</v>
      </c>
      <c r="EG226" t="s">
        <v>760</v>
      </c>
    </row>
    <row r="227" spans="1:137" ht="14.55" customHeight="1" x14ac:dyDescent="0.3">
      <c r="A227" t="s">
        <v>761</v>
      </c>
      <c r="B227">
        <v>1078</v>
      </c>
      <c r="C227" t="s">
        <v>762</v>
      </c>
      <c r="D227" t="s">
        <v>543</v>
      </c>
      <c r="E227" t="s">
        <v>741</v>
      </c>
      <c r="F227" t="s">
        <v>742</v>
      </c>
      <c r="G227" t="s">
        <v>763</v>
      </c>
      <c r="H227" s="3">
        <v>8718501.5188100003</v>
      </c>
      <c r="I227">
        <v>873</v>
      </c>
      <c r="J227" s="3">
        <v>871.85015188099999</v>
      </c>
      <c r="K227">
        <v>338</v>
      </c>
      <c r="L227">
        <v>524</v>
      </c>
      <c r="M227">
        <v>444.24521567436199</v>
      </c>
      <c r="N227">
        <v>43.029763427161299</v>
      </c>
      <c r="O227">
        <v>0</v>
      </c>
      <c r="P227">
        <v>29.5028686523438</v>
      </c>
      <c r="Q227">
        <v>5.7952284812927299</v>
      </c>
      <c r="R227">
        <v>3.7195696830749498</v>
      </c>
      <c r="S227" t="s">
        <v>743</v>
      </c>
      <c r="T227" t="s">
        <v>764</v>
      </c>
      <c r="U227" t="s">
        <v>762</v>
      </c>
      <c r="V227" t="s">
        <v>762</v>
      </c>
      <c r="W227" s="3">
        <v>1481</v>
      </c>
      <c r="X227" s="3">
        <v>8720000</v>
      </c>
      <c r="Y227">
        <v>2</v>
      </c>
      <c r="Z227" s="3">
        <v>817</v>
      </c>
      <c r="AA227" s="3">
        <v>967</v>
      </c>
      <c r="AB227" s="3">
        <v>1057</v>
      </c>
      <c r="AC227" s="3">
        <v>1059</v>
      </c>
      <c r="AD227" s="3">
        <v>1073</v>
      </c>
      <c r="AE227" s="3">
        <v>1124</v>
      </c>
      <c r="AF227" s="3">
        <v>1174</v>
      </c>
      <c r="AG227" s="3">
        <v>1225</v>
      </c>
      <c r="AH227" s="3">
        <v>1268</v>
      </c>
      <c r="AI227" s="3">
        <v>1389</v>
      </c>
      <c r="AJ227" s="3">
        <v>1385</v>
      </c>
      <c r="AK227" s="3">
        <v>1377</v>
      </c>
      <c r="AL227" s="3">
        <v>1370</v>
      </c>
      <c r="AM227" s="3">
        <v>1450</v>
      </c>
      <c r="AN227" s="3">
        <v>1481</v>
      </c>
      <c r="AO227" s="3">
        <v>1518</v>
      </c>
      <c r="AP227" s="3">
        <v>1557</v>
      </c>
      <c r="AQ227" s="3">
        <v>1619</v>
      </c>
      <c r="AR227" s="4">
        <v>178.55504587155963</v>
      </c>
      <c r="AS227" s="5">
        <f t="shared" si="32"/>
        <v>2.2949816401468786</v>
      </c>
      <c r="AT227" s="5">
        <f t="shared" si="33"/>
        <v>1.0341261633919339</v>
      </c>
      <c r="AU227" s="5">
        <f t="shared" si="34"/>
        <v>1.1069063386944182</v>
      </c>
      <c r="AV227" s="5">
        <f t="shared" si="35"/>
        <v>3.262350936967632</v>
      </c>
      <c r="AW227" s="5">
        <f t="shared" si="36"/>
        <v>1.7279861761105912</v>
      </c>
      <c r="AX227" s="5">
        <f t="shared" si="37"/>
        <v>2.3651844843897827</v>
      </c>
      <c r="AY227" s="5">
        <f t="shared" si="38"/>
        <v>2.4479804161566707</v>
      </c>
      <c r="AZ227">
        <f t="shared" si="39"/>
        <v>8720000</v>
      </c>
      <c r="BA227">
        <v>0</v>
      </c>
      <c r="BB227">
        <v>630000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4420000</v>
      </c>
      <c r="BK227">
        <v>530000</v>
      </c>
      <c r="BL227">
        <v>0</v>
      </c>
      <c r="BM227">
        <v>110000</v>
      </c>
      <c r="BN227">
        <v>360000</v>
      </c>
      <c r="BO227">
        <v>0</v>
      </c>
      <c r="BP227">
        <v>2250000</v>
      </c>
      <c r="BQ227">
        <v>40000</v>
      </c>
      <c r="BR227">
        <v>180000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200000</v>
      </c>
      <c r="CA227">
        <v>0</v>
      </c>
      <c r="CT227">
        <v>5.2752293577981701</v>
      </c>
      <c r="CU227">
        <v>63.646788990825691</v>
      </c>
      <c r="CV227">
        <v>28.784403669724799</v>
      </c>
      <c r="CW227">
        <v>0</v>
      </c>
      <c r="CX227">
        <v>2.2935779816513802</v>
      </c>
      <c r="CY227">
        <v>5.2752293577981701</v>
      </c>
      <c r="CZ227">
        <v>64.220183486238511</v>
      </c>
      <c r="DA227">
        <v>28.211009174311901</v>
      </c>
      <c r="DB227">
        <v>0</v>
      </c>
      <c r="DC227">
        <v>2.2935779816513802</v>
      </c>
      <c r="DD227">
        <v>6.4220183486238502</v>
      </c>
      <c r="DE227">
        <v>62.958715596330308</v>
      </c>
      <c r="DF227">
        <v>28.325688073394499</v>
      </c>
      <c r="DG227">
        <v>0</v>
      </c>
      <c r="DH227">
        <v>2.2935779816513802</v>
      </c>
      <c r="DI227">
        <v>7.2247706422018299</v>
      </c>
      <c r="DJ227">
        <v>62.155963302752284</v>
      </c>
      <c r="DK227">
        <v>28.325688073394499</v>
      </c>
      <c r="DL227">
        <v>0</v>
      </c>
      <c r="DM227">
        <v>2.2935779816513802</v>
      </c>
      <c r="DN227">
        <v>7.2247706422018299</v>
      </c>
      <c r="DO227">
        <v>62.155963302752284</v>
      </c>
      <c r="DP227">
        <v>28.325688073394499</v>
      </c>
      <c r="DQ227">
        <v>0</v>
      </c>
      <c r="DR227">
        <v>2.2935779816513802</v>
      </c>
      <c r="DS227" t="s">
        <v>312</v>
      </c>
      <c r="DT227" t="s">
        <v>313</v>
      </c>
      <c r="DU227">
        <v>1597</v>
      </c>
      <c r="DV227" t="s">
        <v>547</v>
      </c>
      <c r="DW227" t="s">
        <v>548</v>
      </c>
      <c r="DX227">
        <v>86</v>
      </c>
      <c r="DY227">
        <v>130</v>
      </c>
      <c r="DZ227">
        <v>216</v>
      </c>
      <c r="EA227">
        <v>606779</v>
      </c>
      <c r="EB227">
        <v>388178</v>
      </c>
      <c r="EC227">
        <v>994957</v>
      </c>
      <c r="ED227" t="s">
        <v>751</v>
      </c>
      <c r="EE227" t="s">
        <v>752</v>
      </c>
      <c r="EF227" t="s">
        <v>753</v>
      </c>
      <c r="EG227" t="s">
        <v>754</v>
      </c>
    </row>
    <row r="228" spans="1:137" ht="14.55" customHeight="1" x14ac:dyDescent="0.3">
      <c r="A228" t="s">
        <v>765</v>
      </c>
      <c r="B228">
        <v>1081</v>
      </c>
      <c r="C228" t="s">
        <v>766</v>
      </c>
      <c r="D228" t="s">
        <v>543</v>
      </c>
      <c r="E228" t="s">
        <v>741</v>
      </c>
      <c r="F228" t="s">
        <v>742</v>
      </c>
      <c r="G228" t="s">
        <v>740</v>
      </c>
      <c r="H228" s="3">
        <v>31936211.901799999</v>
      </c>
      <c r="I228">
        <v>3198</v>
      </c>
      <c r="J228" s="3">
        <v>3193.6211901799998</v>
      </c>
      <c r="K228">
        <v>507</v>
      </c>
      <c r="L228">
        <v>1528</v>
      </c>
      <c r="M228">
        <v>1061.50830275515</v>
      </c>
      <c r="N228">
        <v>227.83741992255599</v>
      </c>
      <c r="O228">
        <v>0</v>
      </c>
      <c r="P228">
        <v>55.542453765869098</v>
      </c>
      <c r="Q228">
        <v>14.55921459198</v>
      </c>
      <c r="R228">
        <v>9.5398855209350604</v>
      </c>
      <c r="S228" t="s">
        <v>743</v>
      </c>
      <c r="T228" t="s">
        <v>767</v>
      </c>
      <c r="U228" t="s">
        <v>766</v>
      </c>
      <c r="V228" t="s">
        <v>766</v>
      </c>
      <c r="W228" s="3">
        <v>729</v>
      </c>
      <c r="X228" s="3">
        <v>31930000</v>
      </c>
      <c r="Y228">
        <v>3</v>
      </c>
      <c r="Z228" s="3">
        <v>332</v>
      </c>
      <c r="AA228" s="3">
        <v>440</v>
      </c>
      <c r="AB228" s="3">
        <v>593</v>
      </c>
      <c r="AC228" s="3">
        <v>606</v>
      </c>
      <c r="AD228" s="3">
        <v>630</v>
      </c>
      <c r="AE228" s="3">
        <v>653</v>
      </c>
      <c r="AF228" s="3">
        <v>676</v>
      </c>
      <c r="AG228" s="3">
        <v>677</v>
      </c>
      <c r="AH228" s="3">
        <v>676</v>
      </c>
      <c r="AI228" s="3">
        <v>696</v>
      </c>
      <c r="AJ228" s="3">
        <v>713</v>
      </c>
      <c r="AK228" s="3">
        <v>730</v>
      </c>
      <c r="AL228" s="3">
        <v>735</v>
      </c>
      <c r="AM228" s="3">
        <v>729</v>
      </c>
      <c r="AN228" s="3">
        <v>729</v>
      </c>
      <c r="AO228" s="3">
        <v>732</v>
      </c>
      <c r="AP228" s="3">
        <v>735</v>
      </c>
      <c r="AQ228" s="3">
        <v>718</v>
      </c>
      <c r="AR228" s="4">
        <v>23.019104290635767</v>
      </c>
      <c r="AS228" s="5">
        <f t="shared" si="32"/>
        <v>4.0662650602409638</v>
      </c>
      <c r="AT228" s="5">
        <f t="shared" si="33"/>
        <v>3.8636363636363633</v>
      </c>
      <c r="AU228" s="5">
        <f t="shared" si="34"/>
        <v>1.399662731871838</v>
      </c>
      <c r="AV228" s="5">
        <f t="shared" si="35"/>
        <v>0.87278106508875741</v>
      </c>
      <c r="AW228" s="5">
        <f t="shared" si="36"/>
        <v>4.6243798724309002</v>
      </c>
      <c r="AX228" s="5">
        <f t="shared" si="37"/>
        <v>1.1973018549747048</v>
      </c>
      <c r="AY228" s="5">
        <f t="shared" si="38"/>
        <v>3.2806903288830997</v>
      </c>
      <c r="AZ228">
        <f t="shared" si="39"/>
        <v>31990000</v>
      </c>
      <c r="BA228">
        <v>0</v>
      </c>
      <c r="BB228">
        <v>610000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2320000</v>
      </c>
      <c r="BN228">
        <v>0</v>
      </c>
      <c r="BO228">
        <v>0</v>
      </c>
      <c r="BP228">
        <v>9890000</v>
      </c>
      <c r="BQ228">
        <v>13820000</v>
      </c>
      <c r="BR228">
        <v>4700000</v>
      </c>
      <c r="BS228">
        <v>650000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T228">
        <v>1.5629884338855899</v>
      </c>
      <c r="CU228">
        <v>9.0028133791809992</v>
      </c>
      <c r="CV228">
        <v>89.434198186933386</v>
      </c>
      <c r="CW228">
        <v>0</v>
      </c>
      <c r="CX228">
        <v>0</v>
      </c>
      <c r="CY228">
        <v>1.65676773991872</v>
      </c>
      <c r="CZ228">
        <v>8.9090340731478594</v>
      </c>
      <c r="DA228">
        <v>89.434198186933386</v>
      </c>
      <c r="DB228">
        <v>0</v>
      </c>
      <c r="DC228">
        <v>0</v>
      </c>
      <c r="DD228">
        <v>1.5942482025633</v>
      </c>
      <c r="DE228">
        <v>7.3773054079399802</v>
      </c>
      <c r="DF228">
        <v>91.028446389496779</v>
      </c>
      <c r="DG228">
        <v>0</v>
      </c>
      <c r="DH228">
        <v>0</v>
      </c>
      <c r="DI228">
        <v>1.9068458893404201</v>
      </c>
      <c r="DJ228">
        <v>7.2522663332291302</v>
      </c>
      <c r="DK228">
        <v>90.840887777430467</v>
      </c>
      <c r="DL228">
        <v>0</v>
      </c>
      <c r="DM228">
        <v>0</v>
      </c>
      <c r="DN228">
        <v>1.9068458893404201</v>
      </c>
      <c r="DO228">
        <v>7.2522663332291302</v>
      </c>
      <c r="DP228">
        <v>90.840887777430467</v>
      </c>
      <c r="DQ228">
        <v>0</v>
      </c>
      <c r="DR228">
        <v>0</v>
      </c>
      <c r="DS228" t="s">
        <v>768</v>
      </c>
      <c r="DT228" t="s">
        <v>768</v>
      </c>
      <c r="DU228" t="s">
        <v>768</v>
      </c>
      <c r="DV228" t="s">
        <v>768</v>
      </c>
      <c r="DW228" t="s">
        <v>768</v>
      </c>
      <c r="DX228" t="s">
        <v>768</v>
      </c>
      <c r="DY228" t="s">
        <v>768</v>
      </c>
      <c r="DZ228" t="s">
        <v>768</v>
      </c>
      <c r="EA228" t="s">
        <v>768</v>
      </c>
      <c r="EB228" t="s">
        <v>768</v>
      </c>
      <c r="EC228" t="s">
        <v>768</v>
      </c>
      <c r="ED228" t="s">
        <v>751</v>
      </c>
      <c r="EE228" t="s">
        <v>752</v>
      </c>
      <c r="EF228" t="s">
        <v>753</v>
      </c>
      <c r="EG228" t="s">
        <v>754</v>
      </c>
    </row>
    <row r="229" spans="1:137" ht="14.55" customHeight="1" x14ac:dyDescent="0.3">
      <c r="A229" t="s">
        <v>769</v>
      </c>
      <c r="B229">
        <v>1082</v>
      </c>
      <c r="C229" t="s">
        <v>770</v>
      </c>
      <c r="D229" t="s">
        <v>543</v>
      </c>
      <c r="E229" t="s">
        <v>741</v>
      </c>
      <c r="F229" t="s">
        <v>742</v>
      </c>
      <c r="G229" t="s">
        <v>740</v>
      </c>
      <c r="H229" s="3">
        <v>18409127.967399999</v>
      </c>
      <c r="I229">
        <v>1843</v>
      </c>
      <c r="J229" s="3">
        <v>1840.91279674</v>
      </c>
      <c r="K229">
        <v>222</v>
      </c>
      <c r="L229">
        <v>1199</v>
      </c>
      <c r="M229">
        <v>746.89222442720597</v>
      </c>
      <c r="N229">
        <v>287.39175295600398</v>
      </c>
      <c r="O229">
        <v>0</v>
      </c>
      <c r="P229">
        <v>44.0720024108887</v>
      </c>
      <c r="Q229">
        <v>11.8062124252319</v>
      </c>
      <c r="R229">
        <v>7.1577119827270499</v>
      </c>
      <c r="S229" t="s">
        <v>743</v>
      </c>
      <c r="T229" t="s">
        <v>771</v>
      </c>
      <c r="U229" t="s">
        <v>770</v>
      </c>
      <c r="V229" t="s">
        <v>770</v>
      </c>
      <c r="W229" s="3">
        <v>625</v>
      </c>
      <c r="X229" s="3">
        <v>18400000</v>
      </c>
      <c r="Y229">
        <v>3</v>
      </c>
      <c r="Z229" s="3">
        <v>426</v>
      </c>
      <c r="AA229" s="3">
        <v>410</v>
      </c>
      <c r="AB229" s="3">
        <v>573</v>
      </c>
      <c r="AC229" s="3">
        <v>601</v>
      </c>
      <c r="AD229" s="3">
        <v>602</v>
      </c>
      <c r="AE229" s="3">
        <v>610</v>
      </c>
      <c r="AF229" s="3">
        <v>608</v>
      </c>
      <c r="AG229" s="3">
        <v>617</v>
      </c>
      <c r="AH229" s="3">
        <v>627</v>
      </c>
      <c r="AI229" s="3">
        <v>636</v>
      </c>
      <c r="AJ229" s="3">
        <v>646</v>
      </c>
      <c r="AK229" s="3">
        <v>648</v>
      </c>
      <c r="AL229" s="3">
        <v>640</v>
      </c>
      <c r="AM229" s="3">
        <v>633</v>
      </c>
      <c r="AN229" s="3">
        <v>625</v>
      </c>
      <c r="AO229" s="3">
        <v>627</v>
      </c>
      <c r="AP229" s="3">
        <v>628</v>
      </c>
      <c r="AQ229" s="3">
        <v>616</v>
      </c>
      <c r="AR229" s="4">
        <v>34.130434782608695</v>
      </c>
      <c r="AS229" s="5">
        <f t="shared" si="32"/>
        <v>-0.46948356807511737</v>
      </c>
      <c r="AT229" s="5">
        <f t="shared" si="33"/>
        <v>4.4173441734417347</v>
      </c>
      <c r="AU229" s="5">
        <f t="shared" si="34"/>
        <v>0.61082024432809767</v>
      </c>
      <c r="AV229" s="5">
        <f t="shared" si="35"/>
        <v>0.3289473684210526</v>
      </c>
      <c r="AW229" s="5">
        <f t="shared" si="36"/>
        <v>2.0298260149130076</v>
      </c>
      <c r="AX229" s="5">
        <f t="shared" si="37"/>
        <v>0.47993019197207681</v>
      </c>
      <c r="AY229" s="5">
        <f t="shared" si="38"/>
        <v>1.2815632533942394</v>
      </c>
      <c r="AZ229">
        <f t="shared" si="39"/>
        <v>18480000</v>
      </c>
      <c r="BA229">
        <v>0</v>
      </c>
      <c r="BB229">
        <v>570000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870000</v>
      </c>
      <c r="BK229">
        <v>0</v>
      </c>
      <c r="BL229">
        <v>0</v>
      </c>
      <c r="BM229">
        <v>2580000</v>
      </c>
      <c r="BN229">
        <v>10000</v>
      </c>
      <c r="BO229">
        <v>0</v>
      </c>
      <c r="BP229">
        <v>11740000</v>
      </c>
      <c r="BQ229">
        <v>10000</v>
      </c>
      <c r="BR229">
        <v>920000</v>
      </c>
      <c r="BS229">
        <v>1500000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280000</v>
      </c>
      <c r="CA229">
        <v>0</v>
      </c>
      <c r="CT229">
        <v>2.5974025974026</v>
      </c>
      <c r="CU229">
        <v>17.911255411255421</v>
      </c>
      <c r="CV229">
        <v>77.97619047619051</v>
      </c>
      <c r="CW229">
        <v>0</v>
      </c>
      <c r="CX229">
        <v>1.51515151515152</v>
      </c>
      <c r="CY229">
        <v>2.7597402597402598</v>
      </c>
      <c r="CZ229">
        <v>18.993506493506469</v>
      </c>
      <c r="DA229">
        <v>76.731601731601714</v>
      </c>
      <c r="DB229">
        <v>0</v>
      </c>
      <c r="DC229">
        <v>1.51515151515152</v>
      </c>
      <c r="DD229">
        <v>2.8138528138528098</v>
      </c>
      <c r="DE229">
        <v>18.993506493506512</v>
      </c>
      <c r="DF229">
        <v>76.677489177489221</v>
      </c>
      <c r="DG229">
        <v>0</v>
      </c>
      <c r="DH229">
        <v>1.51515151515152</v>
      </c>
      <c r="DI229">
        <v>3.0844155844155798</v>
      </c>
      <c r="DJ229">
        <v>18.722943722943764</v>
      </c>
      <c r="DK229">
        <v>76.677489177489221</v>
      </c>
      <c r="DL229">
        <v>0</v>
      </c>
      <c r="DM229">
        <v>1.51515151515152</v>
      </c>
      <c r="DN229">
        <v>3.0844155844155798</v>
      </c>
      <c r="DO229">
        <v>18.722943722943764</v>
      </c>
      <c r="DP229">
        <v>76.677489177489221</v>
      </c>
      <c r="DQ229">
        <v>0</v>
      </c>
      <c r="DR229">
        <v>1.51515151515152</v>
      </c>
      <c r="DS229" t="s">
        <v>768</v>
      </c>
      <c r="DT229" t="s">
        <v>768</v>
      </c>
      <c r="DU229" t="s">
        <v>768</v>
      </c>
      <c r="DV229" t="s">
        <v>768</v>
      </c>
      <c r="DW229" t="s">
        <v>768</v>
      </c>
      <c r="DX229" t="s">
        <v>768</v>
      </c>
      <c r="DY229" t="s">
        <v>768</v>
      </c>
      <c r="DZ229" t="s">
        <v>768</v>
      </c>
      <c r="EA229" t="s">
        <v>768</v>
      </c>
      <c r="EB229" t="s">
        <v>768</v>
      </c>
      <c r="EC229" t="s">
        <v>768</v>
      </c>
      <c r="ED229" t="s">
        <v>751</v>
      </c>
      <c r="EE229" t="s">
        <v>752</v>
      </c>
      <c r="EF229" t="s">
        <v>753</v>
      </c>
      <c r="EG229" t="s">
        <v>754</v>
      </c>
    </row>
    <row r="230" spans="1:137" ht="14.55" customHeight="1" x14ac:dyDescent="0.3">
      <c r="A230" t="s">
        <v>772</v>
      </c>
      <c r="B230">
        <v>1103</v>
      </c>
      <c r="C230" t="s">
        <v>773</v>
      </c>
      <c r="D230" t="s">
        <v>543</v>
      </c>
      <c r="E230" t="s">
        <v>741</v>
      </c>
      <c r="F230" t="s">
        <v>742</v>
      </c>
      <c r="G230" t="s">
        <v>763</v>
      </c>
      <c r="H230" s="3">
        <v>5825390.2282100003</v>
      </c>
      <c r="I230">
        <v>578</v>
      </c>
      <c r="J230" s="3">
        <v>582.539022821</v>
      </c>
      <c r="K230">
        <v>447</v>
      </c>
      <c r="L230">
        <v>583</v>
      </c>
      <c r="M230">
        <v>497.44041274520902</v>
      </c>
      <c r="N230">
        <v>28.485790062812399</v>
      </c>
      <c r="O230">
        <v>0</v>
      </c>
      <c r="P230">
        <v>16.8022785186768</v>
      </c>
      <c r="Q230">
        <v>4.4120802879333496</v>
      </c>
      <c r="R230">
        <v>2.4910902976989702</v>
      </c>
      <c r="S230" t="s">
        <v>743</v>
      </c>
      <c r="T230" t="s">
        <v>774</v>
      </c>
      <c r="U230" t="s">
        <v>773</v>
      </c>
      <c r="V230" t="s">
        <v>773</v>
      </c>
      <c r="W230" s="3">
        <v>1812</v>
      </c>
      <c r="X230" s="3">
        <v>5820000</v>
      </c>
      <c r="Y230">
        <v>2</v>
      </c>
      <c r="Z230" s="3">
        <v>637</v>
      </c>
      <c r="AA230" s="3">
        <v>733</v>
      </c>
      <c r="AB230" s="3">
        <v>803</v>
      </c>
      <c r="AC230" s="3">
        <v>1118</v>
      </c>
      <c r="AD230" s="3">
        <v>1151</v>
      </c>
      <c r="AE230" s="3">
        <v>1184</v>
      </c>
      <c r="AF230" s="3">
        <v>1217</v>
      </c>
      <c r="AG230" s="3">
        <v>1235</v>
      </c>
      <c r="AH230" s="3">
        <v>1269</v>
      </c>
      <c r="AI230" s="3">
        <v>1333</v>
      </c>
      <c r="AJ230" s="3">
        <v>1396</v>
      </c>
      <c r="AK230" s="3">
        <v>1459</v>
      </c>
      <c r="AL230" s="3">
        <v>1525</v>
      </c>
      <c r="AM230" s="3">
        <v>1643</v>
      </c>
      <c r="AN230" s="3">
        <v>1812</v>
      </c>
      <c r="AO230" s="3">
        <v>1980</v>
      </c>
      <c r="AP230" s="3">
        <v>2149</v>
      </c>
      <c r="AQ230" s="3">
        <v>2261</v>
      </c>
      <c r="AR230" s="4">
        <v>369.24398625429552</v>
      </c>
      <c r="AS230" s="5">
        <f t="shared" si="32"/>
        <v>1.8838304552590266</v>
      </c>
      <c r="AT230" s="5">
        <f t="shared" si="33"/>
        <v>1.0610883735031074</v>
      </c>
      <c r="AU230" s="5">
        <f t="shared" si="34"/>
        <v>5.1556662515566618</v>
      </c>
      <c r="AV230" s="5">
        <f t="shared" si="35"/>
        <v>7.6581758422350044</v>
      </c>
      <c r="AW230" s="5">
        <f t="shared" si="36"/>
        <v>1.5329208606519529</v>
      </c>
      <c r="AX230" s="5">
        <f t="shared" si="37"/>
        <v>8.3810709838107087</v>
      </c>
      <c r="AY230" s="5">
        <f t="shared" si="38"/>
        <v>6.4152064152064145</v>
      </c>
      <c r="AZ230">
        <f t="shared" si="39"/>
        <v>5810000</v>
      </c>
      <c r="BA230">
        <v>0</v>
      </c>
      <c r="BB230">
        <v>800000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210000</v>
      </c>
      <c r="BJ230">
        <v>1530000</v>
      </c>
      <c r="BK230">
        <v>0</v>
      </c>
      <c r="BL230">
        <v>0</v>
      </c>
      <c r="BM230">
        <v>860000</v>
      </c>
      <c r="BN230">
        <v>1290000</v>
      </c>
      <c r="BO230">
        <v>430000</v>
      </c>
      <c r="BP230">
        <v>690000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T230">
        <v>13.253012048192751</v>
      </c>
      <c r="CU230">
        <v>66.609294320137664</v>
      </c>
      <c r="CV230">
        <v>20.137693631669499</v>
      </c>
      <c r="CW230">
        <v>0</v>
      </c>
      <c r="CX230">
        <v>0</v>
      </c>
      <c r="CY230">
        <v>13.253012048192751</v>
      </c>
      <c r="CZ230">
        <v>66.609294320137693</v>
      </c>
      <c r="DA230">
        <v>20.137693631669499</v>
      </c>
      <c r="DB230">
        <v>0</v>
      </c>
      <c r="DC230">
        <v>0</v>
      </c>
      <c r="DD230">
        <v>14.45783132530125</v>
      </c>
      <c r="DE230">
        <v>66.092943201376897</v>
      </c>
      <c r="DF230">
        <v>19.449225473321899</v>
      </c>
      <c r="DG230">
        <v>0</v>
      </c>
      <c r="DH230">
        <v>0</v>
      </c>
      <c r="DI230">
        <v>17.3838209982788</v>
      </c>
      <c r="DJ230">
        <v>70.740103270223699</v>
      </c>
      <c r="DK230">
        <v>11.8760757314974</v>
      </c>
      <c r="DL230">
        <v>0</v>
      </c>
      <c r="DM230">
        <v>0</v>
      </c>
      <c r="DN230">
        <v>17.3838209982788</v>
      </c>
      <c r="DO230">
        <v>70.740103270223699</v>
      </c>
      <c r="DP230">
        <v>11.8760757314974</v>
      </c>
      <c r="DQ230">
        <v>0</v>
      </c>
      <c r="DR230">
        <v>0</v>
      </c>
      <c r="DS230" t="s">
        <v>312</v>
      </c>
      <c r="DT230" t="s">
        <v>313</v>
      </c>
      <c r="DU230">
        <v>2226</v>
      </c>
      <c r="DV230" t="s">
        <v>547</v>
      </c>
      <c r="DW230" t="s">
        <v>548</v>
      </c>
      <c r="DX230">
        <v>86</v>
      </c>
      <c r="DY230">
        <v>130</v>
      </c>
      <c r="DZ230">
        <v>216</v>
      </c>
      <c r="EA230">
        <v>606779</v>
      </c>
      <c r="EB230">
        <v>388178</v>
      </c>
      <c r="EC230">
        <v>994957</v>
      </c>
      <c r="ED230" t="s">
        <v>775</v>
      </c>
      <c r="EE230" t="s">
        <v>776</v>
      </c>
      <c r="EF230" t="s">
        <v>746</v>
      </c>
      <c r="EG230" t="s">
        <v>760</v>
      </c>
    </row>
    <row r="231" spans="1:137" ht="14.55" customHeight="1" x14ac:dyDescent="0.3">
      <c r="A231" t="s">
        <v>777</v>
      </c>
      <c r="B231">
        <v>1104</v>
      </c>
      <c r="C231" t="s">
        <v>778</v>
      </c>
      <c r="D231" t="s">
        <v>543</v>
      </c>
      <c r="E231" t="s">
        <v>741</v>
      </c>
      <c r="F231" t="s">
        <v>742</v>
      </c>
      <c r="G231" t="s">
        <v>763</v>
      </c>
      <c r="H231" s="3">
        <v>46629480.8125</v>
      </c>
      <c r="I231">
        <v>4672</v>
      </c>
      <c r="J231" s="3">
        <v>4662.9480812499996</v>
      </c>
      <c r="K231">
        <v>469</v>
      </c>
      <c r="L231">
        <v>1678</v>
      </c>
      <c r="M231">
        <v>1011.63616492797</v>
      </c>
      <c r="N231">
        <v>256.66713588307499</v>
      </c>
      <c r="O231">
        <v>0</v>
      </c>
      <c r="P231">
        <v>62.254283905029297</v>
      </c>
      <c r="Q231">
        <v>20.799720764160199</v>
      </c>
      <c r="R231">
        <v>10.3891496658325</v>
      </c>
      <c r="S231" t="s">
        <v>743</v>
      </c>
      <c r="T231" t="s">
        <v>779</v>
      </c>
      <c r="U231" t="s">
        <v>778</v>
      </c>
      <c r="V231" t="s">
        <v>778</v>
      </c>
      <c r="W231" s="3">
        <v>467</v>
      </c>
      <c r="X231" s="3">
        <v>46620000</v>
      </c>
      <c r="Y231">
        <v>3</v>
      </c>
      <c r="Z231" s="3">
        <v>337</v>
      </c>
      <c r="AA231" s="3">
        <v>357</v>
      </c>
      <c r="AB231" s="3">
        <v>369</v>
      </c>
      <c r="AC231" s="3">
        <v>399</v>
      </c>
      <c r="AD231" s="3">
        <v>404</v>
      </c>
      <c r="AE231" s="3">
        <v>403</v>
      </c>
      <c r="AF231" s="3">
        <v>419</v>
      </c>
      <c r="AG231" s="3">
        <v>434</v>
      </c>
      <c r="AH231" s="3">
        <v>449</v>
      </c>
      <c r="AI231" s="3">
        <v>451</v>
      </c>
      <c r="AJ231" s="3">
        <v>461</v>
      </c>
      <c r="AK231" s="3">
        <v>461</v>
      </c>
      <c r="AL231" s="3">
        <v>460</v>
      </c>
      <c r="AM231" s="3">
        <v>460</v>
      </c>
      <c r="AN231" s="3">
        <v>467</v>
      </c>
      <c r="AO231" s="3">
        <v>463</v>
      </c>
      <c r="AP231" s="3">
        <v>461</v>
      </c>
      <c r="AQ231" s="3">
        <v>445</v>
      </c>
      <c r="AR231" s="4">
        <v>9.888459888459888</v>
      </c>
      <c r="AS231" s="5">
        <f t="shared" si="32"/>
        <v>0.74183976261127604</v>
      </c>
      <c r="AT231" s="5">
        <f t="shared" si="33"/>
        <v>0.37348272642390284</v>
      </c>
      <c r="AU231" s="5">
        <f t="shared" si="34"/>
        <v>1.3550135501355012</v>
      </c>
      <c r="AV231" s="5">
        <f t="shared" si="35"/>
        <v>1.0023866348448687</v>
      </c>
      <c r="AW231" s="5">
        <f t="shared" si="36"/>
        <v>0.55856170361319601</v>
      </c>
      <c r="AX231" s="5">
        <f t="shared" si="37"/>
        <v>1.2466124661246611</v>
      </c>
      <c r="AY231" s="5">
        <f t="shared" si="38"/>
        <v>0.99446627636538609</v>
      </c>
      <c r="AZ231">
        <f t="shared" si="39"/>
        <v>46630000</v>
      </c>
      <c r="BA231">
        <v>0</v>
      </c>
      <c r="BB231">
        <v>280000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5370000</v>
      </c>
      <c r="BN231">
        <v>0</v>
      </c>
      <c r="BO231">
        <v>490000</v>
      </c>
      <c r="BP231">
        <v>20740000</v>
      </c>
      <c r="BQ231">
        <v>3010000</v>
      </c>
      <c r="BR231">
        <v>10840000</v>
      </c>
      <c r="BS231">
        <v>4810000</v>
      </c>
      <c r="BT231">
        <v>0</v>
      </c>
      <c r="BU231">
        <v>0</v>
      </c>
      <c r="BV231">
        <v>0</v>
      </c>
      <c r="BW231">
        <v>280000</v>
      </c>
      <c r="BX231">
        <v>810000</v>
      </c>
      <c r="BY231">
        <v>0</v>
      </c>
      <c r="BZ231">
        <v>0</v>
      </c>
      <c r="CA231">
        <v>0</v>
      </c>
      <c r="CT231">
        <v>0.64336264207591698</v>
      </c>
      <c r="CU231">
        <v>10.122238901994429</v>
      </c>
      <c r="CV231">
        <v>89.234398455929693</v>
      </c>
      <c r="CW231">
        <v>0</v>
      </c>
      <c r="CX231">
        <v>0</v>
      </c>
      <c r="CY231">
        <v>0.64336264207591698</v>
      </c>
      <c r="CZ231">
        <v>12.910143684323401</v>
      </c>
      <c r="DA231">
        <v>86.446493673600699</v>
      </c>
      <c r="DB231">
        <v>0</v>
      </c>
      <c r="DC231">
        <v>0</v>
      </c>
      <c r="DD231">
        <v>0.60047179927085603</v>
      </c>
      <c r="DE231">
        <v>12.567016941882901</v>
      </c>
      <c r="DF231">
        <v>86.832511258846225</v>
      </c>
      <c r="DG231">
        <v>0</v>
      </c>
      <c r="DH231">
        <v>0</v>
      </c>
      <c r="DI231">
        <v>0.60047179927085603</v>
      </c>
      <c r="DJ231">
        <v>12.567016941882901</v>
      </c>
      <c r="DK231">
        <v>86.832511258846225</v>
      </c>
      <c r="DL231">
        <v>0</v>
      </c>
      <c r="DM231">
        <v>0</v>
      </c>
      <c r="DN231">
        <v>0.60047179927085603</v>
      </c>
      <c r="DO231">
        <v>12.567016941882901</v>
      </c>
      <c r="DP231">
        <v>86.832511258846225</v>
      </c>
      <c r="DQ231">
        <v>0</v>
      </c>
      <c r="DR231">
        <v>0</v>
      </c>
      <c r="DS231" t="s">
        <v>768</v>
      </c>
      <c r="DT231" t="s">
        <v>768</v>
      </c>
      <c r="DU231" t="s">
        <v>768</v>
      </c>
      <c r="DV231" t="s">
        <v>768</v>
      </c>
      <c r="DW231" t="s">
        <v>768</v>
      </c>
      <c r="DX231" t="s">
        <v>768</v>
      </c>
      <c r="DY231" t="s">
        <v>768</v>
      </c>
      <c r="DZ231" t="s">
        <v>768</v>
      </c>
      <c r="EA231" t="s">
        <v>768</v>
      </c>
      <c r="EB231" t="s">
        <v>768</v>
      </c>
      <c r="EC231" t="s">
        <v>768</v>
      </c>
      <c r="ED231" t="s">
        <v>751</v>
      </c>
      <c r="EE231" t="s">
        <v>752</v>
      </c>
      <c r="EF231" t="s">
        <v>753</v>
      </c>
      <c r="EG231" t="s">
        <v>754</v>
      </c>
    </row>
    <row r="232" spans="1:137" ht="14.55" customHeight="1" x14ac:dyDescent="0.3">
      <c r="A232" t="s">
        <v>780</v>
      </c>
      <c r="B232">
        <v>1109</v>
      </c>
      <c r="C232" t="s">
        <v>781</v>
      </c>
      <c r="D232" t="s">
        <v>543</v>
      </c>
      <c r="E232" t="s">
        <v>741</v>
      </c>
      <c r="F232" t="s">
        <v>742</v>
      </c>
      <c r="G232" t="s">
        <v>763</v>
      </c>
      <c r="H232" s="3">
        <v>16337846.3224</v>
      </c>
      <c r="I232">
        <v>1629</v>
      </c>
      <c r="J232" s="3">
        <v>1633.7846322400001</v>
      </c>
      <c r="K232">
        <v>320</v>
      </c>
      <c r="L232">
        <v>1606</v>
      </c>
      <c r="M232">
        <v>739.40022721739797</v>
      </c>
      <c r="N232">
        <v>380.60030700597503</v>
      </c>
      <c r="O232">
        <v>0</v>
      </c>
      <c r="P232">
        <v>52.372100830078097</v>
      </c>
      <c r="Q232">
        <v>13.062992095947299</v>
      </c>
      <c r="R232">
        <v>9.2141618728637695</v>
      </c>
      <c r="S232" t="s">
        <v>743</v>
      </c>
      <c r="T232" t="s">
        <v>782</v>
      </c>
      <c r="U232" t="s">
        <v>781</v>
      </c>
      <c r="V232" t="s">
        <v>781</v>
      </c>
      <c r="W232" s="3">
        <v>2219</v>
      </c>
      <c r="X232" s="3">
        <v>16330000</v>
      </c>
      <c r="Y232">
        <v>3</v>
      </c>
      <c r="Z232" s="3">
        <v>926</v>
      </c>
      <c r="AA232" s="3">
        <v>1000</v>
      </c>
      <c r="AB232" s="3">
        <v>1106</v>
      </c>
      <c r="AC232" s="3">
        <v>1221</v>
      </c>
      <c r="AD232" s="3">
        <v>1421</v>
      </c>
      <c r="AE232" s="3">
        <v>1621</v>
      </c>
      <c r="AF232" s="3">
        <v>1821</v>
      </c>
      <c r="AG232" s="3">
        <v>1897</v>
      </c>
      <c r="AH232" s="3">
        <v>1979</v>
      </c>
      <c r="AI232" s="3">
        <v>2046</v>
      </c>
      <c r="AJ232" s="3">
        <v>2104</v>
      </c>
      <c r="AK232" s="3">
        <v>2163</v>
      </c>
      <c r="AL232" s="3">
        <v>2195</v>
      </c>
      <c r="AM232" s="3">
        <v>2223</v>
      </c>
      <c r="AN232" s="3">
        <v>2219</v>
      </c>
      <c r="AO232" s="3">
        <v>2222</v>
      </c>
      <c r="AP232" s="3">
        <v>2226</v>
      </c>
      <c r="AQ232" s="3">
        <v>2249</v>
      </c>
      <c r="AR232" s="4">
        <v>136.313533374158</v>
      </c>
      <c r="AS232" s="5">
        <f t="shared" si="32"/>
        <v>0.99892008639308849</v>
      </c>
      <c r="AT232" s="5">
        <f t="shared" si="33"/>
        <v>1.1777777777777778</v>
      </c>
      <c r="AU232" s="5">
        <f t="shared" si="34"/>
        <v>6.464737793851719</v>
      </c>
      <c r="AV232" s="5">
        <f t="shared" si="35"/>
        <v>2.2240527182866558</v>
      </c>
      <c r="AW232" s="5">
        <f t="shared" si="36"/>
        <v>1.1434379367297676</v>
      </c>
      <c r="AX232" s="5">
        <f t="shared" si="37"/>
        <v>5.0632911392405067</v>
      </c>
      <c r="AY232" s="5">
        <f t="shared" si="38"/>
        <v>3.7942910513104904</v>
      </c>
      <c r="AZ232">
        <f t="shared" si="39"/>
        <v>16300000</v>
      </c>
      <c r="BA232">
        <v>0</v>
      </c>
      <c r="BB232">
        <v>840000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3330000</v>
      </c>
      <c r="BK232">
        <v>0</v>
      </c>
      <c r="BL232">
        <v>0</v>
      </c>
      <c r="BM232">
        <v>1180000</v>
      </c>
      <c r="BN232">
        <v>70000</v>
      </c>
      <c r="BO232">
        <v>170000</v>
      </c>
      <c r="BP232">
        <v>3960000</v>
      </c>
      <c r="BQ232">
        <v>0</v>
      </c>
      <c r="BR232">
        <v>4580000</v>
      </c>
      <c r="BS232">
        <v>920000</v>
      </c>
      <c r="BT232">
        <v>380000</v>
      </c>
      <c r="BU232">
        <v>0</v>
      </c>
      <c r="BV232">
        <v>0</v>
      </c>
      <c r="BW232">
        <v>40000</v>
      </c>
      <c r="BX232">
        <v>0</v>
      </c>
      <c r="BY232">
        <v>550000</v>
      </c>
      <c r="BZ232">
        <v>280000</v>
      </c>
      <c r="CA232">
        <v>0</v>
      </c>
      <c r="CT232">
        <v>2.26993865030675</v>
      </c>
      <c r="CU232">
        <v>32.453987730061279</v>
      </c>
      <c r="CV232">
        <v>59.815950920245385</v>
      </c>
      <c r="CW232">
        <v>3.6196319018404899</v>
      </c>
      <c r="CX232">
        <v>1.8404907975460101</v>
      </c>
      <c r="CY232">
        <v>2.26993865030675</v>
      </c>
      <c r="CZ232">
        <v>32.944785276073603</v>
      </c>
      <c r="DA232">
        <v>59.631901840490784</v>
      </c>
      <c r="DB232">
        <v>3.4355828220858902</v>
      </c>
      <c r="DC232">
        <v>1.71779141104294</v>
      </c>
      <c r="DD232">
        <v>4.2944785276073603</v>
      </c>
      <c r="DE232">
        <v>29.999999999999989</v>
      </c>
      <c r="DF232">
        <v>60.613496932515353</v>
      </c>
      <c r="DG232">
        <v>3.3742331288343599</v>
      </c>
      <c r="DH232">
        <v>1.71779141104294</v>
      </c>
      <c r="DI232">
        <v>5.1533742331288401</v>
      </c>
      <c r="DJ232">
        <v>29.141104294478488</v>
      </c>
      <c r="DK232">
        <v>60.613496932515325</v>
      </c>
      <c r="DL232">
        <v>3.3742331288343599</v>
      </c>
      <c r="DM232">
        <v>1.71779141104294</v>
      </c>
      <c r="DN232">
        <v>5.1533742331288401</v>
      </c>
      <c r="DO232">
        <v>29.141104294478488</v>
      </c>
      <c r="DP232">
        <v>60.613496932515325</v>
      </c>
      <c r="DQ232">
        <v>3.3742331288343599</v>
      </c>
      <c r="DR232">
        <v>1.71779141104294</v>
      </c>
      <c r="DS232" t="s">
        <v>312</v>
      </c>
      <c r="DT232" t="s">
        <v>313</v>
      </c>
      <c r="DU232">
        <v>2230</v>
      </c>
      <c r="DV232" t="s">
        <v>547</v>
      </c>
      <c r="DW232" t="s">
        <v>548</v>
      </c>
      <c r="DX232">
        <v>86</v>
      </c>
      <c r="DY232">
        <v>130</v>
      </c>
      <c r="DZ232">
        <v>216</v>
      </c>
      <c r="EA232">
        <v>606779</v>
      </c>
      <c r="EB232">
        <v>388178</v>
      </c>
      <c r="EC232">
        <v>994957</v>
      </c>
      <c r="ED232" t="s">
        <v>751</v>
      </c>
      <c r="EE232" t="s">
        <v>752</v>
      </c>
      <c r="EF232" t="s">
        <v>753</v>
      </c>
      <c r="EG232" t="s">
        <v>754</v>
      </c>
    </row>
    <row r="233" spans="1:137" ht="14.55" customHeight="1" x14ac:dyDescent="0.3">
      <c r="A233" t="s">
        <v>783</v>
      </c>
      <c r="B233">
        <v>1114</v>
      </c>
      <c r="C233" t="s">
        <v>784</v>
      </c>
      <c r="D233" t="s">
        <v>543</v>
      </c>
      <c r="E233" t="s">
        <v>741</v>
      </c>
      <c r="F233" t="s">
        <v>742</v>
      </c>
      <c r="G233" t="s">
        <v>740</v>
      </c>
      <c r="H233" s="3">
        <v>11299977.786800001</v>
      </c>
      <c r="I233">
        <v>1129</v>
      </c>
      <c r="J233" s="3">
        <v>1129.99777868</v>
      </c>
      <c r="K233">
        <v>372</v>
      </c>
      <c r="L233">
        <v>1610</v>
      </c>
      <c r="M233">
        <v>868.45701888120095</v>
      </c>
      <c r="N233">
        <v>348.517936359158</v>
      </c>
      <c r="O233">
        <v>0</v>
      </c>
      <c r="P233">
        <v>46.345268249511697</v>
      </c>
      <c r="Q233">
        <v>14.1379804611206</v>
      </c>
      <c r="R233">
        <v>8.1844406127929705</v>
      </c>
      <c r="S233" t="s">
        <v>743</v>
      </c>
      <c r="T233" t="s">
        <v>785</v>
      </c>
      <c r="U233" t="s">
        <v>784</v>
      </c>
      <c r="V233" t="s">
        <v>784</v>
      </c>
      <c r="W233" s="3">
        <v>648</v>
      </c>
      <c r="X233" s="3">
        <v>11300000</v>
      </c>
      <c r="Y233">
        <v>3</v>
      </c>
      <c r="Z233" s="3">
        <v>397</v>
      </c>
      <c r="AA233" s="3">
        <v>449</v>
      </c>
      <c r="AB233" s="3">
        <v>499</v>
      </c>
      <c r="AC233" s="3">
        <v>514</v>
      </c>
      <c r="AD233" s="3">
        <v>515</v>
      </c>
      <c r="AE233" s="3">
        <v>513</v>
      </c>
      <c r="AF233" s="3">
        <v>510</v>
      </c>
      <c r="AG233" s="3">
        <v>525</v>
      </c>
      <c r="AH233" s="3">
        <v>539</v>
      </c>
      <c r="AI233" s="3">
        <v>553</v>
      </c>
      <c r="AJ233" s="3">
        <v>556</v>
      </c>
      <c r="AK233" s="3">
        <v>563</v>
      </c>
      <c r="AL233" s="3">
        <v>591</v>
      </c>
      <c r="AM233" s="3">
        <v>620</v>
      </c>
      <c r="AN233" s="3">
        <v>648</v>
      </c>
      <c r="AO233" s="3">
        <v>657</v>
      </c>
      <c r="AP233" s="3">
        <v>667</v>
      </c>
      <c r="AQ233" s="3">
        <v>685</v>
      </c>
      <c r="AR233" s="4">
        <v>59.026548672566371</v>
      </c>
      <c r="AS233" s="5">
        <f t="shared" si="32"/>
        <v>1.6372795969773299</v>
      </c>
      <c r="AT233" s="5">
        <f t="shared" si="33"/>
        <v>1.2373174956693889</v>
      </c>
      <c r="AU233" s="5">
        <f t="shared" si="34"/>
        <v>0.22044088176352708</v>
      </c>
      <c r="AV233" s="5">
        <f t="shared" si="35"/>
        <v>3.0784313725490198</v>
      </c>
      <c r="AW233" s="5">
        <f t="shared" si="36"/>
        <v>1.5113350125944585</v>
      </c>
      <c r="AX233" s="5">
        <f t="shared" si="37"/>
        <v>1.6833667334669338</v>
      </c>
      <c r="AY233" s="5">
        <f t="shared" si="38"/>
        <v>1.8381101504527197</v>
      </c>
      <c r="AZ233">
        <f t="shared" si="39"/>
        <v>11280000</v>
      </c>
      <c r="BA233">
        <v>0</v>
      </c>
      <c r="BB233">
        <v>320000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2590000</v>
      </c>
      <c r="BN233">
        <v>0</v>
      </c>
      <c r="BO233">
        <v>490000</v>
      </c>
      <c r="BP233">
        <v>4300000</v>
      </c>
      <c r="BQ233">
        <v>1860000</v>
      </c>
      <c r="BR233">
        <v>0</v>
      </c>
      <c r="BS233">
        <v>1720000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T233">
        <v>2.6595744680851099</v>
      </c>
      <c r="CU233">
        <v>26.684397163120579</v>
      </c>
      <c r="CV233">
        <v>70.656028368794296</v>
      </c>
      <c r="CW233">
        <v>0</v>
      </c>
      <c r="CX233">
        <v>0</v>
      </c>
      <c r="CY233">
        <v>2.83687943262411</v>
      </c>
      <c r="CZ233">
        <v>27.216312056737568</v>
      </c>
      <c r="DA233">
        <v>69.946808510638306</v>
      </c>
      <c r="DB233">
        <v>0</v>
      </c>
      <c r="DC233">
        <v>0</v>
      </c>
      <c r="DD233">
        <v>2.83687943262411</v>
      </c>
      <c r="DE233">
        <v>27.30496453900707</v>
      </c>
      <c r="DF233">
        <v>69.858156028368796</v>
      </c>
      <c r="DG233">
        <v>0</v>
      </c>
      <c r="DH233">
        <v>0</v>
      </c>
      <c r="DI233">
        <v>2.83687943262411</v>
      </c>
      <c r="DJ233">
        <v>27.30496453900707</v>
      </c>
      <c r="DK233">
        <v>69.858156028368796</v>
      </c>
      <c r="DL233">
        <v>0</v>
      </c>
      <c r="DM233">
        <v>0</v>
      </c>
      <c r="DN233">
        <v>2.83687943262411</v>
      </c>
      <c r="DO233">
        <v>27.30496453900707</v>
      </c>
      <c r="DP233">
        <v>69.858156028368796</v>
      </c>
      <c r="DQ233">
        <v>0</v>
      </c>
      <c r="DR233">
        <v>0</v>
      </c>
      <c r="DS233" t="s">
        <v>768</v>
      </c>
      <c r="DT233" t="s">
        <v>768</v>
      </c>
      <c r="DU233" t="s">
        <v>768</v>
      </c>
      <c r="DV233" t="s">
        <v>768</v>
      </c>
      <c r="DW233" t="s">
        <v>768</v>
      </c>
      <c r="DX233" t="s">
        <v>768</v>
      </c>
      <c r="DY233" t="s">
        <v>768</v>
      </c>
      <c r="DZ233" t="s">
        <v>768</v>
      </c>
      <c r="EA233" t="s">
        <v>768</v>
      </c>
      <c r="EB233" t="s">
        <v>768</v>
      </c>
      <c r="EC233" t="s">
        <v>768</v>
      </c>
      <c r="ED233" t="s">
        <v>751</v>
      </c>
      <c r="EE233" t="s">
        <v>752</v>
      </c>
      <c r="EF233" t="s">
        <v>753</v>
      </c>
      <c r="EG233" t="s">
        <v>754</v>
      </c>
    </row>
    <row r="234" spans="1:137" ht="14.55" customHeight="1" x14ac:dyDescent="0.3">
      <c r="A234" t="s">
        <v>786</v>
      </c>
      <c r="B234">
        <v>1135</v>
      </c>
      <c r="C234" t="s">
        <v>776</v>
      </c>
      <c r="D234" t="s">
        <v>543</v>
      </c>
      <c r="E234" t="s">
        <v>741</v>
      </c>
      <c r="F234" t="s">
        <v>742</v>
      </c>
      <c r="G234" t="s">
        <v>763</v>
      </c>
      <c r="H234" s="3">
        <v>27282241.331099998</v>
      </c>
      <c r="I234">
        <v>2727</v>
      </c>
      <c r="J234" s="3">
        <v>2728.2241331099999</v>
      </c>
      <c r="K234">
        <v>460</v>
      </c>
      <c r="L234">
        <v>1680</v>
      </c>
      <c r="M234">
        <v>1021.44111447608</v>
      </c>
      <c r="N234">
        <v>393.865076580108</v>
      </c>
      <c r="O234">
        <v>0</v>
      </c>
      <c r="P234">
        <v>47.160308837890597</v>
      </c>
      <c r="Q234">
        <v>12.4634656906128</v>
      </c>
      <c r="R234">
        <v>7.2303981781005904</v>
      </c>
      <c r="S234" t="s">
        <v>743</v>
      </c>
      <c r="T234" t="s">
        <v>787</v>
      </c>
      <c r="U234" t="s">
        <v>776</v>
      </c>
      <c r="V234" t="s">
        <v>776</v>
      </c>
      <c r="W234" s="3">
        <v>2138</v>
      </c>
      <c r="X234" s="3">
        <v>27260000</v>
      </c>
      <c r="Y234">
        <v>2</v>
      </c>
      <c r="Z234" s="3">
        <v>961</v>
      </c>
      <c r="AA234" s="3">
        <v>1164</v>
      </c>
      <c r="AB234" s="3">
        <v>1349</v>
      </c>
      <c r="AC234" s="3">
        <v>1673</v>
      </c>
      <c r="AD234" s="3">
        <v>1720</v>
      </c>
      <c r="AE234" s="3">
        <v>1766</v>
      </c>
      <c r="AF234" s="3">
        <v>1839</v>
      </c>
      <c r="AG234" s="3">
        <v>1862</v>
      </c>
      <c r="AH234" s="3">
        <v>1913</v>
      </c>
      <c r="AI234" s="3">
        <v>1964</v>
      </c>
      <c r="AJ234" s="3">
        <v>2015</v>
      </c>
      <c r="AK234" s="3">
        <v>2086</v>
      </c>
      <c r="AL234" s="3">
        <v>2115</v>
      </c>
      <c r="AM234" s="3">
        <v>2126</v>
      </c>
      <c r="AN234" s="3">
        <v>2138</v>
      </c>
      <c r="AO234" s="3">
        <v>2149</v>
      </c>
      <c r="AP234" s="3">
        <v>2171</v>
      </c>
      <c r="AQ234" s="3">
        <v>2288</v>
      </c>
      <c r="AR234" s="4">
        <v>79.640498899486431</v>
      </c>
      <c r="AS234" s="5">
        <f t="shared" si="32"/>
        <v>2.6404786680541101</v>
      </c>
      <c r="AT234" s="5">
        <f t="shared" si="33"/>
        <v>1.7659411989308895</v>
      </c>
      <c r="AU234" s="5">
        <f t="shared" si="34"/>
        <v>3.6323202372127503</v>
      </c>
      <c r="AV234" s="5">
        <f t="shared" si="35"/>
        <v>1.8053289831430126</v>
      </c>
      <c r="AW234" s="5">
        <f t="shared" si="36"/>
        <v>2.3749770459692723</v>
      </c>
      <c r="AX234" s="5">
        <f t="shared" si="37"/>
        <v>3.046701260192735</v>
      </c>
      <c r="AY234" s="5">
        <f t="shared" si="38"/>
        <v>3.4029867536631322</v>
      </c>
      <c r="AZ234">
        <f t="shared" si="39"/>
        <v>27250000</v>
      </c>
      <c r="BA234">
        <v>0</v>
      </c>
      <c r="BB234">
        <v>1570000</v>
      </c>
      <c r="BC234">
        <v>230000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460000</v>
      </c>
      <c r="BJ234">
        <v>2940000</v>
      </c>
      <c r="BK234">
        <v>0</v>
      </c>
      <c r="BL234">
        <v>0</v>
      </c>
      <c r="BM234">
        <v>380000</v>
      </c>
      <c r="BN234">
        <v>120000</v>
      </c>
      <c r="BO234">
        <v>1060000</v>
      </c>
      <c r="BP234">
        <v>4600000</v>
      </c>
      <c r="BQ234">
        <v>6680000</v>
      </c>
      <c r="BR234">
        <v>890000</v>
      </c>
      <c r="BS234">
        <v>8320000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T234">
        <v>6.0572687224669632</v>
      </c>
      <c r="CU234">
        <v>18.538913362701951</v>
      </c>
      <c r="CV234">
        <v>75.403817914831095</v>
      </c>
      <c r="CW234">
        <v>0</v>
      </c>
      <c r="CX234">
        <v>0</v>
      </c>
      <c r="CY234">
        <v>6.2041116005873729</v>
      </c>
      <c r="CZ234">
        <v>18.46549192364175</v>
      </c>
      <c r="DA234">
        <v>75.330396475770897</v>
      </c>
      <c r="DB234">
        <v>0</v>
      </c>
      <c r="DC234">
        <v>0</v>
      </c>
      <c r="DD234">
        <v>8.2966226138032351</v>
      </c>
      <c r="DE234">
        <v>16.51982378854624</v>
      </c>
      <c r="DF234">
        <v>75.183553597650501</v>
      </c>
      <c r="DG234">
        <v>0</v>
      </c>
      <c r="DH234">
        <v>0</v>
      </c>
      <c r="DI234">
        <v>8.2966226138032351</v>
      </c>
      <c r="DJ234">
        <v>16.51982378854624</v>
      </c>
      <c r="DK234">
        <v>75.183553597650501</v>
      </c>
      <c r="DL234">
        <v>0</v>
      </c>
      <c r="DM234">
        <v>0</v>
      </c>
      <c r="DN234">
        <v>8.2966226138032351</v>
      </c>
      <c r="DO234">
        <v>16.51982378854624</v>
      </c>
      <c r="DP234">
        <v>75.183553597650501</v>
      </c>
      <c r="DQ234">
        <v>0</v>
      </c>
      <c r="DR234">
        <v>0</v>
      </c>
      <c r="DS234" t="s">
        <v>312</v>
      </c>
      <c r="DT234" t="s">
        <v>313</v>
      </c>
      <c r="DU234">
        <v>2205</v>
      </c>
      <c r="DV234" t="s">
        <v>547</v>
      </c>
      <c r="DW234" t="s">
        <v>548</v>
      </c>
      <c r="DX234">
        <v>86</v>
      </c>
      <c r="DY234">
        <v>130</v>
      </c>
      <c r="DZ234">
        <v>216</v>
      </c>
      <c r="EA234">
        <v>606779</v>
      </c>
      <c r="EB234">
        <v>388178</v>
      </c>
      <c r="EC234">
        <v>994957</v>
      </c>
      <c r="ED234" t="s">
        <v>775</v>
      </c>
      <c r="EE234" t="s">
        <v>776</v>
      </c>
      <c r="EF234" t="s">
        <v>746</v>
      </c>
      <c r="EG234" t="s">
        <v>747</v>
      </c>
    </row>
    <row r="235" spans="1:137" ht="14.55" customHeight="1" x14ac:dyDescent="0.3">
      <c r="A235" t="s">
        <v>788</v>
      </c>
      <c r="B235">
        <v>1143</v>
      </c>
      <c r="C235" t="s">
        <v>789</v>
      </c>
      <c r="D235" t="s">
        <v>543</v>
      </c>
      <c r="E235" t="s">
        <v>741</v>
      </c>
      <c r="F235" t="s">
        <v>742</v>
      </c>
      <c r="G235" t="s">
        <v>757</v>
      </c>
      <c r="H235" s="3">
        <v>33897354.927199997</v>
      </c>
      <c r="I235">
        <v>3391</v>
      </c>
      <c r="J235" s="3">
        <v>3389.7354927199999</v>
      </c>
      <c r="K235">
        <v>454</v>
      </c>
      <c r="L235">
        <v>1455</v>
      </c>
      <c r="M235">
        <v>813.78648054046698</v>
      </c>
      <c r="N235">
        <v>349.08698098252802</v>
      </c>
      <c r="O235">
        <v>0</v>
      </c>
      <c r="P235">
        <v>44.964645385742202</v>
      </c>
      <c r="Q235">
        <v>9.1027526855468803</v>
      </c>
      <c r="R235">
        <v>7.1844792366027797</v>
      </c>
      <c r="S235" t="s">
        <v>743</v>
      </c>
      <c r="T235" t="s">
        <v>790</v>
      </c>
      <c r="U235" t="s">
        <v>789</v>
      </c>
      <c r="V235" t="s">
        <v>789</v>
      </c>
      <c r="W235" s="3">
        <v>9644</v>
      </c>
      <c r="X235" s="3">
        <v>33900000</v>
      </c>
      <c r="Y235">
        <v>2</v>
      </c>
      <c r="Z235" s="3">
        <v>4783</v>
      </c>
      <c r="AA235" s="3">
        <v>5580</v>
      </c>
      <c r="AB235" s="3">
        <v>6171</v>
      </c>
      <c r="AC235" s="3">
        <v>7400</v>
      </c>
      <c r="AD235" s="3">
        <v>7572</v>
      </c>
      <c r="AE235" s="3">
        <v>7806</v>
      </c>
      <c r="AF235" s="3">
        <v>7926</v>
      </c>
      <c r="AG235" s="3">
        <v>8160</v>
      </c>
      <c r="AH235" s="3">
        <v>8388</v>
      </c>
      <c r="AI235" s="3">
        <v>8615</v>
      </c>
      <c r="AJ235" s="3">
        <v>8762</v>
      </c>
      <c r="AK235" s="3">
        <v>9100</v>
      </c>
      <c r="AL235" s="3">
        <v>9286</v>
      </c>
      <c r="AM235" s="3">
        <v>9465</v>
      </c>
      <c r="AN235" s="3">
        <v>9644</v>
      </c>
      <c r="AO235" s="3">
        <v>9787</v>
      </c>
      <c r="AP235" s="3">
        <v>9951</v>
      </c>
      <c r="AQ235" s="3">
        <v>10137</v>
      </c>
      <c r="AR235" s="4">
        <v>293.53982300884957</v>
      </c>
      <c r="AS235" s="5">
        <f t="shared" si="32"/>
        <v>2.0828977629103074</v>
      </c>
      <c r="AT235" s="5">
        <f t="shared" si="33"/>
        <v>1.1768219832735962</v>
      </c>
      <c r="AU235" s="5">
        <f t="shared" si="34"/>
        <v>2.8439474963539135</v>
      </c>
      <c r="AV235" s="5">
        <f t="shared" si="35"/>
        <v>2.5548826646479941</v>
      </c>
      <c r="AW235" s="5">
        <f t="shared" si="36"/>
        <v>1.7070261096284636</v>
      </c>
      <c r="AX235" s="5">
        <f t="shared" si="37"/>
        <v>3.0627126883811373</v>
      </c>
      <c r="AY235" s="5">
        <f t="shared" si="38"/>
        <v>2.9202524707437942</v>
      </c>
      <c r="AZ235">
        <f t="shared" si="39"/>
        <v>33900000</v>
      </c>
      <c r="BA235">
        <v>0</v>
      </c>
      <c r="BB235">
        <v>4340000</v>
      </c>
      <c r="BC235">
        <v>450000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1620000</v>
      </c>
      <c r="BJ235">
        <v>3630000</v>
      </c>
      <c r="BK235">
        <v>0</v>
      </c>
      <c r="BL235">
        <v>0</v>
      </c>
      <c r="BM235">
        <v>2500000</v>
      </c>
      <c r="BN235">
        <v>730000</v>
      </c>
      <c r="BO235">
        <v>1230000</v>
      </c>
      <c r="BP235">
        <v>6460000</v>
      </c>
      <c r="BQ235">
        <v>5570000</v>
      </c>
      <c r="BR235">
        <v>4990000</v>
      </c>
      <c r="BS235">
        <v>1510000</v>
      </c>
      <c r="BT235">
        <v>0</v>
      </c>
      <c r="BU235">
        <v>10000</v>
      </c>
      <c r="BV235">
        <v>0</v>
      </c>
      <c r="BW235">
        <v>0</v>
      </c>
      <c r="BX235">
        <v>0</v>
      </c>
      <c r="BY235">
        <v>460000</v>
      </c>
      <c r="BZ235">
        <v>0</v>
      </c>
      <c r="CA235">
        <v>400000</v>
      </c>
      <c r="CT235">
        <v>17.079646017699133</v>
      </c>
      <c r="CU235">
        <v>22.74336283185843</v>
      </c>
      <c r="CV235">
        <v>55.221238938053091</v>
      </c>
      <c r="CW235">
        <v>3.7758112094395302</v>
      </c>
      <c r="CX235">
        <v>1.17994100294985</v>
      </c>
      <c r="CY235">
        <v>18.259587020648979</v>
      </c>
      <c r="CZ235">
        <v>24.513274336283189</v>
      </c>
      <c r="DA235">
        <v>55.044247787610594</v>
      </c>
      <c r="DB235">
        <v>1.0029498525073699</v>
      </c>
      <c r="DC235">
        <v>1.17994100294985</v>
      </c>
      <c r="DD235">
        <v>18.731563421828881</v>
      </c>
      <c r="DE235">
        <v>24.100294985250748</v>
      </c>
      <c r="DF235">
        <v>54.660766961651937</v>
      </c>
      <c r="DG235">
        <v>1.3274336283185799</v>
      </c>
      <c r="DH235">
        <v>1.17994100294985</v>
      </c>
      <c r="DI235">
        <v>18.731563421828881</v>
      </c>
      <c r="DJ235">
        <v>24.041297935103259</v>
      </c>
      <c r="DK235">
        <v>54.690265486725643</v>
      </c>
      <c r="DL235">
        <v>1.35693215339233</v>
      </c>
      <c r="DM235">
        <v>1.17994100294985</v>
      </c>
      <c r="DN235">
        <v>18.908554572271381</v>
      </c>
      <c r="DO235">
        <v>23.864306784660759</v>
      </c>
      <c r="DP235">
        <v>54.690265486725643</v>
      </c>
      <c r="DQ235">
        <v>1.35693215339233</v>
      </c>
      <c r="DR235">
        <v>1.17994100294985</v>
      </c>
      <c r="DS235" t="s">
        <v>312</v>
      </c>
      <c r="DT235" t="s">
        <v>313</v>
      </c>
      <c r="DU235">
        <v>9999</v>
      </c>
      <c r="DV235" t="s">
        <v>547</v>
      </c>
      <c r="DW235" t="s">
        <v>548</v>
      </c>
      <c r="DX235">
        <v>86</v>
      </c>
      <c r="DY235">
        <v>130</v>
      </c>
      <c r="DZ235">
        <v>216</v>
      </c>
      <c r="EA235">
        <v>606779</v>
      </c>
      <c r="EB235">
        <v>388178</v>
      </c>
      <c r="EC235">
        <v>994957</v>
      </c>
      <c r="ED235" t="s">
        <v>791</v>
      </c>
      <c r="EE235" t="s">
        <v>792</v>
      </c>
      <c r="EF235" t="s">
        <v>746</v>
      </c>
      <c r="EG235" t="s">
        <v>793</v>
      </c>
    </row>
    <row r="236" spans="1:137" ht="14.55" customHeight="1" x14ac:dyDescent="0.3">
      <c r="A236" t="s">
        <v>794</v>
      </c>
      <c r="B236">
        <v>1153</v>
      </c>
      <c r="C236" t="s">
        <v>795</v>
      </c>
      <c r="D236" t="s">
        <v>543</v>
      </c>
      <c r="E236" t="s">
        <v>741</v>
      </c>
      <c r="F236" t="s">
        <v>742</v>
      </c>
      <c r="G236" t="s">
        <v>763</v>
      </c>
      <c r="H236" s="3">
        <v>16453891.2041</v>
      </c>
      <c r="I236">
        <v>1644</v>
      </c>
      <c r="J236" s="3">
        <v>1645.38912041</v>
      </c>
      <c r="K236">
        <v>488</v>
      </c>
      <c r="L236">
        <v>1695</v>
      </c>
      <c r="M236">
        <v>992.87635034737605</v>
      </c>
      <c r="N236">
        <v>424.49648902827198</v>
      </c>
      <c r="O236">
        <v>0</v>
      </c>
      <c r="P236">
        <v>51.977706909179702</v>
      </c>
      <c r="Q236">
        <v>11.3493299484253</v>
      </c>
      <c r="R236">
        <v>8.0323944091796893</v>
      </c>
      <c r="S236" t="s">
        <v>743</v>
      </c>
      <c r="T236" t="s">
        <v>796</v>
      </c>
      <c r="U236" t="s">
        <v>795</v>
      </c>
      <c r="V236" t="s">
        <v>795</v>
      </c>
      <c r="W236" s="3">
        <v>2132</v>
      </c>
      <c r="X236" s="3">
        <v>16450000</v>
      </c>
      <c r="Y236">
        <v>2</v>
      </c>
      <c r="Z236" s="3">
        <v>643</v>
      </c>
      <c r="AA236" s="3">
        <v>997</v>
      </c>
      <c r="AB236" s="3">
        <v>1197</v>
      </c>
      <c r="AC236" s="3">
        <v>1462</v>
      </c>
      <c r="AD236" s="3">
        <v>1500</v>
      </c>
      <c r="AE236" s="3">
        <v>1538</v>
      </c>
      <c r="AF236" s="3">
        <v>1596</v>
      </c>
      <c r="AG236" s="3">
        <v>1631</v>
      </c>
      <c r="AH236" s="3">
        <v>1722</v>
      </c>
      <c r="AI236" s="3">
        <v>1813</v>
      </c>
      <c r="AJ236" s="3">
        <v>1904</v>
      </c>
      <c r="AK236" s="3">
        <v>2158</v>
      </c>
      <c r="AL236" s="3">
        <v>2212</v>
      </c>
      <c r="AM236" s="3">
        <v>2172</v>
      </c>
      <c r="AN236" s="3">
        <v>2132</v>
      </c>
      <c r="AO236" s="3">
        <v>2092</v>
      </c>
      <c r="AP236" s="3">
        <v>2115</v>
      </c>
      <c r="AQ236" s="3">
        <v>2127</v>
      </c>
      <c r="AR236" s="4">
        <v>128.57142857142858</v>
      </c>
      <c r="AS236" s="5">
        <f t="shared" si="32"/>
        <v>6.8818040435458787</v>
      </c>
      <c r="AT236" s="5">
        <f t="shared" si="33"/>
        <v>2.2289089490694307</v>
      </c>
      <c r="AU236" s="5">
        <f t="shared" si="34"/>
        <v>3.3333333333333335</v>
      </c>
      <c r="AV236" s="5">
        <f t="shared" si="35"/>
        <v>3.2518796992481205</v>
      </c>
      <c r="AW236" s="5">
        <f t="shared" si="36"/>
        <v>5.0681547891318273</v>
      </c>
      <c r="AX236" s="5">
        <f t="shared" si="37"/>
        <v>3.8345864661654137</v>
      </c>
      <c r="AY236" s="5">
        <f t="shared" si="38"/>
        <v>6.1872136522214278</v>
      </c>
      <c r="AZ236">
        <f t="shared" si="39"/>
        <v>16490000</v>
      </c>
      <c r="BA236">
        <v>0</v>
      </c>
      <c r="BB236">
        <v>1480000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580000</v>
      </c>
      <c r="BJ236">
        <v>1270000</v>
      </c>
      <c r="BK236">
        <v>0</v>
      </c>
      <c r="BL236">
        <v>0</v>
      </c>
      <c r="BM236">
        <v>1490000</v>
      </c>
      <c r="BN236">
        <v>550000</v>
      </c>
      <c r="BO236">
        <v>1550000</v>
      </c>
      <c r="BP236">
        <v>70000</v>
      </c>
      <c r="BQ236">
        <v>3450000</v>
      </c>
      <c r="BR236">
        <v>1650000</v>
      </c>
      <c r="BS236">
        <v>4230000</v>
      </c>
      <c r="BT236">
        <v>0</v>
      </c>
      <c r="BU236">
        <v>0</v>
      </c>
      <c r="BV236">
        <v>0</v>
      </c>
      <c r="BW236">
        <v>0</v>
      </c>
      <c r="BX236">
        <v>170000</v>
      </c>
      <c r="BY236">
        <v>0</v>
      </c>
      <c r="BZ236">
        <v>0</v>
      </c>
      <c r="CA236">
        <v>0</v>
      </c>
      <c r="CT236">
        <v>9.2727272727272698</v>
      </c>
      <c r="CU236">
        <v>32.666666666666643</v>
      </c>
      <c r="CV236">
        <v>58.060606060606034</v>
      </c>
      <c r="CW236">
        <v>0</v>
      </c>
      <c r="CX236">
        <v>0</v>
      </c>
      <c r="CY236">
        <v>10.54545454545455</v>
      </c>
      <c r="CZ236">
        <v>31.393939393939341</v>
      </c>
      <c r="DA236">
        <v>58.060606060606034</v>
      </c>
      <c r="DB236">
        <v>0</v>
      </c>
      <c r="DC236">
        <v>0</v>
      </c>
      <c r="DD236">
        <v>11.69696969696969</v>
      </c>
      <c r="DE236">
        <v>30.242424242424221</v>
      </c>
      <c r="DF236">
        <v>58.060606060606034</v>
      </c>
      <c r="DG236">
        <v>0</v>
      </c>
      <c r="DH236">
        <v>0</v>
      </c>
      <c r="DI236">
        <v>12.484848484848481</v>
      </c>
      <c r="DJ236">
        <v>29.454545454545432</v>
      </c>
      <c r="DK236">
        <v>58.060606060606034</v>
      </c>
      <c r="DL236">
        <v>0</v>
      </c>
      <c r="DM236">
        <v>0</v>
      </c>
      <c r="DN236">
        <v>12.484848484848481</v>
      </c>
      <c r="DO236">
        <v>29.454545454545432</v>
      </c>
      <c r="DP236">
        <v>58.060606060606034</v>
      </c>
      <c r="DQ236">
        <v>0</v>
      </c>
      <c r="DR236">
        <v>0</v>
      </c>
      <c r="DS236" t="s">
        <v>312</v>
      </c>
      <c r="DT236" t="s">
        <v>313</v>
      </c>
      <c r="DU236">
        <v>2123</v>
      </c>
      <c r="DV236" t="s">
        <v>547</v>
      </c>
      <c r="DW236" t="s">
        <v>548</v>
      </c>
      <c r="DX236">
        <v>86</v>
      </c>
      <c r="DY236">
        <v>130</v>
      </c>
      <c r="DZ236">
        <v>216</v>
      </c>
      <c r="EA236">
        <v>606779</v>
      </c>
      <c r="EB236">
        <v>388178</v>
      </c>
      <c r="EC236">
        <v>994957</v>
      </c>
      <c r="ED236" t="s">
        <v>797</v>
      </c>
      <c r="EE236" t="s">
        <v>795</v>
      </c>
      <c r="EF236" t="s">
        <v>746</v>
      </c>
      <c r="EG236" t="s">
        <v>793</v>
      </c>
    </row>
    <row r="237" spans="1:137" ht="14.55" customHeight="1" x14ac:dyDescent="0.3">
      <c r="A237" t="s">
        <v>798</v>
      </c>
      <c r="B237">
        <v>1158</v>
      </c>
      <c r="C237" t="s">
        <v>799</v>
      </c>
      <c r="D237" t="s">
        <v>543</v>
      </c>
      <c r="E237" t="s">
        <v>741</v>
      </c>
      <c r="F237" t="s">
        <v>742</v>
      </c>
      <c r="G237" t="s">
        <v>763</v>
      </c>
      <c r="H237" s="3">
        <v>14204456.885199999</v>
      </c>
      <c r="I237">
        <v>1423</v>
      </c>
      <c r="J237" s="3">
        <v>1420.44568852</v>
      </c>
      <c r="K237">
        <v>370</v>
      </c>
      <c r="L237">
        <v>1535</v>
      </c>
      <c r="M237">
        <v>781.47256694970599</v>
      </c>
      <c r="N237">
        <v>350.30916045958901</v>
      </c>
      <c r="O237">
        <v>0</v>
      </c>
      <c r="P237">
        <v>51.676624298095703</v>
      </c>
      <c r="Q237">
        <v>10.777749061584499</v>
      </c>
      <c r="R237">
        <v>6.7976226806640598</v>
      </c>
      <c r="S237" t="s">
        <v>743</v>
      </c>
      <c r="T237" t="s">
        <v>800</v>
      </c>
      <c r="U237" t="s">
        <v>799</v>
      </c>
      <c r="V237" t="s">
        <v>799</v>
      </c>
      <c r="W237" s="3">
        <v>1038</v>
      </c>
      <c r="X237" s="3">
        <v>14200000</v>
      </c>
      <c r="Y237">
        <v>3</v>
      </c>
      <c r="Z237" s="3">
        <v>480</v>
      </c>
      <c r="AA237" s="3">
        <v>559</v>
      </c>
      <c r="AB237" s="3">
        <v>594</v>
      </c>
      <c r="AC237" s="3">
        <v>795</v>
      </c>
      <c r="AD237" s="3">
        <v>825</v>
      </c>
      <c r="AE237" s="3">
        <v>825</v>
      </c>
      <c r="AF237" s="3">
        <v>840</v>
      </c>
      <c r="AG237" s="3">
        <v>854</v>
      </c>
      <c r="AH237" s="3">
        <v>901</v>
      </c>
      <c r="AI237" s="3">
        <v>919</v>
      </c>
      <c r="AJ237" s="3">
        <v>946</v>
      </c>
      <c r="AK237" s="3">
        <v>972</v>
      </c>
      <c r="AL237" s="3">
        <v>999</v>
      </c>
      <c r="AM237" s="3">
        <v>1013</v>
      </c>
      <c r="AN237" s="3">
        <v>1038</v>
      </c>
      <c r="AO237" s="3">
        <v>1043</v>
      </c>
      <c r="AP237" s="3">
        <v>1048</v>
      </c>
      <c r="AQ237" s="3">
        <v>1058</v>
      </c>
      <c r="AR237" s="4">
        <v>73.802816901408448</v>
      </c>
      <c r="AS237" s="5">
        <f t="shared" si="32"/>
        <v>2.0572916666666665</v>
      </c>
      <c r="AT237" s="5">
        <f t="shared" si="33"/>
        <v>0.69568674219837001</v>
      </c>
      <c r="AU237" s="5">
        <f t="shared" si="34"/>
        <v>4.1414141414141419</v>
      </c>
      <c r="AV237" s="5">
        <f t="shared" si="35"/>
        <v>2.4761904761904763</v>
      </c>
      <c r="AW237" s="5">
        <f t="shared" si="36"/>
        <v>1.3970588235294117</v>
      </c>
      <c r="AX237" s="5">
        <f t="shared" si="37"/>
        <v>3.8215488215488218</v>
      </c>
      <c r="AY237" s="5">
        <f t="shared" si="38"/>
        <v>3.198198198198198</v>
      </c>
      <c r="AZ237">
        <f t="shared" si="39"/>
        <v>14240000</v>
      </c>
      <c r="BA237">
        <v>0</v>
      </c>
      <c r="BB237">
        <v>550000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810000</v>
      </c>
      <c r="BK237">
        <v>0</v>
      </c>
      <c r="BL237">
        <v>0</v>
      </c>
      <c r="BM237">
        <v>1690000</v>
      </c>
      <c r="BN237">
        <v>320000</v>
      </c>
      <c r="BO237">
        <v>1730000</v>
      </c>
      <c r="BP237">
        <v>3190000</v>
      </c>
      <c r="BQ237">
        <v>2930000</v>
      </c>
      <c r="BR237">
        <v>2750000</v>
      </c>
      <c r="BS237">
        <v>270000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T237">
        <v>3.1601123595505598</v>
      </c>
      <c r="CU237">
        <v>30.196629213483131</v>
      </c>
      <c r="CV237">
        <v>66.643258426966341</v>
      </c>
      <c r="CW237">
        <v>0</v>
      </c>
      <c r="CX237">
        <v>0</v>
      </c>
      <c r="CY237">
        <v>3.1601123595505598</v>
      </c>
      <c r="CZ237">
        <v>32.654494382022463</v>
      </c>
      <c r="DA237">
        <v>64.185393258426942</v>
      </c>
      <c r="DB237">
        <v>0</v>
      </c>
      <c r="DC237">
        <v>0</v>
      </c>
      <c r="DD237">
        <v>3.3707865168539302</v>
      </c>
      <c r="DE237">
        <v>32.443820224719083</v>
      </c>
      <c r="DF237">
        <v>64.185393258426942</v>
      </c>
      <c r="DG237">
        <v>0</v>
      </c>
      <c r="DH237">
        <v>0</v>
      </c>
      <c r="DI237">
        <v>3.8623595505617998</v>
      </c>
      <c r="DJ237">
        <v>31.95224719101121</v>
      </c>
      <c r="DK237">
        <v>64.185393258426942</v>
      </c>
      <c r="DL237">
        <v>0</v>
      </c>
      <c r="DM237">
        <v>0</v>
      </c>
      <c r="DN237">
        <v>3.8623595505617998</v>
      </c>
      <c r="DO237">
        <v>31.95224719101121</v>
      </c>
      <c r="DP237">
        <v>64.185393258426942</v>
      </c>
      <c r="DQ237">
        <v>0</v>
      </c>
      <c r="DR237">
        <v>0</v>
      </c>
      <c r="DS237" t="s">
        <v>312</v>
      </c>
      <c r="DT237" t="s">
        <v>313</v>
      </c>
      <c r="DU237">
        <v>1053</v>
      </c>
      <c r="DV237" t="s">
        <v>547</v>
      </c>
      <c r="DW237" t="s">
        <v>548</v>
      </c>
      <c r="DX237">
        <v>86</v>
      </c>
      <c r="DY237">
        <v>130</v>
      </c>
      <c r="DZ237">
        <v>216</v>
      </c>
      <c r="EA237">
        <v>606779</v>
      </c>
      <c r="EB237">
        <v>388178</v>
      </c>
      <c r="EC237">
        <v>994957</v>
      </c>
      <c r="ED237" t="s">
        <v>801</v>
      </c>
      <c r="EE237" t="s">
        <v>802</v>
      </c>
      <c r="EF237" t="s">
        <v>746</v>
      </c>
      <c r="EG237" t="s">
        <v>760</v>
      </c>
    </row>
    <row r="238" spans="1:137" ht="14.55" customHeight="1" x14ac:dyDescent="0.3">
      <c r="A238" t="s">
        <v>803</v>
      </c>
      <c r="B238">
        <v>1160</v>
      </c>
      <c r="C238" t="s">
        <v>804</v>
      </c>
      <c r="D238" t="s">
        <v>543</v>
      </c>
      <c r="E238" t="s">
        <v>741</v>
      </c>
      <c r="F238" t="s">
        <v>742</v>
      </c>
      <c r="G238" t="s">
        <v>805</v>
      </c>
      <c r="H238" s="3">
        <v>4787827.4028599998</v>
      </c>
      <c r="I238">
        <v>478</v>
      </c>
      <c r="J238" s="3">
        <v>478.78274027800001</v>
      </c>
      <c r="K238">
        <v>395</v>
      </c>
      <c r="L238">
        <v>453</v>
      </c>
      <c r="M238">
        <v>423.84562275614502</v>
      </c>
      <c r="N238">
        <v>9.7420713642328796</v>
      </c>
      <c r="O238">
        <v>0</v>
      </c>
      <c r="P238">
        <v>23.2830810546875</v>
      </c>
      <c r="Q238">
        <v>4.2300915718078604</v>
      </c>
      <c r="R238">
        <v>2.7730617523193399</v>
      </c>
      <c r="S238" t="s">
        <v>743</v>
      </c>
      <c r="T238" t="s">
        <v>806</v>
      </c>
      <c r="U238" t="s">
        <v>804</v>
      </c>
      <c r="V238" t="s">
        <v>804</v>
      </c>
      <c r="W238" s="3">
        <v>9766</v>
      </c>
      <c r="X238" s="3">
        <v>4790000</v>
      </c>
      <c r="Y238">
        <v>2</v>
      </c>
      <c r="Z238" s="3">
        <v>6399</v>
      </c>
      <c r="AA238" s="3">
        <v>6408</v>
      </c>
      <c r="AB238" s="3">
        <v>7083</v>
      </c>
      <c r="AC238" s="3">
        <v>7661</v>
      </c>
      <c r="AD238" s="3">
        <v>7741</v>
      </c>
      <c r="AE238" s="3">
        <v>7822</v>
      </c>
      <c r="AF238" s="3">
        <v>7965</v>
      </c>
      <c r="AG238" s="3">
        <v>8025</v>
      </c>
      <c r="AH238" s="3">
        <v>8452</v>
      </c>
      <c r="AI238" s="3">
        <v>8844</v>
      </c>
      <c r="AJ238" s="3">
        <v>9236</v>
      </c>
      <c r="AK238" s="3">
        <v>9337</v>
      </c>
      <c r="AL238" s="3">
        <v>9482</v>
      </c>
      <c r="AM238" s="3">
        <v>9637</v>
      </c>
      <c r="AN238" s="3">
        <v>9766</v>
      </c>
      <c r="AO238" s="3">
        <v>9895</v>
      </c>
      <c r="AP238" s="3">
        <v>10026</v>
      </c>
      <c r="AQ238" s="3">
        <v>10920</v>
      </c>
      <c r="AR238" s="4">
        <v>2093.1106471816283</v>
      </c>
      <c r="AS238" s="5">
        <f t="shared" si="32"/>
        <v>1.7580872011251757E-2</v>
      </c>
      <c r="AT238" s="5">
        <f t="shared" si="33"/>
        <v>1.1704119850187265</v>
      </c>
      <c r="AU238" s="5">
        <f t="shared" si="34"/>
        <v>1.2452350698856416</v>
      </c>
      <c r="AV238" s="5">
        <f t="shared" si="35"/>
        <v>2.5875706214689265</v>
      </c>
      <c r="AW238" s="5">
        <f t="shared" si="36"/>
        <v>0.6287747166377099</v>
      </c>
      <c r="AX238" s="5">
        <f t="shared" si="37"/>
        <v>2.0775095298602286</v>
      </c>
      <c r="AY238" s="5">
        <f t="shared" si="38"/>
        <v>1.531911658493937</v>
      </c>
      <c r="AZ238">
        <f t="shared" si="39"/>
        <v>4790000</v>
      </c>
      <c r="BA238">
        <v>0</v>
      </c>
      <c r="BB238">
        <v>1750000</v>
      </c>
      <c r="BC238">
        <v>250000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700000</v>
      </c>
      <c r="BK238">
        <v>0</v>
      </c>
      <c r="BL238">
        <v>0</v>
      </c>
      <c r="BM238">
        <v>800000</v>
      </c>
      <c r="BN238">
        <v>510000</v>
      </c>
      <c r="BO238">
        <v>0</v>
      </c>
      <c r="BP238">
        <v>780000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T238">
        <v>32.56784968684758</v>
      </c>
      <c r="CU238">
        <v>49.478079331941501</v>
      </c>
      <c r="CV238">
        <v>17.118997912317301</v>
      </c>
      <c r="CW238">
        <v>0.83507306889352795</v>
      </c>
      <c r="CX238">
        <v>0</v>
      </c>
      <c r="CY238">
        <v>35.07306889352818</v>
      </c>
      <c r="CZ238">
        <v>47.807933194154494</v>
      </c>
      <c r="DA238">
        <v>16.283924843423801</v>
      </c>
      <c r="DB238">
        <v>0.83507306889352795</v>
      </c>
      <c r="DC238">
        <v>0</v>
      </c>
      <c r="DD238">
        <v>40.709812108559547</v>
      </c>
      <c r="DE238">
        <v>43.006263048016706</v>
      </c>
      <c r="DF238">
        <v>16.283924843423801</v>
      </c>
      <c r="DG238">
        <v>0</v>
      </c>
      <c r="DH238">
        <v>0</v>
      </c>
      <c r="DI238">
        <v>40.709812108559547</v>
      </c>
      <c r="DJ238">
        <v>43.006263048016699</v>
      </c>
      <c r="DK238">
        <v>16.283924843423801</v>
      </c>
      <c r="DL238">
        <v>0</v>
      </c>
      <c r="DM238">
        <v>0</v>
      </c>
      <c r="DN238">
        <v>41.753653444676452</v>
      </c>
      <c r="DO238">
        <v>41.9624217118998</v>
      </c>
      <c r="DP238">
        <v>16.283924843423801</v>
      </c>
      <c r="DQ238">
        <v>0</v>
      </c>
      <c r="DR238">
        <v>0</v>
      </c>
      <c r="DS238" t="s">
        <v>564</v>
      </c>
      <c r="DT238" t="s">
        <v>313</v>
      </c>
      <c r="DU238">
        <v>10612</v>
      </c>
      <c r="DV238" t="s">
        <v>547</v>
      </c>
      <c r="DW238" t="s">
        <v>548</v>
      </c>
      <c r="DX238">
        <v>86</v>
      </c>
      <c r="DY238">
        <v>130</v>
      </c>
      <c r="DZ238">
        <v>216</v>
      </c>
      <c r="EA238">
        <v>606779</v>
      </c>
      <c r="EB238">
        <v>388178</v>
      </c>
      <c r="EC238">
        <v>994957</v>
      </c>
      <c r="ED238" t="s">
        <v>807</v>
      </c>
      <c r="EE238" t="s">
        <v>808</v>
      </c>
      <c r="EF238" t="s">
        <v>746</v>
      </c>
      <c r="EG238" t="s">
        <v>760</v>
      </c>
    </row>
    <row r="239" spans="1:137" ht="14.55" customHeight="1" x14ac:dyDescent="0.3">
      <c r="A239" t="s">
        <v>809</v>
      </c>
      <c r="B239">
        <v>1173</v>
      </c>
      <c r="C239" t="s">
        <v>757</v>
      </c>
      <c r="D239" t="s">
        <v>543</v>
      </c>
      <c r="E239" t="s">
        <v>741</v>
      </c>
      <c r="F239" t="s">
        <v>742</v>
      </c>
      <c r="G239" t="s">
        <v>757</v>
      </c>
      <c r="H239" s="3">
        <v>31953098.568799999</v>
      </c>
      <c r="I239">
        <v>3197</v>
      </c>
      <c r="J239" s="3">
        <v>3195.3098568799996</v>
      </c>
      <c r="K239">
        <v>533</v>
      </c>
      <c r="L239">
        <v>1607</v>
      </c>
      <c r="M239">
        <v>957.21972936680095</v>
      </c>
      <c r="N239">
        <v>306.52350568666901</v>
      </c>
      <c r="O239">
        <v>0</v>
      </c>
      <c r="P239">
        <v>56.237258911132798</v>
      </c>
      <c r="Q239">
        <v>15.577517509460501</v>
      </c>
      <c r="R239">
        <v>10.6715660095215</v>
      </c>
      <c r="S239" t="s">
        <v>743</v>
      </c>
      <c r="T239" t="s">
        <v>810</v>
      </c>
      <c r="U239" t="s">
        <v>757</v>
      </c>
      <c r="V239" t="s">
        <v>757</v>
      </c>
      <c r="W239" s="3">
        <v>13118</v>
      </c>
      <c r="X239" s="3">
        <v>31950000</v>
      </c>
      <c r="Y239">
        <v>2</v>
      </c>
      <c r="Z239" s="3">
        <v>4868</v>
      </c>
      <c r="AA239" s="3">
        <v>6615</v>
      </c>
      <c r="AB239" s="3">
        <v>7733</v>
      </c>
      <c r="AC239" s="3">
        <v>9323</v>
      </c>
      <c r="AD239" s="3">
        <v>9505</v>
      </c>
      <c r="AE239" s="3">
        <v>9694</v>
      </c>
      <c r="AF239" s="3">
        <v>9882</v>
      </c>
      <c r="AG239" s="3">
        <v>10372</v>
      </c>
      <c r="AH239" s="3">
        <v>10446</v>
      </c>
      <c r="AI239" s="3">
        <v>10677</v>
      </c>
      <c r="AJ239" s="3">
        <v>10893</v>
      </c>
      <c r="AK239" s="3">
        <v>11141</v>
      </c>
      <c r="AL239" s="3">
        <v>11687</v>
      </c>
      <c r="AM239" s="3">
        <v>12652</v>
      </c>
      <c r="AN239" s="3">
        <v>13118</v>
      </c>
      <c r="AO239" s="3">
        <v>13093</v>
      </c>
      <c r="AP239" s="3">
        <v>13121</v>
      </c>
      <c r="AQ239" s="3">
        <v>13078</v>
      </c>
      <c r="AR239" s="4">
        <v>410.67292644757435</v>
      </c>
      <c r="AS239" s="5">
        <f t="shared" si="32"/>
        <v>4.4859285127362369</v>
      </c>
      <c r="AT239" s="5">
        <f t="shared" si="33"/>
        <v>1.8778869572520365</v>
      </c>
      <c r="AU239" s="5">
        <f t="shared" si="34"/>
        <v>2.7789990947885683</v>
      </c>
      <c r="AV239" s="5">
        <f t="shared" si="35"/>
        <v>3.2776765836875126</v>
      </c>
      <c r="AW239" s="5">
        <f t="shared" si="36"/>
        <v>3.4619846295132679</v>
      </c>
      <c r="AX239" s="5">
        <f t="shared" si="37"/>
        <v>3.4837708521919044</v>
      </c>
      <c r="AY239" s="5">
        <f t="shared" si="38"/>
        <v>4.5820471251859916</v>
      </c>
      <c r="AZ239">
        <f t="shared" si="39"/>
        <v>31940000</v>
      </c>
      <c r="BA239">
        <v>230000</v>
      </c>
      <c r="BB239">
        <v>3390000</v>
      </c>
      <c r="BC239">
        <v>280000</v>
      </c>
      <c r="BD239">
        <v>0</v>
      </c>
      <c r="BE239">
        <v>0</v>
      </c>
      <c r="BF239">
        <v>0</v>
      </c>
      <c r="BG239">
        <v>380000</v>
      </c>
      <c r="BH239">
        <v>0</v>
      </c>
      <c r="BI239">
        <v>90000</v>
      </c>
      <c r="BJ239">
        <v>260000</v>
      </c>
      <c r="BK239">
        <v>0</v>
      </c>
      <c r="BL239">
        <v>0</v>
      </c>
      <c r="BM239">
        <v>4300000</v>
      </c>
      <c r="BN239">
        <v>900000</v>
      </c>
      <c r="BO239">
        <v>1030000</v>
      </c>
      <c r="BP239">
        <v>1030000</v>
      </c>
      <c r="BQ239">
        <v>9760000</v>
      </c>
      <c r="BR239">
        <v>9090000</v>
      </c>
      <c r="BS239">
        <v>660000</v>
      </c>
      <c r="BT239">
        <v>0</v>
      </c>
      <c r="BU239">
        <v>0</v>
      </c>
      <c r="BV239">
        <v>0</v>
      </c>
      <c r="BW239">
        <v>0</v>
      </c>
      <c r="BX239">
        <v>540000</v>
      </c>
      <c r="BY239">
        <v>0</v>
      </c>
      <c r="BZ239">
        <v>0</v>
      </c>
      <c r="CA239">
        <v>0</v>
      </c>
      <c r="CT239">
        <v>11.7407639323732</v>
      </c>
      <c r="CU239">
        <v>21.446462116468417</v>
      </c>
      <c r="CV239">
        <v>66.81277395115842</v>
      </c>
      <c r="CW239">
        <v>0</v>
      </c>
      <c r="CX239">
        <v>0</v>
      </c>
      <c r="CY239">
        <v>13.337507827175996</v>
      </c>
      <c r="CZ239">
        <v>20.100187852222909</v>
      </c>
      <c r="DA239">
        <v>66.562304320601115</v>
      </c>
      <c r="DB239">
        <v>0</v>
      </c>
      <c r="DC239">
        <v>0</v>
      </c>
      <c r="DD239">
        <v>13.556668753913568</v>
      </c>
      <c r="DE239">
        <v>19.849718221665668</v>
      </c>
      <c r="DF239">
        <v>66.593613024420819</v>
      </c>
      <c r="DG239">
        <v>0</v>
      </c>
      <c r="DH239">
        <v>0</v>
      </c>
      <c r="DI239">
        <v>13.681903569192238</v>
      </c>
      <c r="DJ239">
        <v>20.319348778960549</v>
      </c>
      <c r="DK239">
        <v>65.998747651847225</v>
      </c>
      <c r="DL239">
        <v>0</v>
      </c>
      <c r="DM239">
        <v>0</v>
      </c>
      <c r="DN239">
        <v>13.681903569192238</v>
      </c>
      <c r="DO239">
        <v>20.319348778960549</v>
      </c>
      <c r="DP239">
        <v>65.998747651847225</v>
      </c>
      <c r="DQ239">
        <v>0</v>
      </c>
      <c r="DR239">
        <v>0</v>
      </c>
      <c r="DS239" t="s">
        <v>564</v>
      </c>
      <c r="DT239" t="s">
        <v>313</v>
      </c>
      <c r="DU239">
        <v>13177</v>
      </c>
      <c r="DV239" t="s">
        <v>547</v>
      </c>
      <c r="DW239" t="s">
        <v>548</v>
      </c>
      <c r="DX239">
        <v>86</v>
      </c>
      <c r="DY239">
        <v>130</v>
      </c>
      <c r="DZ239">
        <v>216</v>
      </c>
      <c r="EA239">
        <v>606779</v>
      </c>
      <c r="EB239">
        <v>388178</v>
      </c>
      <c r="EC239">
        <v>994957</v>
      </c>
      <c r="ED239" t="s">
        <v>759</v>
      </c>
      <c r="EE239" t="s">
        <v>757</v>
      </c>
      <c r="EF239" t="s">
        <v>746</v>
      </c>
      <c r="EG239" t="s">
        <v>747</v>
      </c>
    </row>
    <row r="240" spans="1:137" ht="14.55" customHeight="1" x14ac:dyDescent="0.3">
      <c r="A240" t="s">
        <v>811</v>
      </c>
      <c r="B240">
        <v>1174</v>
      </c>
      <c r="C240" t="s">
        <v>812</v>
      </c>
      <c r="D240" t="s">
        <v>543</v>
      </c>
      <c r="E240" t="s">
        <v>741</v>
      </c>
      <c r="F240" t="s">
        <v>742</v>
      </c>
      <c r="G240" t="s">
        <v>740</v>
      </c>
      <c r="H240" s="3">
        <v>9441694.3846799992</v>
      </c>
      <c r="I240">
        <v>943</v>
      </c>
      <c r="J240" s="3">
        <v>944.16943846799995</v>
      </c>
      <c r="K240">
        <v>774</v>
      </c>
      <c r="L240">
        <v>1222</v>
      </c>
      <c r="M240">
        <v>1046.6925718290099</v>
      </c>
      <c r="N240">
        <v>95.001221661681299</v>
      </c>
      <c r="O240">
        <v>0</v>
      </c>
      <c r="P240">
        <v>52.083488464355497</v>
      </c>
      <c r="Q240">
        <v>11.149132728576699</v>
      </c>
      <c r="R240">
        <v>7.23299312591553</v>
      </c>
      <c r="S240" t="s">
        <v>743</v>
      </c>
      <c r="T240" t="s">
        <v>813</v>
      </c>
      <c r="U240" t="s">
        <v>812</v>
      </c>
      <c r="V240" t="s">
        <v>812</v>
      </c>
      <c r="W240" s="3">
        <v>183</v>
      </c>
      <c r="X240" s="3">
        <v>9440000</v>
      </c>
      <c r="Y240">
        <v>3</v>
      </c>
      <c r="Z240" s="3">
        <v>99</v>
      </c>
      <c r="AA240" s="3">
        <v>88</v>
      </c>
      <c r="AB240" s="3">
        <v>100</v>
      </c>
      <c r="AC240" s="3">
        <v>135</v>
      </c>
      <c r="AD240" s="3">
        <v>139</v>
      </c>
      <c r="AE240" s="3">
        <v>147</v>
      </c>
      <c r="AF240" s="3">
        <v>154</v>
      </c>
      <c r="AG240" s="3">
        <v>162</v>
      </c>
      <c r="AH240" s="3">
        <v>166</v>
      </c>
      <c r="AI240" s="3">
        <v>168</v>
      </c>
      <c r="AJ240" s="3">
        <v>172</v>
      </c>
      <c r="AK240" s="3">
        <v>175</v>
      </c>
      <c r="AL240" s="3">
        <v>179</v>
      </c>
      <c r="AM240" s="3">
        <v>180</v>
      </c>
      <c r="AN240" s="3">
        <v>183</v>
      </c>
      <c r="AO240" s="3">
        <v>180</v>
      </c>
      <c r="AP240" s="3">
        <v>178</v>
      </c>
      <c r="AQ240" s="3">
        <v>176</v>
      </c>
      <c r="AR240" s="4">
        <v>18.85593220338983</v>
      </c>
      <c r="AS240" s="5">
        <f t="shared" si="32"/>
        <v>-1.3888888888888888</v>
      </c>
      <c r="AT240" s="5">
        <f t="shared" si="33"/>
        <v>1.5151515151515149</v>
      </c>
      <c r="AU240" s="5">
        <f t="shared" si="34"/>
        <v>5.4</v>
      </c>
      <c r="AV240" s="5">
        <f t="shared" si="35"/>
        <v>1.5584415584415585</v>
      </c>
      <c r="AW240" s="5">
        <f t="shared" si="36"/>
        <v>5.9417706476530011E-2</v>
      </c>
      <c r="AX240" s="5">
        <f t="shared" si="37"/>
        <v>3.9</v>
      </c>
      <c r="AY240" s="5">
        <f t="shared" si="38"/>
        <v>2.1567021567021567</v>
      </c>
      <c r="AZ240">
        <f t="shared" si="39"/>
        <v>9440000</v>
      </c>
      <c r="BA240">
        <v>0</v>
      </c>
      <c r="BB240">
        <v>320000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2050000</v>
      </c>
      <c r="BN240">
        <v>0</v>
      </c>
      <c r="BO240">
        <v>60000</v>
      </c>
      <c r="BP240">
        <v>170000</v>
      </c>
      <c r="BQ240">
        <v>4090000</v>
      </c>
      <c r="BR240">
        <v>2500000</v>
      </c>
      <c r="BS240">
        <v>250000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T240">
        <v>0</v>
      </c>
      <c r="CU240">
        <v>24.57627118644066</v>
      </c>
      <c r="CV240">
        <v>75.42372881355935</v>
      </c>
      <c r="CW240">
        <v>0</v>
      </c>
      <c r="CX240">
        <v>0</v>
      </c>
      <c r="CY240">
        <v>0</v>
      </c>
      <c r="CZ240">
        <v>25.21186440677964</v>
      </c>
      <c r="DA240">
        <v>74.788135593220346</v>
      </c>
      <c r="DB240">
        <v>0</v>
      </c>
      <c r="DC240">
        <v>0</v>
      </c>
      <c r="DD240">
        <v>0</v>
      </c>
      <c r="DE240">
        <v>25.741525423728859</v>
      </c>
      <c r="DF240">
        <v>74.258474576271155</v>
      </c>
      <c r="DG240">
        <v>0</v>
      </c>
      <c r="DH240">
        <v>0</v>
      </c>
      <c r="DI240">
        <v>3.3898305084745801</v>
      </c>
      <c r="DJ240">
        <v>22.351694915254281</v>
      </c>
      <c r="DK240">
        <v>74.258474576271155</v>
      </c>
      <c r="DL240">
        <v>0</v>
      </c>
      <c r="DM240">
        <v>0</v>
      </c>
      <c r="DN240">
        <v>3.3898305084745801</v>
      </c>
      <c r="DO240">
        <v>22.351694915254281</v>
      </c>
      <c r="DP240">
        <v>74.258474576271155</v>
      </c>
      <c r="DQ240">
        <v>0</v>
      </c>
      <c r="DR240">
        <v>0</v>
      </c>
      <c r="DS240" t="s">
        <v>768</v>
      </c>
      <c r="DT240" t="s">
        <v>768</v>
      </c>
      <c r="DU240" t="s">
        <v>768</v>
      </c>
      <c r="DV240" t="s">
        <v>768</v>
      </c>
      <c r="DW240" t="s">
        <v>768</v>
      </c>
      <c r="DX240" t="s">
        <v>768</v>
      </c>
      <c r="DY240" t="s">
        <v>768</v>
      </c>
      <c r="DZ240" t="s">
        <v>768</v>
      </c>
      <c r="EA240" t="s">
        <v>768</v>
      </c>
      <c r="EB240" t="s">
        <v>768</v>
      </c>
      <c r="EC240" t="s">
        <v>768</v>
      </c>
      <c r="ED240" t="s">
        <v>751</v>
      </c>
      <c r="EE240" t="s">
        <v>752</v>
      </c>
      <c r="EF240" t="s">
        <v>753</v>
      </c>
      <c r="EG240" t="s">
        <v>754</v>
      </c>
    </row>
    <row r="241" spans="1:137" ht="14.55" customHeight="1" x14ac:dyDescent="0.3">
      <c r="A241" t="s">
        <v>814</v>
      </c>
      <c r="B241">
        <v>1180</v>
      </c>
      <c r="C241" t="s">
        <v>815</v>
      </c>
      <c r="D241" t="s">
        <v>543</v>
      </c>
      <c r="E241" t="s">
        <v>741</v>
      </c>
      <c r="F241" t="s">
        <v>742</v>
      </c>
      <c r="G241" t="s">
        <v>757</v>
      </c>
      <c r="H241" s="3">
        <v>7517547.5244800001</v>
      </c>
      <c r="I241">
        <v>752</v>
      </c>
      <c r="J241" s="3">
        <v>751.75475250800002</v>
      </c>
      <c r="K241">
        <v>458</v>
      </c>
      <c r="L241">
        <v>753</v>
      </c>
      <c r="M241">
        <v>565.22664557518203</v>
      </c>
      <c r="N241">
        <v>90.222606268470898</v>
      </c>
      <c r="O241">
        <v>0</v>
      </c>
      <c r="P241">
        <v>35.599456787109403</v>
      </c>
      <c r="Q241">
        <v>6.6602649688720703</v>
      </c>
      <c r="R241">
        <v>5.0356287956237802</v>
      </c>
      <c r="S241" t="s">
        <v>743</v>
      </c>
      <c r="T241" t="s">
        <v>816</v>
      </c>
      <c r="U241" t="s">
        <v>815</v>
      </c>
      <c r="V241" t="s">
        <v>815</v>
      </c>
      <c r="W241" s="3">
        <v>833</v>
      </c>
      <c r="X241" s="3">
        <v>7520000</v>
      </c>
      <c r="Y241">
        <v>3</v>
      </c>
      <c r="Z241" s="3">
        <v>520</v>
      </c>
      <c r="AA241" s="3">
        <v>634</v>
      </c>
      <c r="AB241" s="3">
        <v>612</v>
      </c>
      <c r="AC241" s="3">
        <v>675</v>
      </c>
      <c r="AD241" s="3">
        <v>677</v>
      </c>
      <c r="AE241" s="3">
        <v>709</v>
      </c>
      <c r="AF241" s="3">
        <v>736</v>
      </c>
      <c r="AG241" s="3">
        <v>762</v>
      </c>
      <c r="AH241" s="3">
        <v>775</v>
      </c>
      <c r="AI241" s="3">
        <v>779</v>
      </c>
      <c r="AJ241" s="3">
        <v>780</v>
      </c>
      <c r="AK241" s="3">
        <v>786</v>
      </c>
      <c r="AL241" s="3">
        <v>792</v>
      </c>
      <c r="AM241" s="3">
        <v>808</v>
      </c>
      <c r="AN241" s="3">
        <v>833</v>
      </c>
      <c r="AO241" s="3">
        <v>836</v>
      </c>
      <c r="AP241" s="3">
        <v>839</v>
      </c>
      <c r="AQ241" s="3">
        <v>864</v>
      </c>
      <c r="AR241" s="4">
        <v>111.56914893617021</v>
      </c>
      <c r="AS241" s="5">
        <f t="shared" si="32"/>
        <v>2.7403846153846154</v>
      </c>
      <c r="AT241" s="5">
        <f t="shared" si="33"/>
        <v>-0.38555906063792494</v>
      </c>
      <c r="AU241" s="5">
        <f t="shared" si="34"/>
        <v>2.0261437908496731</v>
      </c>
      <c r="AV241" s="5">
        <f t="shared" si="35"/>
        <v>1.3994565217391306</v>
      </c>
      <c r="AW241" s="5">
        <f t="shared" si="36"/>
        <v>1.0407239819004526</v>
      </c>
      <c r="AX241" s="5">
        <f t="shared" si="37"/>
        <v>1.8545751633986929</v>
      </c>
      <c r="AY241" s="5">
        <f t="shared" si="38"/>
        <v>1.658004158004158</v>
      </c>
      <c r="AZ241">
        <f t="shared" si="39"/>
        <v>7490000</v>
      </c>
      <c r="BA241">
        <v>0</v>
      </c>
      <c r="BB241">
        <v>590000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1430000</v>
      </c>
      <c r="BK241">
        <v>0</v>
      </c>
      <c r="BL241">
        <v>0</v>
      </c>
      <c r="BM241">
        <v>2500000</v>
      </c>
      <c r="BN241">
        <v>550000</v>
      </c>
      <c r="BO241">
        <v>420000</v>
      </c>
      <c r="BP241">
        <v>1530000</v>
      </c>
      <c r="BQ241">
        <v>0</v>
      </c>
      <c r="BR241">
        <v>0</v>
      </c>
      <c r="BS241">
        <v>470000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T241">
        <v>6.6755674232309703</v>
      </c>
      <c r="CU241">
        <v>66.755674232309758</v>
      </c>
      <c r="CV241">
        <v>26.568758344459319</v>
      </c>
      <c r="CW241">
        <v>0</v>
      </c>
      <c r="CX241">
        <v>0</v>
      </c>
      <c r="CY241">
        <v>6.8090787716955896</v>
      </c>
      <c r="CZ241">
        <v>66.622162883845107</v>
      </c>
      <c r="DA241">
        <v>26.568758344459319</v>
      </c>
      <c r="DB241">
        <v>0</v>
      </c>
      <c r="DC241">
        <v>0</v>
      </c>
      <c r="DD241">
        <v>7.8771695594125504</v>
      </c>
      <c r="DE241">
        <v>65.4205607476636</v>
      </c>
      <c r="DF241">
        <v>26.70226969292392</v>
      </c>
      <c r="DG241">
        <v>0</v>
      </c>
      <c r="DH241">
        <v>0</v>
      </c>
      <c r="DI241">
        <v>7.8771695594125504</v>
      </c>
      <c r="DJ241">
        <v>65.4205607476636</v>
      </c>
      <c r="DK241">
        <v>26.70226969292392</v>
      </c>
      <c r="DL241">
        <v>0</v>
      </c>
      <c r="DM241">
        <v>0</v>
      </c>
      <c r="DN241">
        <v>7.8771695594125504</v>
      </c>
      <c r="DO241">
        <v>65.4205607476636</v>
      </c>
      <c r="DP241">
        <v>26.70226969292392</v>
      </c>
      <c r="DQ241">
        <v>0</v>
      </c>
      <c r="DR241">
        <v>0</v>
      </c>
      <c r="DS241" t="s">
        <v>312</v>
      </c>
      <c r="DT241" t="s">
        <v>313</v>
      </c>
      <c r="DU241">
        <v>842</v>
      </c>
      <c r="DV241" t="s">
        <v>547</v>
      </c>
      <c r="DW241" t="s">
        <v>548</v>
      </c>
      <c r="DX241">
        <v>86</v>
      </c>
      <c r="DY241">
        <v>130</v>
      </c>
      <c r="DZ241">
        <v>216</v>
      </c>
      <c r="EA241">
        <v>606779</v>
      </c>
      <c r="EB241">
        <v>388178</v>
      </c>
      <c r="EC241">
        <v>994957</v>
      </c>
      <c r="ED241" t="s">
        <v>751</v>
      </c>
      <c r="EE241" t="s">
        <v>752</v>
      </c>
      <c r="EF241" t="s">
        <v>753</v>
      </c>
      <c r="EG241" t="s">
        <v>754</v>
      </c>
    </row>
    <row r="242" spans="1:137" ht="14.55" customHeight="1" x14ac:dyDescent="0.3">
      <c r="A242" t="s">
        <v>817</v>
      </c>
      <c r="B242">
        <v>1189</v>
      </c>
      <c r="C242" t="s">
        <v>818</v>
      </c>
      <c r="D242" t="s">
        <v>543</v>
      </c>
      <c r="E242" t="s">
        <v>741</v>
      </c>
      <c r="F242" t="s">
        <v>742</v>
      </c>
      <c r="G242" t="s">
        <v>740</v>
      </c>
      <c r="H242" s="3">
        <v>29630839.004900001</v>
      </c>
      <c r="I242">
        <v>2962</v>
      </c>
      <c r="J242" s="3">
        <v>2963.0839004899999</v>
      </c>
      <c r="K242">
        <v>277</v>
      </c>
      <c r="L242">
        <v>1355</v>
      </c>
      <c r="M242">
        <v>791.82859383753498</v>
      </c>
      <c r="N242">
        <v>305.91438277582699</v>
      </c>
      <c r="O242">
        <v>0</v>
      </c>
      <c r="P242">
        <v>44.033233642578097</v>
      </c>
      <c r="Q242">
        <v>9.6232843399047905</v>
      </c>
      <c r="R242">
        <v>5.8832759857177699</v>
      </c>
      <c r="S242" t="s">
        <v>743</v>
      </c>
      <c r="T242" t="s">
        <v>819</v>
      </c>
      <c r="U242" t="s">
        <v>818</v>
      </c>
      <c r="V242" t="s">
        <v>818</v>
      </c>
      <c r="W242" s="3">
        <v>1136</v>
      </c>
      <c r="X242" s="3">
        <v>29620000</v>
      </c>
      <c r="Y242">
        <v>3</v>
      </c>
      <c r="Z242" s="3">
        <v>750</v>
      </c>
      <c r="AA242" s="3">
        <v>940</v>
      </c>
      <c r="AB242" s="3">
        <v>970</v>
      </c>
      <c r="AC242" s="3">
        <v>937</v>
      </c>
      <c r="AD242" s="3">
        <v>975</v>
      </c>
      <c r="AE242" s="3">
        <v>1014</v>
      </c>
      <c r="AF242" s="3">
        <v>1052</v>
      </c>
      <c r="AG242" s="3">
        <v>1055</v>
      </c>
      <c r="AH242" s="3">
        <v>1102</v>
      </c>
      <c r="AI242" s="3">
        <v>1117</v>
      </c>
      <c r="AJ242" s="3">
        <v>1130</v>
      </c>
      <c r="AK242" s="3">
        <v>1144</v>
      </c>
      <c r="AL242" s="3">
        <v>1144</v>
      </c>
      <c r="AM242" s="3">
        <v>1147</v>
      </c>
      <c r="AN242" s="3">
        <v>1136</v>
      </c>
      <c r="AO242" s="3">
        <v>1125</v>
      </c>
      <c r="AP242" s="3">
        <v>1115</v>
      </c>
      <c r="AQ242" s="3">
        <v>1123</v>
      </c>
      <c r="AR242" s="4">
        <v>37.643484132343012</v>
      </c>
      <c r="AS242" s="5">
        <f t="shared" si="32"/>
        <v>3.166666666666667</v>
      </c>
      <c r="AT242" s="5">
        <f t="shared" si="33"/>
        <v>0.3546099290780142</v>
      </c>
      <c r="AU242" s="5">
        <f t="shared" si="34"/>
        <v>0.84536082474226815</v>
      </c>
      <c r="AV242" s="5">
        <f t="shared" si="35"/>
        <v>0.59885931558935368</v>
      </c>
      <c r="AW242" s="5">
        <f t="shared" si="36"/>
        <v>1.7254901960784312</v>
      </c>
      <c r="AX242" s="5">
        <f t="shared" si="37"/>
        <v>0.74742268041237103</v>
      </c>
      <c r="AY242" s="5">
        <f t="shared" si="38"/>
        <v>1.3153153153153154</v>
      </c>
      <c r="AZ242">
        <f t="shared" si="39"/>
        <v>29570000</v>
      </c>
      <c r="BA242">
        <v>0</v>
      </c>
      <c r="BB242">
        <v>980000</v>
      </c>
      <c r="BC242">
        <v>320000</v>
      </c>
      <c r="BD242">
        <v>0</v>
      </c>
      <c r="BE242">
        <v>0</v>
      </c>
      <c r="BF242">
        <v>0</v>
      </c>
      <c r="BG242">
        <v>260000</v>
      </c>
      <c r="BH242">
        <v>0</v>
      </c>
      <c r="BI242">
        <v>0</v>
      </c>
      <c r="BJ242">
        <v>350000</v>
      </c>
      <c r="BK242">
        <v>0</v>
      </c>
      <c r="BL242">
        <v>0</v>
      </c>
      <c r="BM242">
        <v>6470000</v>
      </c>
      <c r="BN242">
        <v>910000</v>
      </c>
      <c r="BO242">
        <v>1800000</v>
      </c>
      <c r="BP242">
        <v>13250000</v>
      </c>
      <c r="BQ242">
        <v>750000</v>
      </c>
      <c r="BR242">
        <v>2190000</v>
      </c>
      <c r="BS242">
        <v>2110000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180000</v>
      </c>
      <c r="CA242">
        <v>0</v>
      </c>
      <c r="CT242">
        <v>4.6668921203922871</v>
      </c>
      <c r="CU242">
        <v>31.721339195130142</v>
      </c>
      <c r="CV242">
        <v>63.003043625295966</v>
      </c>
      <c r="CW242">
        <v>0</v>
      </c>
      <c r="CX242">
        <v>0.60872505918160302</v>
      </c>
      <c r="CY242">
        <v>4.6668921203922871</v>
      </c>
      <c r="CZ242">
        <v>32.296246195468377</v>
      </c>
      <c r="DA242">
        <v>62.428136624957766</v>
      </c>
      <c r="DB242">
        <v>0</v>
      </c>
      <c r="DC242">
        <v>0.60872505918160302</v>
      </c>
      <c r="DD242">
        <v>5.1741630030436268</v>
      </c>
      <c r="DE242">
        <v>32.296246195468349</v>
      </c>
      <c r="DF242">
        <v>61.920865742306368</v>
      </c>
      <c r="DG242">
        <v>0</v>
      </c>
      <c r="DH242">
        <v>0.60872505918160302</v>
      </c>
      <c r="DI242">
        <v>5.2756171795738922</v>
      </c>
      <c r="DJ242">
        <v>32.228610077781553</v>
      </c>
      <c r="DK242">
        <v>61.887047683463017</v>
      </c>
      <c r="DL242">
        <v>0</v>
      </c>
      <c r="DM242">
        <v>0.60872505918160302</v>
      </c>
      <c r="DN242">
        <v>5.2756171795738922</v>
      </c>
      <c r="DO242">
        <v>32.228610077781553</v>
      </c>
      <c r="DP242">
        <v>61.887047683463017</v>
      </c>
      <c r="DQ242">
        <v>0</v>
      </c>
      <c r="DR242">
        <v>0.60872505918160302</v>
      </c>
      <c r="DS242" t="s">
        <v>768</v>
      </c>
      <c r="DT242" t="s">
        <v>768</v>
      </c>
      <c r="DU242" t="s">
        <v>768</v>
      </c>
      <c r="DV242" t="s">
        <v>768</v>
      </c>
      <c r="DW242" t="s">
        <v>768</v>
      </c>
      <c r="DX242" t="s">
        <v>768</v>
      </c>
      <c r="DY242" t="s">
        <v>768</v>
      </c>
      <c r="DZ242" t="s">
        <v>768</v>
      </c>
      <c r="EA242" t="s">
        <v>768</v>
      </c>
      <c r="EB242" t="s">
        <v>768</v>
      </c>
      <c r="EC242" t="s">
        <v>768</v>
      </c>
      <c r="ED242" t="s">
        <v>751</v>
      </c>
      <c r="EE242" t="s">
        <v>752</v>
      </c>
      <c r="EF242" t="s">
        <v>753</v>
      </c>
      <c r="EG242" t="s">
        <v>754</v>
      </c>
    </row>
    <row r="243" spans="1:137" ht="14.55" customHeight="1" x14ac:dyDescent="0.3">
      <c r="A243" t="s">
        <v>820</v>
      </c>
      <c r="B243">
        <v>1209</v>
      </c>
      <c r="C243" t="s">
        <v>821</v>
      </c>
      <c r="D243" t="s">
        <v>543</v>
      </c>
      <c r="E243" t="s">
        <v>741</v>
      </c>
      <c r="F243" t="s">
        <v>742</v>
      </c>
      <c r="G243" t="s">
        <v>763</v>
      </c>
      <c r="H243" s="3">
        <v>11430907.682800001</v>
      </c>
      <c r="I243">
        <v>1140</v>
      </c>
      <c r="J243" s="3">
        <v>1143.09076828</v>
      </c>
      <c r="K243">
        <v>312</v>
      </c>
      <c r="L243">
        <v>1513</v>
      </c>
      <c r="M243">
        <v>641.67318630295995</v>
      </c>
      <c r="N243">
        <v>273.228617367124</v>
      </c>
      <c r="O243">
        <v>0</v>
      </c>
      <c r="P243">
        <v>61.384189605712898</v>
      </c>
      <c r="Q243">
        <v>18.632469177246101</v>
      </c>
      <c r="R243">
        <v>12.1240940093994</v>
      </c>
      <c r="S243" t="s">
        <v>743</v>
      </c>
      <c r="T243" t="s">
        <v>822</v>
      </c>
      <c r="U243" t="s">
        <v>821</v>
      </c>
      <c r="V243" t="s">
        <v>821</v>
      </c>
      <c r="W243" s="3">
        <v>739</v>
      </c>
      <c r="X243" s="3">
        <v>11430000</v>
      </c>
      <c r="Y243">
        <v>3</v>
      </c>
      <c r="Z243" s="3">
        <v>482</v>
      </c>
      <c r="AA243" s="3">
        <v>461</v>
      </c>
      <c r="AB243" s="3">
        <v>481</v>
      </c>
      <c r="AC243" s="3">
        <v>502</v>
      </c>
      <c r="AD243" s="3">
        <v>511</v>
      </c>
      <c r="AE243" s="3">
        <v>520</v>
      </c>
      <c r="AF243" s="3">
        <v>529</v>
      </c>
      <c r="AG243" s="3">
        <v>569</v>
      </c>
      <c r="AH243" s="3">
        <v>577</v>
      </c>
      <c r="AI243" s="3">
        <v>614</v>
      </c>
      <c r="AJ243" s="3">
        <v>650</v>
      </c>
      <c r="AK243" s="3">
        <v>687</v>
      </c>
      <c r="AL243" s="3">
        <v>700</v>
      </c>
      <c r="AM243" s="3">
        <v>719</v>
      </c>
      <c r="AN243" s="3">
        <v>739</v>
      </c>
      <c r="AO243" s="3">
        <v>758</v>
      </c>
      <c r="AP243" s="3">
        <v>778</v>
      </c>
      <c r="AQ243" s="3">
        <v>817</v>
      </c>
      <c r="AR243" s="4">
        <v>68.066491688538932</v>
      </c>
      <c r="AS243" s="5">
        <f t="shared" si="32"/>
        <v>-0.54460580912863066</v>
      </c>
      <c r="AT243" s="5">
        <f t="shared" si="33"/>
        <v>0.48204386599180521</v>
      </c>
      <c r="AU243" s="5">
        <f t="shared" si="34"/>
        <v>0.99792099792099798</v>
      </c>
      <c r="AV243" s="5">
        <f t="shared" si="35"/>
        <v>4.7069943289224954</v>
      </c>
      <c r="AW243" s="5">
        <f t="shared" si="36"/>
        <v>-1.22040517451794E-2</v>
      </c>
      <c r="AX243" s="5">
        <f t="shared" si="37"/>
        <v>3.0873180873180872</v>
      </c>
      <c r="AY243" s="5">
        <f t="shared" si="38"/>
        <v>1.6597510373443984</v>
      </c>
      <c r="AZ243">
        <f t="shared" si="39"/>
        <v>11410000</v>
      </c>
      <c r="BA243">
        <v>0</v>
      </c>
      <c r="BB243">
        <v>550000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2280000</v>
      </c>
      <c r="BN243">
        <v>720000</v>
      </c>
      <c r="BO243">
        <v>1100000</v>
      </c>
      <c r="BP243">
        <v>5840000</v>
      </c>
      <c r="BQ243">
        <v>0</v>
      </c>
      <c r="BR243">
        <v>300000</v>
      </c>
      <c r="BS243">
        <v>50000</v>
      </c>
      <c r="BT243">
        <v>0</v>
      </c>
      <c r="BU243">
        <v>0</v>
      </c>
      <c r="BV243">
        <v>0</v>
      </c>
      <c r="BW243">
        <v>220000</v>
      </c>
      <c r="BX243">
        <v>0</v>
      </c>
      <c r="BY243">
        <v>0</v>
      </c>
      <c r="BZ243">
        <v>350000</v>
      </c>
      <c r="CA243">
        <v>0</v>
      </c>
      <c r="CT243">
        <v>0</v>
      </c>
      <c r="CU243">
        <v>39.789658194566208</v>
      </c>
      <c r="CV243">
        <v>57.581069237510938</v>
      </c>
      <c r="CW243">
        <v>0</v>
      </c>
      <c r="CX243">
        <v>2.6292725679228699</v>
      </c>
      <c r="CY243">
        <v>2.1910604732690602</v>
      </c>
      <c r="CZ243">
        <v>38.737949167397005</v>
      </c>
      <c r="DA243">
        <v>56.003505696757237</v>
      </c>
      <c r="DB243">
        <v>0</v>
      </c>
      <c r="DC243">
        <v>3.0674846625766898</v>
      </c>
      <c r="DD243">
        <v>4.8203330411919403</v>
      </c>
      <c r="DE243">
        <v>35.933391761612697</v>
      </c>
      <c r="DF243">
        <v>56.178790534618805</v>
      </c>
      <c r="DG243">
        <v>0</v>
      </c>
      <c r="DH243">
        <v>3.0674846625766898</v>
      </c>
      <c r="DI243">
        <v>4.8203330411919403</v>
      </c>
      <c r="DJ243">
        <v>35.933391761612697</v>
      </c>
      <c r="DK243">
        <v>56.178790534618784</v>
      </c>
      <c r="DL243">
        <v>0</v>
      </c>
      <c r="DM243">
        <v>3.0674846625766898</v>
      </c>
      <c r="DN243">
        <v>4.8203330411919403</v>
      </c>
      <c r="DO243">
        <v>35.933391761612697</v>
      </c>
      <c r="DP243">
        <v>56.178790534618784</v>
      </c>
      <c r="DQ243">
        <v>0</v>
      </c>
      <c r="DR243">
        <v>3.0674846625766898</v>
      </c>
      <c r="DS243" t="s">
        <v>312</v>
      </c>
      <c r="DT243" t="s">
        <v>313</v>
      </c>
      <c r="DU243">
        <v>796</v>
      </c>
      <c r="DV243" t="s">
        <v>547</v>
      </c>
      <c r="DW243" t="s">
        <v>548</v>
      </c>
      <c r="DX243">
        <v>86</v>
      </c>
      <c r="DY243">
        <v>130</v>
      </c>
      <c r="DZ243">
        <v>216</v>
      </c>
      <c r="EA243">
        <v>606779</v>
      </c>
      <c r="EB243">
        <v>388178</v>
      </c>
      <c r="EC243">
        <v>994957</v>
      </c>
      <c r="ED243" t="s">
        <v>751</v>
      </c>
      <c r="EE243" t="s">
        <v>752</v>
      </c>
      <c r="EF243" t="s">
        <v>753</v>
      </c>
      <c r="EG243" t="s">
        <v>754</v>
      </c>
    </row>
    <row r="244" spans="1:137" ht="14.55" customHeight="1" x14ac:dyDescent="0.3">
      <c r="A244" t="s">
        <v>823</v>
      </c>
      <c r="B244">
        <v>1210</v>
      </c>
      <c r="C244" t="s">
        <v>824</v>
      </c>
      <c r="D244" t="s">
        <v>543</v>
      </c>
      <c r="E244" t="s">
        <v>741</v>
      </c>
      <c r="F244" t="s">
        <v>742</v>
      </c>
      <c r="G244" t="s">
        <v>763</v>
      </c>
      <c r="H244" s="3">
        <v>17747298.8649</v>
      </c>
      <c r="I244">
        <v>1774</v>
      </c>
      <c r="J244" s="3">
        <v>1774.7298864900001</v>
      </c>
      <c r="K244">
        <v>743</v>
      </c>
      <c r="L244">
        <v>1730</v>
      </c>
      <c r="M244">
        <v>1144.63925818344</v>
      </c>
      <c r="N244">
        <v>231.915862351295</v>
      </c>
      <c r="O244">
        <v>0</v>
      </c>
      <c r="P244">
        <v>53.727851867675803</v>
      </c>
      <c r="Q244">
        <v>19.165184020996101</v>
      </c>
      <c r="R244">
        <v>9.2579813003540004</v>
      </c>
      <c r="S244" t="s">
        <v>743</v>
      </c>
      <c r="T244" t="s">
        <v>825</v>
      </c>
      <c r="U244" t="s">
        <v>824</v>
      </c>
      <c r="V244" t="s">
        <v>824</v>
      </c>
      <c r="W244" s="3">
        <v>227</v>
      </c>
      <c r="X244" s="3">
        <v>17740000</v>
      </c>
      <c r="Y244">
        <v>3</v>
      </c>
      <c r="Z244" s="3">
        <v>203</v>
      </c>
      <c r="AA244" s="3">
        <v>232</v>
      </c>
      <c r="AB244" s="3">
        <v>221</v>
      </c>
      <c r="AC244" s="3">
        <v>225</v>
      </c>
      <c r="AD244" s="3">
        <v>225</v>
      </c>
      <c r="AE244" s="3">
        <v>225</v>
      </c>
      <c r="AF244" s="3">
        <v>225</v>
      </c>
      <c r="AG244" s="3">
        <v>225</v>
      </c>
      <c r="AH244" s="3">
        <v>227</v>
      </c>
      <c r="AI244" s="3">
        <v>229</v>
      </c>
      <c r="AJ244" s="3">
        <v>231</v>
      </c>
      <c r="AK244" s="3">
        <v>238</v>
      </c>
      <c r="AL244" s="3">
        <v>227</v>
      </c>
      <c r="AM244" s="3">
        <v>225</v>
      </c>
      <c r="AN244" s="3">
        <v>227</v>
      </c>
      <c r="AO244" s="3">
        <v>229</v>
      </c>
      <c r="AP244" s="3">
        <v>228</v>
      </c>
      <c r="AQ244" s="3">
        <v>230</v>
      </c>
      <c r="AR244" s="4">
        <v>12.852311161217587</v>
      </c>
      <c r="AS244" s="5">
        <f t="shared" si="32"/>
        <v>1.7857142857142856</v>
      </c>
      <c r="AT244" s="5">
        <f t="shared" si="33"/>
        <v>-0.5268199233716474</v>
      </c>
      <c r="AU244" s="5">
        <f t="shared" si="34"/>
        <v>0.18099547511312217</v>
      </c>
      <c r="AV244" s="5">
        <f t="shared" si="35"/>
        <v>0.13333333333333336</v>
      </c>
      <c r="AW244" s="5">
        <f t="shared" si="36"/>
        <v>0.52158794552303678</v>
      </c>
      <c r="AX244" s="5">
        <f t="shared" si="37"/>
        <v>0.15837104072398189</v>
      </c>
      <c r="AY244" s="5">
        <f t="shared" si="38"/>
        <v>0.33284516043136736</v>
      </c>
      <c r="AZ244">
        <f t="shared" si="39"/>
        <v>17760000</v>
      </c>
      <c r="BA244">
        <v>0</v>
      </c>
      <c r="BB244">
        <v>360000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1800000</v>
      </c>
      <c r="BN244">
        <v>0</v>
      </c>
      <c r="BO244">
        <v>0</v>
      </c>
      <c r="BP244">
        <v>3430000</v>
      </c>
      <c r="BQ244">
        <v>5600000</v>
      </c>
      <c r="BR244">
        <v>5050000</v>
      </c>
      <c r="BS244">
        <v>1520000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T244">
        <v>1.97072072072072</v>
      </c>
      <c r="CU244">
        <v>10.1914414414414</v>
      </c>
      <c r="CV244">
        <v>87.837837837837867</v>
      </c>
      <c r="CW244">
        <v>0</v>
      </c>
      <c r="CX244">
        <v>0</v>
      </c>
      <c r="CY244">
        <v>1.97072072072072</v>
      </c>
      <c r="CZ244">
        <v>10.1914414414414</v>
      </c>
      <c r="DA244">
        <v>87.837837837837867</v>
      </c>
      <c r="DB244">
        <v>0</v>
      </c>
      <c r="DC244">
        <v>0</v>
      </c>
      <c r="DD244">
        <v>2.0270270270270299</v>
      </c>
      <c r="DE244">
        <v>10.1351351351351</v>
      </c>
      <c r="DF244">
        <v>87.837837837837853</v>
      </c>
      <c r="DG244">
        <v>0</v>
      </c>
      <c r="DH244">
        <v>0</v>
      </c>
      <c r="DI244">
        <v>2.0270270270270299</v>
      </c>
      <c r="DJ244">
        <v>10.1351351351351</v>
      </c>
      <c r="DK244">
        <v>87.837837837837853</v>
      </c>
      <c r="DL244">
        <v>0</v>
      </c>
      <c r="DM244">
        <v>0</v>
      </c>
      <c r="DN244">
        <v>2.0270270270270299</v>
      </c>
      <c r="DO244">
        <v>10.1351351351351</v>
      </c>
      <c r="DP244">
        <v>87.837837837837853</v>
      </c>
      <c r="DQ244">
        <v>0</v>
      </c>
      <c r="DR244">
        <v>0</v>
      </c>
      <c r="DS244" t="s">
        <v>768</v>
      </c>
      <c r="DT244" t="s">
        <v>768</v>
      </c>
      <c r="DU244" t="s">
        <v>768</v>
      </c>
      <c r="DV244" t="s">
        <v>768</v>
      </c>
      <c r="DW244" t="s">
        <v>768</v>
      </c>
      <c r="DX244" t="s">
        <v>768</v>
      </c>
      <c r="DY244" t="s">
        <v>768</v>
      </c>
      <c r="DZ244" t="s">
        <v>768</v>
      </c>
      <c r="EA244" t="s">
        <v>768</v>
      </c>
      <c r="EB244" t="s">
        <v>768</v>
      </c>
      <c r="EC244" t="s">
        <v>768</v>
      </c>
      <c r="ED244" t="s">
        <v>751</v>
      </c>
      <c r="EE244" t="s">
        <v>752</v>
      </c>
      <c r="EF244" t="s">
        <v>753</v>
      </c>
      <c r="EG244" t="s">
        <v>754</v>
      </c>
    </row>
    <row r="245" spans="1:137" ht="14.55" customHeight="1" x14ac:dyDescent="0.3">
      <c r="A245" t="s">
        <v>826</v>
      </c>
      <c r="B245">
        <v>1215</v>
      </c>
      <c r="C245" t="s">
        <v>827</v>
      </c>
      <c r="D245" t="s">
        <v>543</v>
      </c>
      <c r="E245" t="s">
        <v>741</v>
      </c>
      <c r="F245" t="s">
        <v>742</v>
      </c>
      <c r="G245" t="s">
        <v>740</v>
      </c>
      <c r="H245" s="3">
        <v>8055014.0782899996</v>
      </c>
      <c r="I245">
        <v>800</v>
      </c>
      <c r="J245" s="3">
        <v>805.50140782799997</v>
      </c>
      <c r="K245">
        <v>250</v>
      </c>
      <c r="L245">
        <v>1173</v>
      </c>
      <c r="M245">
        <v>537.48831833567203</v>
      </c>
      <c r="N245">
        <v>239.251615060229</v>
      </c>
      <c r="O245">
        <v>0</v>
      </c>
      <c r="P245">
        <v>36.356712341308601</v>
      </c>
      <c r="Q245">
        <v>9.4508857727050799</v>
      </c>
      <c r="R245">
        <v>5.4630928039550799</v>
      </c>
      <c r="S245" t="s">
        <v>743</v>
      </c>
      <c r="T245" t="s">
        <v>828</v>
      </c>
      <c r="U245" t="s">
        <v>827</v>
      </c>
      <c r="V245" t="s">
        <v>827</v>
      </c>
      <c r="W245" s="3">
        <v>131</v>
      </c>
      <c r="X245" s="3">
        <v>8050000</v>
      </c>
      <c r="Y245">
        <v>3</v>
      </c>
      <c r="Z245" s="3">
        <v>96</v>
      </c>
      <c r="AA245" s="3">
        <v>123</v>
      </c>
      <c r="AB245" s="3">
        <v>118</v>
      </c>
      <c r="AC245" s="3">
        <v>129</v>
      </c>
      <c r="AD245" s="3">
        <v>131</v>
      </c>
      <c r="AE245" s="3">
        <v>132</v>
      </c>
      <c r="AF245" s="3">
        <v>132</v>
      </c>
      <c r="AG245" s="3">
        <v>137</v>
      </c>
      <c r="AH245" s="3">
        <v>133</v>
      </c>
      <c r="AI245" s="3">
        <v>128</v>
      </c>
      <c r="AJ245" s="3">
        <v>124</v>
      </c>
      <c r="AK245" s="3">
        <v>122</v>
      </c>
      <c r="AL245" s="3">
        <v>119</v>
      </c>
      <c r="AM245" s="3">
        <v>126</v>
      </c>
      <c r="AN245" s="3">
        <v>131</v>
      </c>
      <c r="AO245" s="3">
        <v>137</v>
      </c>
      <c r="AP245" s="3">
        <v>140</v>
      </c>
      <c r="AQ245" s="3">
        <v>141</v>
      </c>
      <c r="AR245" s="4">
        <v>17.391304347826086</v>
      </c>
      <c r="AS245" s="5">
        <f t="shared" si="32"/>
        <v>3.515625</v>
      </c>
      <c r="AT245" s="5">
        <f t="shared" si="33"/>
        <v>-0.45167118337850043</v>
      </c>
      <c r="AU245" s="5">
        <f t="shared" si="34"/>
        <v>1.1864406779661016</v>
      </c>
      <c r="AV245" s="5">
        <f t="shared" si="35"/>
        <v>0.60606060606060608</v>
      </c>
      <c r="AW245" s="5">
        <f t="shared" si="36"/>
        <v>1.3480392156862744</v>
      </c>
      <c r="AX245" s="5">
        <f t="shared" si="37"/>
        <v>0.93220338983050854</v>
      </c>
      <c r="AY245" s="5">
        <f t="shared" si="38"/>
        <v>1.2387387387387387</v>
      </c>
      <c r="AZ245">
        <f t="shared" si="39"/>
        <v>8040000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2140000</v>
      </c>
      <c r="BN245">
        <v>640000</v>
      </c>
      <c r="BO245">
        <v>0</v>
      </c>
      <c r="BP245">
        <v>1960000</v>
      </c>
      <c r="BQ245">
        <v>280000</v>
      </c>
      <c r="BR245">
        <v>1890000</v>
      </c>
      <c r="BS245">
        <v>460000</v>
      </c>
      <c r="BT245">
        <v>0</v>
      </c>
      <c r="BU245">
        <v>480000</v>
      </c>
      <c r="BV245">
        <v>0</v>
      </c>
      <c r="BW245">
        <v>0</v>
      </c>
      <c r="BX245">
        <v>0</v>
      </c>
      <c r="BY245">
        <v>0</v>
      </c>
      <c r="BZ245">
        <v>190000</v>
      </c>
      <c r="CA245">
        <v>0</v>
      </c>
      <c r="CT245">
        <v>0</v>
      </c>
      <c r="CU245">
        <v>34.079601990049767</v>
      </c>
      <c r="CV245">
        <v>63.557213930348297</v>
      </c>
      <c r="CW245">
        <v>0</v>
      </c>
      <c r="CX245">
        <v>2.3631840796019898</v>
      </c>
      <c r="CY245">
        <v>0</v>
      </c>
      <c r="CZ245">
        <v>34.079601990049767</v>
      </c>
      <c r="DA245">
        <v>63.557213930348297</v>
      </c>
      <c r="DB245">
        <v>0</v>
      </c>
      <c r="DC245">
        <v>2.3631840796019898</v>
      </c>
      <c r="DD245">
        <v>0</v>
      </c>
      <c r="DE245">
        <v>35.323383084577131</v>
      </c>
      <c r="DF245">
        <v>62.313432835820898</v>
      </c>
      <c r="DG245">
        <v>0</v>
      </c>
      <c r="DH245">
        <v>2.3631840796019898</v>
      </c>
      <c r="DI245">
        <v>0</v>
      </c>
      <c r="DJ245">
        <v>34.577114427860728</v>
      </c>
      <c r="DK245">
        <v>63.0597014925373</v>
      </c>
      <c r="DL245">
        <v>0</v>
      </c>
      <c r="DM245">
        <v>2.3631840796019898</v>
      </c>
      <c r="DN245">
        <v>0</v>
      </c>
      <c r="DO245">
        <v>34.577114427860728</v>
      </c>
      <c r="DP245">
        <v>63.0597014925373</v>
      </c>
      <c r="DQ245">
        <v>0</v>
      </c>
      <c r="DR245">
        <v>2.3631840796019898</v>
      </c>
      <c r="DS245" t="s">
        <v>768</v>
      </c>
      <c r="DT245" t="s">
        <v>768</v>
      </c>
      <c r="DU245" t="s">
        <v>768</v>
      </c>
      <c r="DV245" t="s">
        <v>768</v>
      </c>
      <c r="DW245" t="s">
        <v>768</v>
      </c>
      <c r="DX245" t="s">
        <v>768</v>
      </c>
      <c r="DY245" t="s">
        <v>768</v>
      </c>
      <c r="DZ245" t="s">
        <v>768</v>
      </c>
      <c r="EA245" t="s">
        <v>768</v>
      </c>
      <c r="EB245" t="s">
        <v>768</v>
      </c>
      <c r="EC245" t="s">
        <v>768</v>
      </c>
      <c r="ED245" t="s">
        <v>751</v>
      </c>
      <c r="EE245" t="s">
        <v>752</v>
      </c>
      <c r="EF245" t="s">
        <v>753</v>
      </c>
      <c r="EG245" t="s">
        <v>754</v>
      </c>
    </row>
    <row r="246" spans="1:137" ht="14.55" customHeight="1" x14ac:dyDescent="0.3">
      <c r="A246" t="s">
        <v>829</v>
      </c>
      <c r="B246">
        <v>1247</v>
      </c>
      <c r="C246" t="s">
        <v>830</v>
      </c>
      <c r="D246" t="s">
        <v>543</v>
      </c>
      <c r="E246" t="s">
        <v>741</v>
      </c>
      <c r="F246" t="s">
        <v>742</v>
      </c>
      <c r="G246" t="s">
        <v>763</v>
      </c>
      <c r="H246" s="3">
        <v>22061814.651299998</v>
      </c>
      <c r="I246">
        <v>2205</v>
      </c>
      <c r="J246" s="3">
        <v>2206.1814651299997</v>
      </c>
      <c r="K246">
        <v>859</v>
      </c>
      <c r="L246">
        <v>1607</v>
      </c>
      <c r="M246">
        <v>1205.33243558668</v>
      </c>
      <c r="N246">
        <v>179.883088216685</v>
      </c>
      <c r="O246">
        <v>0</v>
      </c>
      <c r="P246">
        <v>60.418849945068402</v>
      </c>
      <c r="Q246">
        <v>14.265723228454601</v>
      </c>
      <c r="R246">
        <v>9.6104602813720703</v>
      </c>
      <c r="S246" t="s">
        <v>743</v>
      </c>
      <c r="T246" t="s">
        <v>831</v>
      </c>
      <c r="U246" t="s">
        <v>830</v>
      </c>
      <c r="V246" t="s">
        <v>830</v>
      </c>
      <c r="W246" s="3">
        <v>341</v>
      </c>
      <c r="X246" s="3">
        <v>22060000</v>
      </c>
      <c r="Y246">
        <v>3</v>
      </c>
      <c r="Z246" s="3">
        <v>200</v>
      </c>
      <c r="AA246" s="3">
        <v>258</v>
      </c>
      <c r="AB246" s="3">
        <v>312</v>
      </c>
      <c r="AC246" s="3">
        <v>376</v>
      </c>
      <c r="AD246" s="3">
        <v>384</v>
      </c>
      <c r="AE246" s="3">
        <v>380</v>
      </c>
      <c r="AF246" s="3">
        <v>380</v>
      </c>
      <c r="AG246" s="3">
        <v>379</v>
      </c>
      <c r="AH246" s="3">
        <v>377</v>
      </c>
      <c r="AI246" s="3">
        <v>374</v>
      </c>
      <c r="AJ246" s="3">
        <v>360</v>
      </c>
      <c r="AK246" s="3">
        <v>348</v>
      </c>
      <c r="AL246" s="3">
        <v>336</v>
      </c>
      <c r="AM246" s="3">
        <v>340</v>
      </c>
      <c r="AN246" s="3">
        <v>341</v>
      </c>
      <c r="AO246" s="3">
        <v>325</v>
      </c>
      <c r="AP246" s="3">
        <v>312</v>
      </c>
      <c r="AQ246" s="3">
        <v>297</v>
      </c>
      <c r="AR246" s="4">
        <v>14.14324569356301</v>
      </c>
      <c r="AS246" s="5">
        <f t="shared" si="32"/>
        <v>3.6249999999999996</v>
      </c>
      <c r="AT246" s="5">
        <f t="shared" si="33"/>
        <v>2.3255813953488373</v>
      </c>
      <c r="AU246" s="5">
        <f t="shared" si="34"/>
        <v>2.1794871794871793</v>
      </c>
      <c r="AV246" s="5">
        <f t="shared" si="35"/>
        <v>-1.7894736842105261</v>
      </c>
      <c r="AW246" s="5">
        <f t="shared" si="36"/>
        <v>3.2941176470588238</v>
      </c>
      <c r="AX246" s="5">
        <f t="shared" si="37"/>
        <v>0</v>
      </c>
      <c r="AY246" s="5">
        <f t="shared" si="38"/>
        <v>1.5135135135135136</v>
      </c>
      <c r="AZ246">
        <f t="shared" si="39"/>
        <v>22070000</v>
      </c>
      <c r="BA246">
        <v>0</v>
      </c>
      <c r="BB246">
        <v>240000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640000</v>
      </c>
      <c r="BJ246">
        <v>0</v>
      </c>
      <c r="BK246">
        <v>0</v>
      </c>
      <c r="BL246">
        <v>0</v>
      </c>
      <c r="BM246">
        <v>3440000</v>
      </c>
      <c r="BN246">
        <v>310000</v>
      </c>
      <c r="BO246">
        <v>0</v>
      </c>
      <c r="BP246">
        <v>100000</v>
      </c>
      <c r="BQ246">
        <v>14380000</v>
      </c>
      <c r="BR246">
        <v>920000</v>
      </c>
      <c r="BS246">
        <v>2040000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T246">
        <v>3.6248300860897098</v>
      </c>
      <c r="CU246">
        <v>18.124150430448601</v>
      </c>
      <c r="CV246">
        <v>78.25101948346169</v>
      </c>
      <c r="CW246">
        <v>0</v>
      </c>
      <c r="CX246">
        <v>0</v>
      </c>
      <c r="CY246">
        <v>4.0326234707747997</v>
      </c>
      <c r="CZ246">
        <v>18.124150430448559</v>
      </c>
      <c r="DA246">
        <v>77.843226098776597</v>
      </c>
      <c r="DB246">
        <v>0</v>
      </c>
      <c r="DC246">
        <v>0</v>
      </c>
      <c r="DD246">
        <v>3.9873130946986803</v>
      </c>
      <c r="DE246">
        <v>18.124150430448559</v>
      </c>
      <c r="DF246">
        <v>77.888536474852771</v>
      </c>
      <c r="DG246">
        <v>0</v>
      </c>
      <c r="DH246">
        <v>0</v>
      </c>
      <c r="DI246">
        <v>3.9873130946986803</v>
      </c>
      <c r="DJ246">
        <v>16.991391028545561</v>
      </c>
      <c r="DK246">
        <v>79.021295876755772</v>
      </c>
      <c r="DL246">
        <v>0</v>
      </c>
      <c r="DM246">
        <v>0</v>
      </c>
      <c r="DN246">
        <v>3.9873130946986803</v>
      </c>
      <c r="DO246">
        <v>16.991391028545561</v>
      </c>
      <c r="DP246">
        <v>79.021295876755772</v>
      </c>
      <c r="DQ246">
        <v>0</v>
      </c>
      <c r="DR246">
        <v>0</v>
      </c>
      <c r="DS246" t="s">
        <v>768</v>
      </c>
      <c r="DT246" t="s">
        <v>768</v>
      </c>
      <c r="DU246" t="s">
        <v>768</v>
      </c>
      <c r="DV246" t="s">
        <v>768</v>
      </c>
      <c r="DW246" t="s">
        <v>768</v>
      </c>
      <c r="DX246" t="s">
        <v>768</v>
      </c>
      <c r="DY246" t="s">
        <v>768</v>
      </c>
      <c r="DZ246" t="s">
        <v>768</v>
      </c>
      <c r="EA246" t="s">
        <v>768</v>
      </c>
      <c r="EB246" t="s">
        <v>768</v>
      </c>
      <c r="EC246" t="s">
        <v>768</v>
      </c>
      <c r="ED246" t="s">
        <v>751</v>
      </c>
      <c r="EE246" t="s">
        <v>752</v>
      </c>
      <c r="EF246" t="s">
        <v>753</v>
      </c>
      <c r="EG246" t="s">
        <v>754</v>
      </c>
    </row>
    <row r="247" spans="1:137" ht="14.55" customHeight="1" x14ac:dyDescent="0.3">
      <c r="A247" t="s">
        <v>832</v>
      </c>
      <c r="B247">
        <v>1257</v>
      </c>
      <c r="C247" t="s">
        <v>833</v>
      </c>
      <c r="D247" t="s">
        <v>543</v>
      </c>
      <c r="E247" t="s">
        <v>741</v>
      </c>
      <c r="F247" t="s">
        <v>742</v>
      </c>
      <c r="G247" t="s">
        <v>740</v>
      </c>
      <c r="H247" s="3">
        <v>13685965.635500001</v>
      </c>
      <c r="I247">
        <v>1364</v>
      </c>
      <c r="J247" s="3">
        <v>1368.5965635500002</v>
      </c>
      <c r="K247">
        <v>381</v>
      </c>
      <c r="L247">
        <v>1093</v>
      </c>
      <c r="M247">
        <v>724.21655773420503</v>
      </c>
      <c r="N247">
        <v>170.95389919316401</v>
      </c>
      <c r="O247">
        <v>0</v>
      </c>
      <c r="P247">
        <v>54.874046325683601</v>
      </c>
      <c r="Q247">
        <v>16.379148483276399</v>
      </c>
      <c r="R247">
        <v>9.6165056228637695</v>
      </c>
      <c r="S247" t="s">
        <v>743</v>
      </c>
      <c r="T247" t="s">
        <v>834</v>
      </c>
      <c r="U247" t="s">
        <v>833</v>
      </c>
      <c r="V247" t="s">
        <v>833</v>
      </c>
      <c r="W247" s="3">
        <v>344</v>
      </c>
      <c r="X247" s="3">
        <v>13680000</v>
      </c>
      <c r="Y247">
        <v>3</v>
      </c>
      <c r="Z247" s="3">
        <v>191</v>
      </c>
      <c r="AA247" s="3">
        <v>248</v>
      </c>
      <c r="AB247" s="3">
        <v>282</v>
      </c>
      <c r="AC247" s="3">
        <v>330</v>
      </c>
      <c r="AD247" s="3">
        <v>331</v>
      </c>
      <c r="AE247" s="3">
        <v>331</v>
      </c>
      <c r="AF247" s="3">
        <v>332</v>
      </c>
      <c r="AG247" s="3">
        <v>330</v>
      </c>
      <c r="AH247" s="3">
        <v>327</v>
      </c>
      <c r="AI247" s="3">
        <v>333</v>
      </c>
      <c r="AJ247" s="3">
        <v>338</v>
      </c>
      <c r="AK247" s="3">
        <v>343</v>
      </c>
      <c r="AL247" s="3">
        <v>344</v>
      </c>
      <c r="AM247" s="3">
        <v>341</v>
      </c>
      <c r="AN247" s="3">
        <v>344</v>
      </c>
      <c r="AO247" s="3">
        <v>348</v>
      </c>
      <c r="AP247" s="3">
        <v>351</v>
      </c>
      <c r="AQ247" s="3">
        <v>350</v>
      </c>
      <c r="AR247" s="4">
        <v>25.657894736842106</v>
      </c>
      <c r="AS247" s="5">
        <f t="shared" si="32"/>
        <v>3.7303664921465964</v>
      </c>
      <c r="AT247" s="5">
        <f t="shared" si="33"/>
        <v>1.5232974910394264</v>
      </c>
      <c r="AU247" s="5">
        <f t="shared" si="34"/>
        <v>1.773049645390071</v>
      </c>
      <c r="AV247" s="5">
        <f t="shared" si="35"/>
        <v>0.57228915662650603</v>
      </c>
      <c r="AW247" s="5">
        <f t="shared" si="36"/>
        <v>2.8025870033877425</v>
      </c>
      <c r="AX247" s="5">
        <f t="shared" si="37"/>
        <v>1.2234042553191489</v>
      </c>
      <c r="AY247" s="5">
        <f t="shared" si="38"/>
        <v>2.2640441488609029</v>
      </c>
      <c r="AZ247">
        <f t="shared" si="39"/>
        <v>13670000</v>
      </c>
      <c r="BA247">
        <v>0</v>
      </c>
      <c r="BB247">
        <v>330000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2510000</v>
      </c>
      <c r="BN247">
        <v>0</v>
      </c>
      <c r="BO247">
        <v>280000</v>
      </c>
      <c r="BP247">
        <v>6610000</v>
      </c>
      <c r="BQ247">
        <v>900000</v>
      </c>
      <c r="BR247">
        <v>2370000</v>
      </c>
      <c r="BS247">
        <v>670000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T247">
        <v>2.3408924652523799</v>
      </c>
      <c r="CU247">
        <v>19.312362838332131</v>
      </c>
      <c r="CV247">
        <v>78.346744696415527</v>
      </c>
      <c r="CW247">
        <v>0</v>
      </c>
      <c r="CX247">
        <v>0</v>
      </c>
      <c r="CY247">
        <v>2.3408924652523799</v>
      </c>
      <c r="CZ247">
        <v>19.89758595464523</v>
      </c>
      <c r="DA247">
        <v>77.761521580102425</v>
      </c>
      <c r="DB247">
        <v>0</v>
      </c>
      <c r="DC247">
        <v>0</v>
      </c>
      <c r="DD247">
        <v>2.4140453547915102</v>
      </c>
      <c r="DE247">
        <v>20.40965618141913</v>
      </c>
      <c r="DF247">
        <v>77.176298463789365</v>
      </c>
      <c r="DG247">
        <v>0</v>
      </c>
      <c r="DH247">
        <v>0</v>
      </c>
      <c r="DI247">
        <v>2.4140453547915102</v>
      </c>
      <c r="DJ247">
        <v>20.40965618141913</v>
      </c>
      <c r="DK247">
        <v>77.176298463789365</v>
      </c>
      <c r="DL247">
        <v>0</v>
      </c>
      <c r="DM247">
        <v>0</v>
      </c>
      <c r="DN247">
        <v>2.4140453547915102</v>
      </c>
      <c r="DO247">
        <v>20.40965618141913</v>
      </c>
      <c r="DP247">
        <v>77.176298463789365</v>
      </c>
      <c r="DQ247">
        <v>0</v>
      </c>
      <c r="DR247">
        <v>0</v>
      </c>
      <c r="DS247" t="s">
        <v>768</v>
      </c>
      <c r="DT247" t="s">
        <v>768</v>
      </c>
      <c r="DU247" t="s">
        <v>768</v>
      </c>
      <c r="DV247" t="s">
        <v>768</v>
      </c>
      <c r="DW247" t="s">
        <v>768</v>
      </c>
      <c r="DX247" t="s">
        <v>768</v>
      </c>
      <c r="DY247" t="s">
        <v>768</v>
      </c>
      <c r="DZ247" t="s">
        <v>768</v>
      </c>
      <c r="EA247" t="s">
        <v>768</v>
      </c>
      <c r="EB247" t="s">
        <v>768</v>
      </c>
      <c r="EC247" t="s">
        <v>768</v>
      </c>
      <c r="ED247" t="s">
        <v>751</v>
      </c>
      <c r="EE247" t="s">
        <v>752</v>
      </c>
      <c r="EF247" t="s">
        <v>753</v>
      </c>
      <c r="EG247" t="s">
        <v>754</v>
      </c>
    </row>
    <row r="248" spans="1:137" ht="14.55" customHeight="1" x14ac:dyDescent="0.3">
      <c r="A248" t="s">
        <v>835</v>
      </c>
      <c r="B248">
        <v>1281</v>
      </c>
      <c r="C248" t="s">
        <v>836</v>
      </c>
      <c r="D248" t="s">
        <v>543</v>
      </c>
      <c r="E248" t="s">
        <v>741</v>
      </c>
      <c r="F248" t="s">
        <v>742</v>
      </c>
      <c r="G248" t="s">
        <v>805</v>
      </c>
      <c r="H248" s="3">
        <v>5688845.6118299998</v>
      </c>
      <c r="I248">
        <v>564</v>
      </c>
      <c r="J248" s="3">
        <v>568.88456111199991</v>
      </c>
      <c r="K248">
        <v>425</v>
      </c>
      <c r="L248">
        <v>503</v>
      </c>
      <c r="M248">
        <v>469.84682484298702</v>
      </c>
      <c r="N248">
        <v>15.212594668797699</v>
      </c>
      <c r="O248">
        <v>0</v>
      </c>
      <c r="P248">
        <v>18.714218139648398</v>
      </c>
      <c r="Q248">
        <v>3.7477610111236599</v>
      </c>
      <c r="R248">
        <v>2.3133640289306601</v>
      </c>
      <c r="S248" t="s">
        <v>743</v>
      </c>
      <c r="T248" t="s">
        <v>837</v>
      </c>
      <c r="U248" t="s">
        <v>836</v>
      </c>
      <c r="V248" t="s">
        <v>836</v>
      </c>
      <c r="W248" s="3">
        <v>4410</v>
      </c>
      <c r="X248" s="3">
        <v>5690000</v>
      </c>
      <c r="Y248">
        <v>2</v>
      </c>
      <c r="Z248" s="3">
        <v>1065</v>
      </c>
      <c r="AA248" s="3">
        <v>2263</v>
      </c>
      <c r="AB248" s="3">
        <v>2663</v>
      </c>
      <c r="AC248" s="3">
        <v>3053</v>
      </c>
      <c r="AD248" s="3">
        <v>3108</v>
      </c>
      <c r="AE248" s="3">
        <v>3163</v>
      </c>
      <c r="AF248" s="3">
        <v>3344</v>
      </c>
      <c r="AG248" s="3">
        <v>3531</v>
      </c>
      <c r="AH248" s="3">
        <v>3779</v>
      </c>
      <c r="AI248" s="3">
        <v>4027</v>
      </c>
      <c r="AJ248" s="3">
        <v>4276</v>
      </c>
      <c r="AK248" s="3">
        <v>4303</v>
      </c>
      <c r="AL248" s="3">
        <v>4390</v>
      </c>
      <c r="AM248" s="3">
        <v>4400</v>
      </c>
      <c r="AN248" s="3">
        <v>4410</v>
      </c>
      <c r="AO248" s="3">
        <v>4419</v>
      </c>
      <c r="AP248" s="3">
        <v>4483</v>
      </c>
      <c r="AQ248" s="3">
        <v>4690</v>
      </c>
      <c r="AR248" s="4">
        <v>787.87346221441123</v>
      </c>
      <c r="AS248" s="5">
        <f t="shared" si="32"/>
        <v>14.061032863849764</v>
      </c>
      <c r="AT248" s="5">
        <f t="shared" si="33"/>
        <v>1.9639613099621935</v>
      </c>
      <c r="AU248" s="5">
        <f t="shared" si="34"/>
        <v>2.557266241081487</v>
      </c>
      <c r="AV248" s="5">
        <f t="shared" si="35"/>
        <v>3.4061004784689</v>
      </c>
      <c r="AW248" s="5">
        <f t="shared" si="36"/>
        <v>8.8262910798122061</v>
      </c>
      <c r="AX248" s="5">
        <f t="shared" si="37"/>
        <v>3.417198648141194</v>
      </c>
      <c r="AY248" s="5">
        <f t="shared" si="38"/>
        <v>8.6740261388148703</v>
      </c>
      <c r="AZ248">
        <f t="shared" si="39"/>
        <v>5660000</v>
      </c>
      <c r="BA248">
        <v>0</v>
      </c>
      <c r="BB248">
        <v>1730000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2130000</v>
      </c>
      <c r="BK248">
        <v>30000</v>
      </c>
      <c r="BL248">
        <v>0</v>
      </c>
      <c r="BM248">
        <v>370000</v>
      </c>
      <c r="BN248">
        <v>330000</v>
      </c>
      <c r="BO248">
        <v>310000</v>
      </c>
      <c r="BP248">
        <v>760000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T248">
        <v>23.4982332155477</v>
      </c>
      <c r="CU248">
        <v>62.897526501766841</v>
      </c>
      <c r="CV248">
        <v>13.604240282685501</v>
      </c>
      <c r="CW248">
        <v>0</v>
      </c>
      <c r="CX248">
        <v>0</v>
      </c>
      <c r="CY248">
        <v>25.795053003533599</v>
      </c>
      <c r="CZ248">
        <v>60.600706713780845</v>
      </c>
      <c r="DA248">
        <v>13.604240282685501</v>
      </c>
      <c r="DB248">
        <v>0</v>
      </c>
      <c r="DC248">
        <v>0</v>
      </c>
      <c r="DD248">
        <v>29.3286219081272</v>
      </c>
      <c r="DE248">
        <v>57.243816254416942</v>
      </c>
      <c r="DF248">
        <v>13.4275618374558</v>
      </c>
      <c r="DG248">
        <v>0</v>
      </c>
      <c r="DH248">
        <v>0</v>
      </c>
      <c r="DI248">
        <v>30.565371024735001</v>
      </c>
      <c r="DJ248">
        <v>56.007067137809173</v>
      </c>
      <c r="DK248">
        <v>13.4275618374558</v>
      </c>
      <c r="DL248">
        <v>0</v>
      </c>
      <c r="DM248">
        <v>0</v>
      </c>
      <c r="DN248">
        <v>30.565371024735001</v>
      </c>
      <c r="DO248">
        <v>56.007067137809173</v>
      </c>
      <c r="DP248">
        <v>13.4275618374558</v>
      </c>
      <c r="DQ248">
        <v>0</v>
      </c>
      <c r="DR248">
        <v>0</v>
      </c>
      <c r="DS248" t="s">
        <v>312</v>
      </c>
      <c r="DT248" t="s">
        <v>313</v>
      </c>
      <c r="DU248">
        <v>4591</v>
      </c>
      <c r="DV248" t="s">
        <v>547</v>
      </c>
      <c r="DW248" t="s">
        <v>548</v>
      </c>
      <c r="DX248">
        <v>86</v>
      </c>
      <c r="DY248">
        <v>130</v>
      </c>
      <c r="DZ248">
        <v>216</v>
      </c>
      <c r="EA248">
        <v>606779</v>
      </c>
      <c r="EB248">
        <v>388178</v>
      </c>
      <c r="EC248">
        <v>994957</v>
      </c>
      <c r="ED248" t="s">
        <v>807</v>
      </c>
      <c r="EE248" t="s">
        <v>808</v>
      </c>
      <c r="EF248" t="s">
        <v>746</v>
      </c>
      <c r="EG248" t="s">
        <v>760</v>
      </c>
    </row>
    <row r="249" spans="1:137" ht="14.55" customHeight="1" x14ac:dyDescent="0.3">
      <c r="A249" t="s">
        <v>838</v>
      </c>
      <c r="B249">
        <v>1288</v>
      </c>
      <c r="C249" t="s">
        <v>802</v>
      </c>
      <c r="D249" t="s">
        <v>543</v>
      </c>
      <c r="E249" t="s">
        <v>741</v>
      </c>
      <c r="F249" t="s">
        <v>742</v>
      </c>
      <c r="G249" t="s">
        <v>763</v>
      </c>
      <c r="H249" s="3">
        <v>25999913.475099999</v>
      </c>
      <c r="I249">
        <v>2596</v>
      </c>
      <c r="J249" s="3">
        <v>2599.9913475099997</v>
      </c>
      <c r="K249">
        <v>417</v>
      </c>
      <c r="L249">
        <v>1507</v>
      </c>
      <c r="M249">
        <v>756.77518214704196</v>
      </c>
      <c r="N249">
        <v>321.77438667879699</v>
      </c>
      <c r="O249">
        <v>0</v>
      </c>
      <c r="P249">
        <v>41.526542663574197</v>
      </c>
      <c r="Q249">
        <v>10.3213109970093</v>
      </c>
      <c r="R249">
        <v>7.2368965148925799</v>
      </c>
      <c r="S249" t="s">
        <v>743</v>
      </c>
      <c r="T249" t="s">
        <v>839</v>
      </c>
      <c r="U249" t="s">
        <v>802</v>
      </c>
      <c r="V249" t="s">
        <v>802</v>
      </c>
      <c r="W249" s="3">
        <v>2620</v>
      </c>
      <c r="X249" s="3">
        <v>26000000</v>
      </c>
      <c r="Y249">
        <v>3</v>
      </c>
      <c r="Z249" s="3">
        <v>1005</v>
      </c>
      <c r="AA249" s="3">
        <v>1202</v>
      </c>
      <c r="AB249" s="3">
        <v>1579</v>
      </c>
      <c r="AC249" s="3">
        <v>1843</v>
      </c>
      <c r="AD249" s="3">
        <v>1905</v>
      </c>
      <c r="AE249" s="3">
        <v>1930</v>
      </c>
      <c r="AF249" s="3">
        <v>2032</v>
      </c>
      <c r="AG249" s="3">
        <v>2143</v>
      </c>
      <c r="AH249" s="3">
        <v>2254</v>
      </c>
      <c r="AI249" s="3">
        <v>2324</v>
      </c>
      <c r="AJ249" s="3">
        <v>2437</v>
      </c>
      <c r="AK249" s="3">
        <v>2489</v>
      </c>
      <c r="AL249" s="3">
        <v>2537</v>
      </c>
      <c r="AM249" s="3">
        <v>2584</v>
      </c>
      <c r="AN249" s="3">
        <v>2620</v>
      </c>
      <c r="AO249" s="3">
        <v>2701</v>
      </c>
      <c r="AP249" s="3">
        <v>2717</v>
      </c>
      <c r="AQ249" s="3">
        <v>2838</v>
      </c>
      <c r="AR249" s="4">
        <v>104.5</v>
      </c>
      <c r="AS249" s="5">
        <f t="shared" si="32"/>
        <v>2.4502487562189055</v>
      </c>
      <c r="AT249" s="5">
        <f t="shared" si="33"/>
        <v>3.4849325198742833</v>
      </c>
      <c r="AU249" s="5">
        <f t="shared" si="34"/>
        <v>2.8689043698543379</v>
      </c>
      <c r="AV249" s="5">
        <f t="shared" si="35"/>
        <v>3.3710629921259847</v>
      </c>
      <c r="AW249" s="5">
        <f t="shared" si="36"/>
        <v>3.3596722270997947</v>
      </c>
      <c r="AX249" s="5">
        <f t="shared" si="37"/>
        <v>3.6035465484483851</v>
      </c>
      <c r="AY249" s="5">
        <f t="shared" si="38"/>
        <v>4.6040069920666937</v>
      </c>
      <c r="AZ249">
        <f t="shared" si="39"/>
        <v>25970000</v>
      </c>
      <c r="BA249">
        <v>0</v>
      </c>
      <c r="BB249">
        <v>1480000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5290000</v>
      </c>
      <c r="BK249">
        <v>0</v>
      </c>
      <c r="BL249">
        <v>0</v>
      </c>
      <c r="BM249">
        <v>2080000</v>
      </c>
      <c r="BN249">
        <v>750000</v>
      </c>
      <c r="BO249">
        <v>1830000</v>
      </c>
      <c r="BP249">
        <v>7010000</v>
      </c>
      <c r="BQ249">
        <v>930000</v>
      </c>
      <c r="BR249">
        <v>6410000</v>
      </c>
      <c r="BS249">
        <v>190000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T249">
        <v>4.4666923373122804</v>
      </c>
      <c r="CU249">
        <v>36.311128224874885</v>
      </c>
      <c r="CV249">
        <v>59.222179437812834</v>
      </c>
      <c r="CW249">
        <v>0</v>
      </c>
      <c r="CX249">
        <v>0</v>
      </c>
      <c r="CY249">
        <v>4.4666923373122804</v>
      </c>
      <c r="CZ249">
        <v>39.468617635733558</v>
      </c>
      <c r="DA249">
        <v>56.06469002695421</v>
      </c>
      <c r="DB249">
        <v>0</v>
      </c>
      <c r="DC249">
        <v>0</v>
      </c>
      <c r="DD249">
        <v>5.3908355795148299</v>
      </c>
      <c r="DE249">
        <v>38.621486330381209</v>
      </c>
      <c r="DF249">
        <v>55.987678090104012</v>
      </c>
      <c r="DG249">
        <v>0</v>
      </c>
      <c r="DH249">
        <v>0</v>
      </c>
      <c r="DI249">
        <v>5.69888332691567</v>
      </c>
      <c r="DJ249">
        <v>38.313438582980353</v>
      </c>
      <c r="DK249">
        <v>55.987678090104012</v>
      </c>
      <c r="DL249">
        <v>0</v>
      </c>
      <c r="DM249">
        <v>0</v>
      </c>
      <c r="DN249">
        <v>5.69888332691567</v>
      </c>
      <c r="DO249">
        <v>38.313438582980353</v>
      </c>
      <c r="DP249">
        <v>55.987678090104012</v>
      </c>
      <c r="DQ249">
        <v>0</v>
      </c>
      <c r="DR249">
        <v>0</v>
      </c>
      <c r="DS249" t="s">
        <v>312</v>
      </c>
      <c r="DT249" t="s">
        <v>313</v>
      </c>
      <c r="DU249">
        <v>2777</v>
      </c>
      <c r="DV249" t="s">
        <v>547</v>
      </c>
      <c r="DW249" t="s">
        <v>548</v>
      </c>
      <c r="DX249">
        <v>86</v>
      </c>
      <c r="DY249">
        <v>130</v>
      </c>
      <c r="DZ249">
        <v>216</v>
      </c>
      <c r="EA249">
        <v>606779</v>
      </c>
      <c r="EB249">
        <v>388178</v>
      </c>
      <c r="EC249">
        <v>994957</v>
      </c>
      <c r="ED249" t="s">
        <v>801</v>
      </c>
      <c r="EE249" t="s">
        <v>802</v>
      </c>
      <c r="EF249" t="s">
        <v>746</v>
      </c>
      <c r="EG249" t="s">
        <v>747</v>
      </c>
    </row>
    <row r="250" spans="1:137" ht="14.55" customHeight="1" x14ac:dyDescent="0.3">
      <c r="A250" t="s">
        <v>840</v>
      </c>
      <c r="B250">
        <v>1298</v>
      </c>
      <c r="C250" t="s">
        <v>841</v>
      </c>
      <c r="D250" t="s">
        <v>543</v>
      </c>
      <c r="E250" t="s">
        <v>741</v>
      </c>
      <c r="F250" t="s">
        <v>742</v>
      </c>
      <c r="G250" t="s">
        <v>740</v>
      </c>
      <c r="H250" s="3">
        <v>6058001.0169700002</v>
      </c>
      <c r="I250">
        <v>605</v>
      </c>
      <c r="J250" s="3">
        <v>605.80010169700006</v>
      </c>
      <c r="K250">
        <v>572</v>
      </c>
      <c r="L250">
        <v>958</v>
      </c>
      <c r="M250">
        <v>801.17151607963206</v>
      </c>
      <c r="N250">
        <v>69.078246198615403</v>
      </c>
      <c r="O250">
        <v>0</v>
      </c>
      <c r="P250">
        <v>37.687232971191399</v>
      </c>
      <c r="Q250">
        <v>9.8285293579101598</v>
      </c>
      <c r="R250">
        <v>5.6521139144897496</v>
      </c>
      <c r="S250" t="s">
        <v>743</v>
      </c>
      <c r="T250" t="s">
        <v>842</v>
      </c>
      <c r="U250" t="s">
        <v>841</v>
      </c>
      <c r="V250" t="s">
        <v>841</v>
      </c>
      <c r="W250" s="3">
        <v>132</v>
      </c>
      <c r="X250" s="3">
        <v>6060000</v>
      </c>
      <c r="Y250">
        <v>3</v>
      </c>
      <c r="Z250" s="3">
        <v>61</v>
      </c>
      <c r="AA250" s="3">
        <v>73</v>
      </c>
      <c r="AB250" s="3">
        <v>83</v>
      </c>
      <c r="AC250" s="3">
        <v>78</v>
      </c>
      <c r="AD250" s="3">
        <v>94</v>
      </c>
      <c r="AE250" s="3">
        <v>109</v>
      </c>
      <c r="AF250" s="3">
        <v>125</v>
      </c>
      <c r="AG250" s="3">
        <v>129</v>
      </c>
      <c r="AH250" s="3">
        <v>139</v>
      </c>
      <c r="AI250" s="3">
        <v>134</v>
      </c>
      <c r="AJ250" s="3">
        <v>128</v>
      </c>
      <c r="AK250" s="3">
        <v>123</v>
      </c>
      <c r="AL250" s="3">
        <v>124</v>
      </c>
      <c r="AM250" s="3">
        <v>123</v>
      </c>
      <c r="AN250" s="3">
        <v>132</v>
      </c>
      <c r="AO250" s="3">
        <v>141</v>
      </c>
      <c r="AP250" s="3">
        <v>150</v>
      </c>
      <c r="AQ250" s="3">
        <v>161</v>
      </c>
      <c r="AR250" s="4">
        <v>24.752475247524753</v>
      </c>
      <c r="AS250" s="5">
        <f t="shared" si="32"/>
        <v>2.459016393442623</v>
      </c>
      <c r="AT250" s="5">
        <f t="shared" si="33"/>
        <v>1.5220700152207001</v>
      </c>
      <c r="AU250" s="5">
        <f t="shared" si="34"/>
        <v>5.0602409638554207</v>
      </c>
      <c r="AV250" s="5">
        <f t="shared" si="35"/>
        <v>2</v>
      </c>
      <c r="AW250" s="5">
        <f t="shared" si="36"/>
        <v>2.1215043394406945</v>
      </c>
      <c r="AX250" s="5">
        <f t="shared" si="37"/>
        <v>4.0361445783132535</v>
      </c>
      <c r="AY250" s="5">
        <f t="shared" si="38"/>
        <v>3.9432875498449276</v>
      </c>
      <c r="AZ250">
        <f t="shared" si="39"/>
        <v>6050000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1450000</v>
      </c>
      <c r="BN250">
        <v>0</v>
      </c>
      <c r="BO250">
        <v>300000</v>
      </c>
      <c r="BP250">
        <v>2310000</v>
      </c>
      <c r="BQ250">
        <v>0</v>
      </c>
      <c r="BR250">
        <v>1990000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T250">
        <v>0</v>
      </c>
      <c r="CU250">
        <v>22.479338842975199</v>
      </c>
      <c r="CV250">
        <v>77.520661157024705</v>
      </c>
      <c r="CW250">
        <v>0</v>
      </c>
      <c r="CX250">
        <v>0</v>
      </c>
      <c r="CY250">
        <v>0</v>
      </c>
      <c r="CZ250">
        <v>22.479338842975199</v>
      </c>
      <c r="DA250">
        <v>77.520661157024705</v>
      </c>
      <c r="DB250">
        <v>0</v>
      </c>
      <c r="DC250">
        <v>0</v>
      </c>
      <c r="DD250">
        <v>0</v>
      </c>
      <c r="DE250">
        <v>23.9669421487603</v>
      </c>
      <c r="DF250">
        <v>76.033057851239704</v>
      </c>
      <c r="DG250">
        <v>0</v>
      </c>
      <c r="DH250">
        <v>0</v>
      </c>
      <c r="DI250">
        <v>0</v>
      </c>
      <c r="DJ250">
        <v>28.925619834710709</v>
      </c>
      <c r="DK250">
        <v>71.074380165289298</v>
      </c>
      <c r="DL250">
        <v>0</v>
      </c>
      <c r="DM250">
        <v>0</v>
      </c>
      <c r="DN250">
        <v>0</v>
      </c>
      <c r="DO250">
        <v>28.925619834710709</v>
      </c>
      <c r="DP250">
        <v>71.074380165289298</v>
      </c>
      <c r="DQ250">
        <v>0</v>
      </c>
      <c r="DR250">
        <v>0</v>
      </c>
      <c r="DS250" t="s">
        <v>768</v>
      </c>
      <c r="DT250" t="s">
        <v>768</v>
      </c>
      <c r="DU250" t="s">
        <v>768</v>
      </c>
      <c r="DV250" t="s">
        <v>768</v>
      </c>
      <c r="DW250" t="s">
        <v>768</v>
      </c>
      <c r="DX250" t="s">
        <v>768</v>
      </c>
      <c r="DY250" t="s">
        <v>768</v>
      </c>
      <c r="DZ250" t="s">
        <v>768</v>
      </c>
      <c r="EA250" t="s">
        <v>768</v>
      </c>
      <c r="EB250" t="s">
        <v>768</v>
      </c>
      <c r="EC250" t="s">
        <v>768</v>
      </c>
      <c r="ED250" t="s">
        <v>751</v>
      </c>
      <c r="EE250" t="s">
        <v>752</v>
      </c>
      <c r="EF250" t="s">
        <v>753</v>
      </c>
      <c r="EG250" t="s">
        <v>754</v>
      </c>
    </row>
    <row r="251" spans="1:137" ht="14.55" customHeight="1" x14ac:dyDescent="0.3">
      <c r="A251" t="s">
        <v>843</v>
      </c>
      <c r="B251">
        <v>1308</v>
      </c>
      <c r="C251" t="s">
        <v>844</v>
      </c>
      <c r="D251" t="s">
        <v>543</v>
      </c>
      <c r="E251" t="s">
        <v>741</v>
      </c>
      <c r="F251" t="s">
        <v>742</v>
      </c>
      <c r="G251" t="s">
        <v>763</v>
      </c>
      <c r="H251" s="3">
        <v>7575775.72915</v>
      </c>
      <c r="I251">
        <v>757</v>
      </c>
      <c r="J251" s="3">
        <v>757.57757291500002</v>
      </c>
      <c r="K251">
        <v>315</v>
      </c>
      <c r="L251">
        <v>477</v>
      </c>
      <c r="M251">
        <v>390.295377086428</v>
      </c>
      <c r="N251">
        <v>41.931817776985397</v>
      </c>
      <c r="O251">
        <v>0</v>
      </c>
      <c r="P251">
        <v>28.812181472778299</v>
      </c>
      <c r="Q251">
        <v>6.5031371116638201</v>
      </c>
      <c r="R251">
        <v>4.2994365692138699</v>
      </c>
      <c r="S251" t="s">
        <v>743</v>
      </c>
      <c r="T251" t="s">
        <v>845</v>
      </c>
      <c r="U251" t="s">
        <v>844</v>
      </c>
      <c r="V251" t="s">
        <v>844</v>
      </c>
      <c r="W251" s="3">
        <v>812</v>
      </c>
      <c r="X251" s="3">
        <v>7570000</v>
      </c>
      <c r="Y251">
        <v>3</v>
      </c>
      <c r="Z251" s="3">
        <v>543</v>
      </c>
      <c r="AA251" s="3">
        <v>600</v>
      </c>
      <c r="AB251" s="3">
        <v>629</v>
      </c>
      <c r="AC251" s="3">
        <v>731</v>
      </c>
      <c r="AD251" s="3">
        <v>747</v>
      </c>
      <c r="AE251" s="3">
        <v>764</v>
      </c>
      <c r="AF251" s="3">
        <v>781</v>
      </c>
      <c r="AG251" s="3">
        <v>802</v>
      </c>
      <c r="AH251" s="3">
        <v>808</v>
      </c>
      <c r="AI251" s="3">
        <v>812</v>
      </c>
      <c r="AJ251" s="3">
        <v>815</v>
      </c>
      <c r="AK251" s="3">
        <v>818</v>
      </c>
      <c r="AL251" s="3">
        <v>817</v>
      </c>
      <c r="AM251" s="3">
        <v>815</v>
      </c>
      <c r="AN251" s="3">
        <v>812</v>
      </c>
      <c r="AO251" s="3">
        <v>810</v>
      </c>
      <c r="AP251" s="3">
        <v>807</v>
      </c>
      <c r="AQ251" s="3">
        <v>796</v>
      </c>
      <c r="AR251" s="4">
        <v>106.60501981505945</v>
      </c>
      <c r="AS251" s="5">
        <f t="shared" si="32"/>
        <v>1.3121546961325967</v>
      </c>
      <c r="AT251" s="5">
        <f t="shared" si="33"/>
        <v>0.53703703703703698</v>
      </c>
      <c r="AU251" s="5">
        <f t="shared" si="34"/>
        <v>2.4165341812400638</v>
      </c>
      <c r="AV251" s="5">
        <f t="shared" si="35"/>
        <v>0.33290653008962873</v>
      </c>
      <c r="AW251" s="5">
        <f t="shared" si="36"/>
        <v>0.93164337558227717</v>
      </c>
      <c r="AX251" s="5">
        <f t="shared" si="37"/>
        <v>1.4149443561208266</v>
      </c>
      <c r="AY251" s="5">
        <f t="shared" si="38"/>
        <v>1.3140212035239658</v>
      </c>
      <c r="AZ251">
        <f t="shared" si="39"/>
        <v>7580000</v>
      </c>
      <c r="BA251">
        <v>0</v>
      </c>
      <c r="BB251">
        <v>610000</v>
      </c>
      <c r="BC251">
        <v>0</v>
      </c>
      <c r="BD251">
        <v>0</v>
      </c>
      <c r="BE251">
        <v>0</v>
      </c>
      <c r="BF251">
        <v>0</v>
      </c>
      <c r="BG251">
        <v>280000</v>
      </c>
      <c r="BH251">
        <v>0</v>
      </c>
      <c r="BI251">
        <v>0</v>
      </c>
      <c r="BJ251">
        <v>1110000</v>
      </c>
      <c r="BK251">
        <v>0</v>
      </c>
      <c r="BL251">
        <v>0</v>
      </c>
      <c r="BM251">
        <v>2110000</v>
      </c>
      <c r="BN251">
        <v>310000</v>
      </c>
      <c r="BO251">
        <v>0</v>
      </c>
      <c r="BP251">
        <v>1820000</v>
      </c>
      <c r="BQ251">
        <v>0</v>
      </c>
      <c r="BR251">
        <v>100000</v>
      </c>
      <c r="BS251">
        <v>0</v>
      </c>
      <c r="BT251">
        <v>170000</v>
      </c>
      <c r="BU251">
        <v>0</v>
      </c>
      <c r="BV251">
        <v>0</v>
      </c>
      <c r="BW251">
        <v>0</v>
      </c>
      <c r="BX251">
        <v>0</v>
      </c>
      <c r="BY251">
        <v>720000</v>
      </c>
      <c r="BZ251">
        <v>350000</v>
      </c>
      <c r="CA251">
        <v>0</v>
      </c>
      <c r="CT251">
        <v>10.29023746701847</v>
      </c>
      <c r="CU251">
        <v>44.19525065963056</v>
      </c>
      <c r="CV251">
        <v>31.39841688654354</v>
      </c>
      <c r="CW251">
        <v>9.4986807387862804</v>
      </c>
      <c r="CX251">
        <v>4.6174142480211096</v>
      </c>
      <c r="CY251">
        <v>10.4221635883905</v>
      </c>
      <c r="CZ251">
        <v>44.063324538258598</v>
      </c>
      <c r="DA251">
        <v>31.39841688654354</v>
      </c>
      <c r="DB251">
        <v>9.4986807387862804</v>
      </c>
      <c r="DC251">
        <v>4.6174142480211096</v>
      </c>
      <c r="DD251">
        <v>11.609498680738788</v>
      </c>
      <c r="DE251">
        <v>46.701846965699175</v>
      </c>
      <c r="DF251">
        <v>27.572559366754639</v>
      </c>
      <c r="DG251">
        <v>9.4986807387862804</v>
      </c>
      <c r="DH251">
        <v>4.6174142480211096</v>
      </c>
      <c r="DI251">
        <v>11.741424802110819</v>
      </c>
      <c r="DJ251">
        <v>46.569920844327186</v>
      </c>
      <c r="DK251">
        <v>27.572559366754639</v>
      </c>
      <c r="DL251">
        <v>9.4986807387862804</v>
      </c>
      <c r="DM251">
        <v>4.6174142480211096</v>
      </c>
      <c r="DN251">
        <v>11.741424802110819</v>
      </c>
      <c r="DO251">
        <v>46.569920844327186</v>
      </c>
      <c r="DP251">
        <v>27.572559366754639</v>
      </c>
      <c r="DQ251">
        <v>9.4986807387862804</v>
      </c>
      <c r="DR251">
        <v>4.6174142480211096</v>
      </c>
      <c r="DS251" t="s">
        <v>312</v>
      </c>
      <c r="DT251" t="s">
        <v>313</v>
      </c>
      <c r="DU251">
        <v>803</v>
      </c>
      <c r="DV251" t="s">
        <v>547</v>
      </c>
      <c r="DW251" t="s">
        <v>548</v>
      </c>
      <c r="DX251">
        <v>86</v>
      </c>
      <c r="DY251">
        <v>130</v>
      </c>
      <c r="DZ251">
        <v>216</v>
      </c>
      <c r="EA251">
        <v>606779</v>
      </c>
      <c r="EB251">
        <v>388178</v>
      </c>
      <c r="EC251">
        <v>994957</v>
      </c>
      <c r="ED251" t="s">
        <v>751</v>
      </c>
      <c r="EE251" t="s">
        <v>752</v>
      </c>
      <c r="EF251" t="s">
        <v>753</v>
      </c>
      <c r="EG251" t="s">
        <v>754</v>
      </c>
    </row>
    <row r="252" spans="1:137" ht="14.55" customHeight="1" x14ac:dyDescent="0.3">
      <c r="A252" t="s">
        <v>846</v>
      </c>
      <c r="B252">
        <v>1313</v>
      </c>
      <c r="C252" t="s">
        <v>847</v>
      </c>
      <c r="D252" t="s">
        <v>543</v>
      </c>
      <c r="E252" t="s">
        <v>741</v>
      </c>
      <c r="F252" t="s">
        <v>742</v>
      </c>
      <c r="G252" t="s">
        <v>805</v>
      </c>
      <c r="H252" s="3">
        <v>12094545.7291</v>
      </c>
      <c r="I252">
        <v>1215</v>
      </c>
      <c r="J252" s="3">
        <v>1209.45457291</v>
      </c>
      <c r="K252">
        <v>416</v>
      </c>
      <c r="L252">
        <v>485</v>
      </c>
      <c r="M252">
        <v>458.76849015317299</v>
      </c>
      <c r="N252">
        <v>13.4850112316341</v>
      </c>
      <c r="O252">
        <v>0</v>
      </c>
      <c r="P252">
        <v>17.097923278808601</v>
      </c>
      <c r="Q252">
        <v>3.7769820690154998</v>
      </c>
      <c r="R252">
        <v>2.2161509990692099</v>
      </c>
      <c r="S252" t="s">
        <v>743</v>
      </c>
      <c r="T252" t="s">
        <v>848</v>
      </c>
      <c r="U252" t="s">
        <v>847</v>
      </c>
      <c r="V252" t="s">
        <v>847</v>
      </c>
      <c r="W252" s="3">
        <v>8233</v>
      </c>
      <c r="X252" s="3">
        <v>12090000</v>
      </c>
      <c r="Y252">
        <v>2</v>
      </c>
      <c r="Z252" s="3">
        <v>2240</v>
      </c>
      <c r="AA252" s="3">
        <v>3723</v>
      </c>
      <c r="AB252" s="3">
        <v>4261</v>
      </c>
      <c r="AC252" s="3">
        <v>4811</v>
      </c>
      <c r="AD252" s="3">
        <v>4961</v>
      </c>
      <c r="AE252" s="3">
        <v>5300</v>
      </c>
      <c r="AF252" s="3">
        <v>5640</v>
      </c>
      <c r="AG252" s="3">
        <v>5980</v>
      </c>
      <c r="AH252" s="3">
        <v>6806</v>
      </c>
      <c r="AI252" s="3">
        <v>7410</v>
      </c>
      <c r="AJ252" s="3">
        <v>7560</v>
      </c>
      <c r="AK252" s="3">
        <v>7710</v>
      </c>
      <c r="AL252" s="3">
        <v>7860</v>
      </c>
      <c r="AM252" s="3">
        <v>7991</v>
      </c>
      <c r="AN252" s="3">
        <v>8233</v>
      </c>
      <c r="AO252" s="3">
        <v>8474</v>
      </c>
      <c r="AP252" s="3">
        <v>8711</v>
      </c>
      <c r="AQ252" s="3">
        <v>9063</v>
      </c>
      <c r="AR252" s="4">
        <v>720.51282051282055</v>
      </c>
      <c r="AS252" s="5">
        <f t="shared" si="32"/>
        <v>8.2756696428571441</v>
      </c>
      <c r="AT252" s="5">
        <f t="shared" si="33"/>
        <v>1.6056346435073268</v>
      </c>
      <c r="AU252" s="5">
        <f t="shared" si="34"/>
        <v>3.2363295001173431</v>
      </c>
      <c r="AV252" s="5">
        <f t="shared" si="35"/>
        <v>5.4450354609929068</v>
      </c>
      <c r="AW252" s="5">
        <f t="shared" si="36"/>
        <v>5.3072478991596634</v>
      </c>
      <c r="AX252" s="5">
        <f t="shared" si="37"/>
        <v>5.2217789251349442</v>
      </c>
      <c r="AY252" s="5">
        <f t="shared" si="38"/>
        <v>7.8076737451737444</v>
      </c>
      <c r="AZ252">
        <f t="shared" si="39"/>
        <v>12150000</v>
      </c>
      <c r="BA252">
        <v>0</v>
      </c>
      <c r="BB252">
        <v>2780000</v>
      </c>
      <c r="BC252">
        <v>670000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360000</v>
      </c>
      <c r="BJ252">
        <v>3360000</v>
      </c>
      <c r="BK252">
        <v>0</v>
      </c>
      <c r="BL252">
        <v>0</v>
      </c>
      <c r="BM252">
        <v>1070000</v>
      </c>
      <c r="BN252">
        <v>1920000</v>
      </c>
      <c r="BO252">
        <v>690000</v>
      </c>
      <c r="BP252">
        <v>1300000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T252">
        <v>24.691358024691322</v>
      </c>
      <c r="CU252">
        <v>63.045267489711904</v>
      </c>
      <c r="CV252">
        <v>12.016460905349801</v>
      </c>
      <c r="CW252">
        <v>0.24691358024691401</v>
      </c>
      <c r="CX252">
        <v>0</v>
      </c>
      <c r="CY252">
        <v>24.52674897119342</v>
      </c>
      <c r="CZ252">
        <v>63.209876543209816</v>
      </c>
      <c r="DA252">
        <v>12.016460905349801</v>
      </c>
      <c r="DB252">
        <v>0.24691358024691401</v>
      </c>
      <c r="DC252">
        <v>0</v>
      </c>
      <c r="DD252">
        <v>26.008230452674873</v>
      </c>
      <c r="DE252">
        <v>61.975308641975296</v>
      </c>
      <c r="DF252">
        <v>12.016460905349801</v>
      </c>
      <c r="DG252">
        <v>0</v>
      </c>
      <c r="DH252">
        <v>0</v>
      </c>
      <c r="DI252">
        <v>31.358024691358032</v>
      </c>
      <c r="DJ252">
        <v>57.942386831275726</v>
      </c>
      <c r="DK252">
        <v>10.6995884773663</v>
      </c>
      <c r="DL252">
        <v>0</v>
      </c>
      <c r="DM252">
        <v>0</v>
      </c>
      <c r="DN252">
        <v>31.358024691358032</v>
      </c>
      <c r="DO252">
        <v>57.942386831275726</v>
      </c>
      <c r="DP252">
        <v>10.6995884773663</v>
      </c>
      <c r="DQ252">
        <v>0</v>
      </c>
      <c r="DR252">
        <v>0</v>
      </c>
      <c r="DS252" t="s">
        <v>564</v>
      </c>
      <c r="DT252" t="s">
        <v>313</v>
      </c>
      <c r="DU252">
        <v>8948</v>
      </c>
      <c r="DV252" t="s">
        <v>547</v>
      </c>
      <c r="DW252" t="s">
        <v>548</v>
      </c>
      <c r="DX252">
        <v>86</v>
      </c>
      <c r="DY252">
        <v>130</v>
      </c>
      <c r="DZ252">
        <v>216</v>
      </c>
      <c r="EA252">
        <v>606779</v>
      </c>
      <c r="EB252">
        <v>388178</v>
      </c>
      <c r="EC252">
        <v>994957</v>
      </c>
      <c r="ED252" t="s">
        <v>807</v>
      </c>
      <c r="EE252" t="s">
        <v>808</v>
      </c>
      <c r="EF252" t="s">
        <v>746</v>
      </c>
      <c r="EG252" t="s">
        <v>760</v>
      </c>
    </row>
    <row r="253" spans="1:137" ht="14.55" customHeight="1" x14ac:dyDescent="0.3">
      <c r="A253" t="s">
        <v>849</v>
      </c>
      <c r="B253">
        <v>1354</v>
      </c>
      <c r="C253" t="s">
        <v>805</v>
      </c>
      <c r="D253" t="s">
        <v>543</v>
      </c>
      <c r="E253" t="s">
        <v>741</v>
      </c>
      <c r="F253" t="s">
        <v>742</v>
      </c>
      <c r="G253" t="s">
        <v>805</v>
      </c>
      <c r="H253" s="3">
        <v>9781733.8078700006</v>
      </c>
      <c r="I253">
        <v>977</v>
      </c>
      <c r="J253" s="3">
        <v>978.17338078700004</v>
      </c>
      <c r="K253">
        <v>420</v>
      </c>
      <c r="L253">
        <v>509</v>
      </c>
      <c r="M253">
        <v>454.05127511330602</v>
      </c>
      <c r="N253">
        <v>12.1790880439533</v>
      </c>
      <c r="O253">
        <v>0</v>
      </c>
      <c r="P253">
        <v>21.8442268371582</v>
      </c>
      <c r="Q253">
        <v>3.9508316516876198</v>
      </c>
      <c r="R253">
        <v>2.3569259643554701</v>
      </c>
      <c r="S253" t="s">
        <v>743</v>
      </c>
      <c r="T253" t="s">
        <v>850</v>
      </c>
      <c r="U253" t="s">
        <v>805</v>
      </c>
      <c r="V253" t="s">
        <v>805</v>
      </c>
      <c r="W253" s="3">
        <v>12544</v>
      </c>
      <c r="X253" s="3">
        <v>9810000</v>
      </c>
      <c r="Y253">
        <v>2</v>
      </c>
      <c r="Z253" s="3">
        <v>4631</v>
      </c>
      <c r="AA253" s="3">
        <v>5696</v>
      </c>
      <c r="AB253" s="3">
        <v>6383</v>
      </c>
      <c r="AC253" s="3">
        <v>7865</v>
      </c>
      <c r="AD253" s="3">
        <v>8130</v>
      </c>
      <c r="AE253" s="3">
        <v>8379</v>
      </c>
      <c r="AF253" s="3">
        <v>8627</v>
      </c>
      <c r="AG253" s="3">
        <v>8914</v>
      </c>
      <c r="AH253" s="3">
        <v>9186</v>
      </c>
      <c r="AI253" s="3">
        <v>9415</v>
      </c>
      <c r="AJ253" s="3">
        <v>9635</v>
      </c>
      <c r="AK253" s="3">
        <v>9854</v>
      </c>
      <c r="AL253" s="3">
        <v>10824</v>
      </c>
      <c r="AM253" s="3">
        <v>11892</v>
      </c>
      <c r="AN253" s="3">
        <v>12544</v>
      </c>
      <c r="AO253" s="3">
        <v>13243</v>
      </c>
      <c r="AP253" s="3">
        <v>13943</v>
      </c>
      <c r="AQ253" s="3">
        <v>14558</v>
      </c>
      <c r="AR253" s="4">
        <v>1421.3047910295618</v>
      </c>
      <c r="AS253" s="5">
        <f t="shared" si="32"/>
        <v>2.8746491038652557</v>
      </c>
      <c r="AT253" s="5">
        <f t="shared" si="33"/>
        <v>1.3401217228464419</v>
      </c>
      <c r="AU253" s="5">
        <f t="shared" si="34"/>
        <v>3.5155882813723958</v>
      </c>
      <c r="AV253" s="5">
        <f t="shared" si="35"/>
        <v>6.1620493798539471</v>
      </c>
      <c r="AW253" s="5">
        <f t="shared" si="36"/>
        <v>2.2254118663228626</v>
      </c>
      <c r="AX253" s="5">
        <f t="shared" si="37"/>
        <v>5.9219802600657996</v>
      </c>
      <c r="AY253" s="5">
        <f t="shared" si="38"/>
        <v>5.4345859571512785</v>
      </c>
      <c r="AZ253">
        <f t="shared" si="39"/>
        <v>9810000</v>
      </c>
      <c r="BA253">
        <v>0</v>
      </c>
      <c r="BB253">
        <v>2820000</v>
      </c>
      <c r="BC253">
        <v>1550000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440000</v>
      </c>
      <c r="BJ253">
        <v>1740000</v>
      </c>
      <c r="BK253">
        <v>0</v>
      </c>
      <c r="BL253">
        <v>0</v>
      </c>
      <c r="BM253">
        <v>120000</v>
      </c>
      <c r="BN253">
        <v>1100000</v>
      </c>
      <c r="BO253">
        <v>1520000</v>
      </c>
      <c r="BP253">
        <v>520000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T253">
        <v>36.187563710499539</v>
      </c>
      <c r="CU253">
        <v>56.880733944954095</v>
      </c>
      <c r="CV253">
        <v>6.9317023445463803</v>
      </c>
      <c r="CW253">
        <v>0</v>
      </c>
      <c r="CX253">
        <v>0</v>
      </c>
      <c r="CY253">
        <v>39.245667686034643</v>
      </c>
      <c r="CZ253">
        <v>53.822629969418919</v>
      </c>
      <c r="DA253">
        <v>6.9317023445463803</v>
      </c>
      <c r="DB253">
        <v>0</v>
      </c>
      <c r="DC253">
        <v>0</v>
      </c>
      <c r="DD253">
        <v>42.813455657492362</v>
      </c>
      <c r="DE253">
        <v>50.560652395514765</v>
      </c>
      <c r="DF253">
        <v>6.6258919469928701</v>
      </c>
      <c r="DG253">
        <v>0</v>
      </c>
      <c r="DH253">
        <v>0</v>
      </c>
      <c r="DI253">
        <v>46.788990825688153</v>
      </c>
      <c r="DJ253">
        <v>47.910295616717669</v>
      </c>
      <c r="DK253">
        <v>5.3007135575942899</v>
      </c>
      <c r="DL253">
        <v>0</v>
      </c>
      <c r="DM253">
        <v>0</v>
      </c>
      <c r="DN253">
        <v>49.031600407747248</v>
      </c>
      <c r="DO253">
        <v>45.667686034658573</v>
      </c>
      <c r="DP253">
        <v>5.3007135575942899</v>
      </c>
      <c r="DQ253">
        <v>0</v>
      </c>
      <c r="DR253">
        <v>0</v>
      </c>
      <c r="DS253" t="s">
        <v>564</v>
      </c>
      <c r="DT253" t="s">
        <v>313</v>
      </c>
      <c r="DU253">
        <v>14274</v>
      </c>
      <c r="DV253" t="s">
        <v>547</v>
      </c>
      <c r="DW253" t="s">
        <v>548</v>
      </c>
      <c r="DX253">
        <v>86</v>
      </c>
      <c r="DY253">
        <v>130</v>
      </c>
      <c r="DZ253">
        <v>216</v>
      </c>
      <c r="EA253">
        <v>606779</v>
      </c>
      <c r="EB253">
        <v>388178</v>
      </c>
      <c r="EC253">
        <v>994957</v>
      </c>
      <c r="ED253" t="s">
        <v>807</v>
      </c>
      <c r="EE253" t="s">
        <v>808</v>
      </c>
      <c r="EF253" t="s">
        <v>746</v>
      </c>
      <c r="EG253" t="s">
        <v>760</v>
      </c>
    </row>
    <row r="254" spans="1:137" ht="14.55" customHeight="1" x14ac:dyDescent="0.3">
      <c r="A254" t="s">
        <v>851</v>
      </c>
      <c r="B254">
        <v>1357</v>
      </c>
      <c r="C254" t="s">
        <v>852</v>
      </c>
      <c r="D254" t="s">
        <v>543</v>
      </c>
      <c r="E254" t="s">
        <v>741</v>
      </c>
      <c r="F254" t="s">
        <v>742</v>
      </c>
      <c r="G254" t="s">
        <v>740</v>
      </c>
      <c r="H254" s="3">
        <v>11483379.383199999</v>
      </c>
      <c r="I254">
        <v>1148</v>
      </c>
      <c r="J254" s="3">
        <v>1148.3379383199999</v>
      </c>
      <c r="K254">
        <v>433</v>
      </c>
      <c r="L254">
        <v>1111</v>
      </c>
      <c r="M254">
        <v>719.70289896835902</v>
      </c>
      <c r="N254">
        <v>194.37603732133101</v>
      </c>
      <c r="O254">
        <v>0</v>
      </c>
      <c r="P254">
        <v>53.487838745117202</v>
      </c>
      <c r="Q254">
        <v>15.9692182540894</v>
      </c>
      <c r="R254">
        <v>8.4619932174682599</v>
      </c>
      <c r="S254" t="s">
        <v>743</v>
      </c>
      <c r="T254" t="s">
        <v>853</v>
      </c>
      <c r="U254" t="s">
        <v>852</v>
      </c>
      <c r="V254" t="s">
        <v>852</v>
      </c>
      <c r="W254" s="3">
        <v>501</v>
      </c>
      <c r="X254" s="3">
        <v>11480000</v>
      </c>
      <c r="Y254">
        <v>3</v>
      </c>
      <c r="Z254" s="3">
        <v>536</v>
      </c>
      <c r="AA254" s="3">
        <v>465</v>
      </c>
      <c r="AB254" s="3">
        <v>476</v>
      </c>
      <c r="AC254" s="3">
        <v>496</v>
      </c>
      <c r="AD254" s="3">
        <v>501</v>
      </c>
      <c r="AE254" s="3">
        <v>494</v>
      </c>
      <c r="AF254" s="3">
        <v>487</v>
      </c>
      <c r="AG254" s="3">
        <v>480</v>
      </c>
      <c r="AH254" s="3">
        <v>477</v>
      </c>
      <c r="AI254" s="3">
        <v>455</v>
      </c>
      <c r="AJ254" s="3">
        <v>473</v>
      </c>
      <c r="AK254" s="3">
        <v>490</v>
      </c>
      <c r="AL254" s="3">
        <v>507</v>
      </c>
      <c r="AM254" s="3">
        <v>507</v>
      </c>
      <c r="AN254" s="3">
        <v>501</v>
      </c>
      <c r="AO254" s="3">
        <v>501</v>
      </c>
      <c r="AP254" s="3">
        <v>502</v>
      </c>
      <c r="AQ254" s="3">
        <v>505</v>
      </c>
      <c r="AR254" s="4">
        <v>43.728222996515676</v>
      </c>
      <c r="AS254" s="5">
        <f t="shared" si="32"/>
        <v>-1.6557835820895521</v>
      </c>
      <c r="AT254" s="5">
        <f t="shared" si="33"/>
        <v>0.26284348864994023</v>
      </c>
      <c r="AU254" s="5">
        <f t="shared" si="34"/>
        <v>0.23109243697478993</v>
      </c>
      <c r="AV254" s="5">
        <f t="shared" si="35"/>
        <v>0.30800821355236135</v>
      </c>
      <c r="AW254" s="5">
        <f t="shared" si="36"/>
        <v>-0.65847234416154521</v>
      </c>
      <c r="AX254" s="5">
        <f t="shared" si="37"/>
        <v>0.27310924369747897</v>
      </c>
      <c r="AY254" s="5">
        <f t="shared" si="38"/>
        <v>-0.17144009681323116</v>
      </c>
      <c r="AZ254">
        <f t="shared" si="39"/>
        <v>11470000</v>
      </c>
      <c r="BA254">
        <v>0</v>
      </c>
      <c r="BB254">
        <v>0</v>
      </c>
      <c r="BC254">
        <v>0</v>
      </c>
      <c r="BD254">
        <v>410000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2150000</v>
      </c>
      <c r="BN254">
        <v>0</v>
      </c>
      <c r="BO254">
        <v>0</v>
      </c>
      <c r="BP254">
        <v>3080000</v>
      </c>
      <c r="BQ254">
        <v>1700000</v>
      </c>
      <c r="BR254">
        <v>4130000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T254">
        <v>3.6617262423714001</v>
      </c>
      <c r="CU254">
        <v>19.180470793373999</v>
      </c>
      <c r="CV254">
        <v>77.1578029642546</v>
      </c>
      <c r="CW254">
        <v>0</v>
      </c>
      <c r="CX254">
        <v>0</v>
      </c>
      <c r="CY254">
        <v>3.6617262423714001</v>
      </c>
      <c r="CZ254">
        <v>19.180470793373999</v>
      </c>
      <c r="DA254">
        <v>77.1578029642546</v>
      </c>
      <c r="DB254">
        <v>0</v>
      </c>
      <c r="DC254">
        <v>0</v>
      </c>
      <c r="DD254">
        <v>3.5745422842196999</v>
      </c>
      <c r="DE254">
        <v>18.744551002615498</v>
      </c>
      <c r="DF254">
        <v>77.680906713164802</v>
      </c>
      <c r="DG254">
        <v>0</v>
      </c>
      <c r="DH254">
        <v>0</v>
      </c>
      <c r="DI254">
        <v>3.5745422842196999</v>
      </c>
      <c r="DJ254">
        <v>18.744551002615498</v>
      </c>
      <c r="DK254">
        <v>77.680906713164802</v>
      </c>
      <c r="DL254">
        <v>0</v>
      </c>
      <c r="DM254">
        <v>0</v>
      </c>
      <c r="DN254">
        <v>3.5745422842196999</v>
      </c>
      <c r="DO254">
        <v>18.744551002615498</v>
      </c>
      <c r="DP254">
        <v>77.680906713164802</v>
      </c>
      <c r="DQ254">
        <v>0</v>
      </c>
      <c r="DR254">
        <v>0</v>
      </c>
      <c r="DS254" t="s">
        <v>312</v>
      </c>
      <c r="DT254" t="s">
        <v>337</v>
      </c>
      <c r="DU254">
        <v>502</v>
      </c>
      <c r="DV254" t="s">
        <v>547</v>
      </c>
      <c r="DW254" t="s">
        <v>548</v>
      </c>
      <c r="DX254">
        <v>86</v>
      </c>
      <c r="DY254">
        <v>130</v>
      </c>
      <c r="DZ254">
        <v>216</v>
      </c>
      <c r="EA254">
        <v>606779</v>
      </c>
      <c r="EB254">
        <v>388178</v>
      </c>
      <c r="EC254">
        <v>994957</v>
      </c>
      <c r="ED254" t="s">
        <v>751</v>
      </c>
      <c r="EE254" t="s">
        <v>752</v>
      </c>
      <c r="EF254" t="s">
        <v>753</v>
      </c>
      <c r="EG254" t="s">
        <v>754</v>
      </c>
    </row>
    <row r="255" spans="1:137" ht="14.55" customHeight="1" x14ac:dyDescent="0.3">
      <c r="A255" t="s">
        <v>854</v>
      </c>
      <c r="B255">
        <v>1360</v>
      </c>
      <c r="C255" t="s">
        <v>855</v>
      </c>
      <c r="D255" t="s">
        <v>543</v>
      </c>
      <c r="E255" t="s">
        <v>741</v>
      </c>
      <c r="F255" t="s">
        <v>742</v>
      </c>
      <c r="G255" t="s">
        <v>763</v>
      </c>
      <c r="H255" s="3">
        <v>12244672.466700001</v>
      </c>
      <c r="I255">
        <v>1223</v>
      </c>
      <c r="J255" s="3">
        <v>1224.4672466700001</v>
      </c>
      <c r="K255">
        <v>444</v>
      </c>
      <c r="L255">
        <v>1617</v>
      </c>
      <c r="M255">
        <v>772.25791464073495</v>
      </c>
      <c r="N255">
        <v>321.29913849461201</v>
      </c>
      <c r="O255">
        <v>0</v>
      </c>
      <c r="P255">
        <v>39.330615997314503</v>
      </c>
      <c r="Q255">
        <v>11.501921653747599</v>
      </c>
      <c r="R255">
        <v>7.8874363899231001</v>
      </c>
      <c r="S255" t="s">
        <v>743</v>
      </c>
      <c r="T255" t="s">
        <v>856</v>
      </c>
      <c r="U255" t="s">
        <v>855</v>
      </c>
      <c r="V255" t="s">
        <v>855</v>
      </c>
      <c r="W255" s="3">
        <v>1787</v>
      </c>
      <c r="X255" s="3">
        <v>12240000</v>
      </c>
      <c r="Y255">
        <v>2</v>
      </c>
      <c r="Z255" s="3">
        <v>841</v>
      </c>
      <c r="AA255" s="3">
        <v>1001</v>
      </c>
      <c r="AB255" s="3">
        <v>1182</v>
      </c>
      <c r="AC255" s="3">
        <v>1390</v>
      </c>
      <c r="AD255" s="3">
        <v>1420</v>
      </c>
      <c r="AE255" s="3">
        <v>1442</v>
      </c>
      <c r="AF255" s="3">
        <v>1493</v>
      </c>
      <c r="AG255" s="3">
        <v>1496</v>
      </c>
      <c r="AH255" s="3">
        <v>1498</v>
      </c>
      <c r="AI255" s="3">
        <v>1501</v>
      </c>
      <c r="AJ255" s="3">
        <v>1547</v>
      </c>
      <c r="AK255" s="3">
        <v>1586</v>
      </c>
      <c r="AL255" s="3">
        <v>1653</v>
      </c>
      <c r="AM255" s="3">
        <v>1720</v>
      </c>
      <c r="AN255" s="3">
        <v>1787</v>
      </c>
      <c r="AO255" s="3">
        <v>1823</v>
      </c>
      <c r="AP255" s="3">
        <v>1895</v>
      </c>
      <c r="AQ255" s="3">
        <v>1988</v>
      </c>
      <c r="AR255" s="4">
        <v>154.8202614379085</v>
      </c>
      <c r="AS255" s="5">
        <f t="shared" si="32"/>
        <v>2.3781212841854935</v>
      </c>
      <c r="AT255" s="5">
        <f t="shared" si="33"/>
        <v>2.0091020091020093</v>
      </c>
      <c r="AU255" s="5">
        <f t="shared" si="34"/>
        <v>2.6311336717428087</v>
      </c>
      <c r="AV255" s="5">
        <f t="shared" si="35"/>
        <v>2.6925653047555258</v>
      </c>
      <c r="AW255" s="5">
        <f t="shared" si="36"/>
        <v>2.3851157585507448</v>
      </c>
      <c r="AX255" s="5">
        <f t="shared" si="37"/>
        <v>3.0160744500846026</v>
      </c>
      <c r="AY255" s="5">
        <f t="shared" si="38"/>
        <v>3.3872159912587976</v>
      </c>
      <c r="AZ255">
        <f t="shared" si="39"/>
        <v>12250000</v>
      </c>
      <c r="BA255">
        <v>0</v>
      </c>
      <c r="BB255">
        <v>990000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490000</v>
      </c>
      <c r="BJ255">
        <v>1270000</v>
      </c>
      <c r="BK255">
        <v>0</v>
      </c>
      <c r="BL255">
        <v>0</v>
      </c>
      <c r="BM255">
        <v>2220000</v>
      </c>
      <c r="BN255">
        <v>680000</v>
      </c>
      <c r="BO255">
        <v>50000</v>
      </c>
      <c r="BP255">
        <v>2260000</v>
      </c>
      <c r="BQ255">
        <v>1360000</v>
      </c>
      <c r="BR255">
        <v>2070000</v>
      </c>
      <c r="BS255">
        <v>860000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T255">
        <v>6.6938775510204103</v>
      </c>
      <c r="CU255">
        <v>37.142857142857181</v>
      </c>
      <c r="CV255">
        <v>56.163265306122462</v>
      </c>
      <c r="CW255">
        <v>0</v>
      </c>
      <c r="CX255">
        <v>0</v>
      </c>
      <c r="CY255">
        <v>7.5918367346938798</v>
      </c>
      <c r="CZ255">
        <v>38.775510204081684</v>
      </c>
      <c r="DA255">
        <v>53.632653061224509</v>
      </c>
      <c r="DB255">
        <v>0</v>
      </c>
      <c r="DC255">
        <v>0</v>
      </c>
      <c r="DD255">
        <v>11.183673469387749</v>
      </c>
      <c r="DE255">
        <v>35.346938775510182</v>
      </c>
      <c r="DF255">
        <v>53.469387755102005</v>
      </c>
      <c r="DG255">
        <v>0</v>
      </c>
      <c r="DH255">
        <v>0</v>
      </c>
      <c r="DI255">
        <v>12.08163265306122</v>
      </c>
      <c r="DJ255">
        <v>34.448979591836689</v>
      </c>
      <c r="DK255">
        <v>53.469387755102005</v>
      </c>
      <c r="DL255">
        <v>0</v>
      </c>
      <c r="DM255">
        <v>0</v>
      </c>
      <c r="DN255">
        <v>12.08163265306122</v>
      </c>
      <c r="DO255">
        <v>34.448979591836689</v>
      </c>
      <c r="DP255">
        <v>53.469387755102005</v>
      </c>
      <c r="DQ255">
        <v>0</v>
      </c>
      <c r="DR255">
        <v>0</v>
      </c>
      <c r="DS255" t="s">
        <v>312</v>
      </c>
      <c r="DT255" t="s">
        <v>313</v>
      </c>
      <c r="DU255">
        <v>1934</v>
      </c>
      <c r="DV255" t="s">
        <v>547</v>
      </c>
      <c r="DW255" t="s">
        <v>548</v>
      </c>
      <c r="DX255">
        <v>86</v>
      </c>
      <c r="DY255">
        <v>130</v>
      </c>
      <c r="DZ255">
        <v>216</v>
      </c>
      <c r="EA255">
        <v>606779</v>
      </c>
      <c r="EB255">
        <v>388178</v>
      </c>
      <c r="EC255">
        <v>994957</v>
      </c>
      <c r="ED255" t="s">
        <v>751</v>
      </c>
      <c r="EE255" t="s">
        <v>752</v>
      </c>
      <c r="EF255" t="s">
        <v>753</v>
      </c>
      <c r="EG255" t="s">
        <v>754</v>
      </c>
    </row>
    <row r="256" spans="1:137" ht="14.55" customHeight="1" x14ac:dyDescent="0.3">
      <c r="A256" t="s">
        <v>857</v>
      </c>
      <c r="B256">
        <v>1397</v>
      </c>
      <c r="C256" t="s">
        <v>858</v>
      </c>
      <c r="D256" t="s">
        <v>543</v>
      </c>
      <c r="E256" t="s">
        <v>741</v>
      </c>
      <c r="F256" t="s">
        <v>742</v>
      </c>
      <c r="G256" t="s">
        <v>757</v>
      </c>
      <c r="H256" s="3">
        <v>1868287.9061700001</v>
      </c>
      <c r="I256">
        <v>187</v>
      </c>
      <c r="J256" s="3">
        <v>186.82879061700001</v>
      </c>
      <c r="K256">
        <v>444</v>
      </c>
      <c r="L256">
        <v>519</v>
      </c>
      <c r="M256">
        <v>483.773177636235</v>
      </c>
      <c r="N256">
        <v>18.729682144363402</v>
      </c>
      <c r="O256">
        <v>0</v>
      </c>
      <c r="P256">
        <v>13.617061614990201</v>
      </c>
      <c r="Q256">
        <v>3.9561817646026598</v>
      </c>
      <c r="R256">
        <v>2.1693818569183398</v>
      </c>
      <c r="S256" t="s">
        <v>743</v>
      </c>
      <c r="T256" t="s">
        <v>859</v>
      </c>
      <c r="U256" t="s">
        <v>858</v>
      </c>
      <c r="V256" t="s">
        <v>858</v>
      </c>
      <c r="W256" s="3">
        <v>1009</v>
      </c>
      <c r="X256" s="3">
        <v>1870000</v>
      </c>
      <c r="Y256">
        <v>2</v>
      </c>
      <c r="Z256" s="3">
        <v>555</v>
      </c>
      <c r="AA256" s="3">
        <v>1067</v>
      </c>
      <c r="AB256" s="3">
        <v>1015</v>
      </c>
      <c r="AC256" s="3">
        <v>1118</v>
      </c>
      <c r="AD256" s="3">
        <v>1108</v>
      </c>
      <c r="AE256" s="3">
        <v>1095</v>
      </c>
      <c r="AF256" s="3">
        <v>1083</v>
      </c>
      <c r="AG256" s="3">
        <v>1078</v>
      </c>
      <c r="AH256" s="3">
        <v>1083</v>
      </c>
      <c r="AI256" s="3">
        <v>1070</v>
      </c>
      <c r="AJ256" s="3">
        <v>1059</v>
      </c>
      <c r="AK256" s="3">
        <v>1048</v>
      </c>
      <c r="AL256" s="3">
        <v>1037</v>
      </c>
      <c r="AM256" s="3">
        <v>1025</v>
      </c>
      <c r="AN256" s="3">
        <v>1009</v>
      </c>
      <c r="AO256" s="3">
        <v>994</v>
      </c>
      <c r="AP256" s="3">
        <v>978</v>
      </c>
      <c r="AQ256" s="3">
        <v>992</v>
      </c>
      <c r="AR256" s="4">
        <v>522.99465240641712</v>
      </c>
      <c r="AS256" s="5">
        <f t="shared" si="32"/>
        <v>11.531531531531531</v>
      </c>
      <c r="AT256" s="5">
        <f t="shared" si="33"/>
        <v>-0.54149744871394356</v>
      </c>
      <c r="AU256" s="5">
        <f t="shared" si="34"/>
        <v>0.66995073891625612</v>
      </c>
      <c r="AV256" s="5">
        <f t="shared" si="35"/>
        <v>-0.96952908587257625</v>
      </c>
      <c r="AW256" s="5">
        <f t="shared" si="36"/>
        <v>4.8754636989931104</v>
      </c>
      <c r="AX256" s="5">
        <f t="shared" si="37"/>
        <v>-0.18226600985221675</v>
      </c>
      <c r="AY256" s="5">
        <f t="shared" si="38"/>
        <v>2.0598977355734114</v>
      </c>
      <c r="AZ256">
        <f t="shared" si="39"/>
        <v>1880000</v>
      </c>
      <c r="BA256">
        <v>0</v>
      </c>
      <c r="BB256">
        <v>600000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970000</v>
      </c>
      <c r="BK256">
        <v>0</v>
      </c>
      <c r="BL256">
        <v>0</v>
      </c>
      <c r="BM256">
        <v>220000</v>
      </c>
      <c r="BN256">
        <v>0</v>
      </c>
      <c r="BO256">
        <v>20000</v>
      </c>
      <c r="BP256">
        <v>70000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T256">
        <v>23.936170212766001</v>
      </c>
      <c r="CU256">
        <v>72.340425531914946</v>
      </c>
      <c r="CV256">
        <v>3.7234042553191502</v>
      </c>
      <c r="CW256">
        <v>0</v>
      </c>
      <c r="CX256">
        <v>0</v>
      </c>
      <c r="CY256">
        <v>27.127659574468101</v>
      </c>
      <c r="CZ256">
        <v>69.148936170212835</v>
      </c>
      <c r="DA256">
        <v>3.7234042553191502</v>
      </c>
      <c r="DB256">
        <v>0</v>
      </c>
      <c r="DC256">
        <v>0</v>
      </c>
      <c r="DD256">
        <v>31.914893617021299</v>
      </c>
      <c r="DE256">
        <v>64.36170212765964</v>
      </c>
      <c r="DF256">
        <v>3.7234042553191502</v>
      </c>
      <c r="DG256">
        <v>0</v>
      </c>
      <c r="DH256">
        <v>0</v>
      </c>
      <c r="DI256">
        <v>31.914893617021299</v>
      </c>
      <c r="DJ256">
        <v>64.36170212765964</v>
      </c>
      <c r="DK256">
        <v>3.7234042553191502</v>
      </c>
      <c r="DL256">
        <v>0</v>
      </c>
      <c r="DM256">
        <v>0</v>
      </c>
      <c r="DN256">
        <v>31.914893617021299</v>
      </c>
      <c r="DO256">
        <v>64.36170212765964</v>
      </c>
      <c r="DP256">
        <v>3.7234042553191502</v>
      </c>
      <c r="DQ256">
        <v>0</v>
      </c>
      <c r="DR256">
        <v>0</v>
      </c>
      <c r="DS256" t="s">
        <v>312</v>
      </c>
      <c r="DT256" t="s">
        <v>313</v>
      </c>
      <c r="DU256">
        <v>988</v>
      </c>
      <c r="DV256" t="s">
        <v>547</v>
      </c>
      <c r="DW256" t="s">
        <v>548</v>
      </c>
      <c r="DX256">
        <v>86</v>
      </c>
      <c r="DY256">
        <v>130</v>
      </c>
      <c r="DZ256">
        <v>216</v>
      </c>
      <c r="EA256">
        <v>606779</v>
      </c>
      <c r="EB256">
        <v>388178</v>
      </c>
      <c r="EC256">
        <v>994957</v>
      </c>
      <c r="ED256" t="s">
        <v>751</v>
      </c>
      <c r="EE256" t="s">
        <v>752</v>
      </c>
      <c r="EF256" t="s">
        <v>753</v>
      </c>
      <c r="EG256" t="s">
        <v>754</v>
      </c>
    </row>
    <row r="257" spans="1:137" ht="14.55" customHeight="1" x14ac:dyDescent="0.3">
      <c r="A257" t="s">
        <v>860</v>
      </c>
      <c r="B257">
        <v>1399</v>
      </c>
      <c r="C257" t="s">
        <v>861</v>
      </c>
      <c r="D257" t="s">
        <v>543</v>
      </c>
      <c r="E257" t="s">
        <v>741</v>
      </c>
      <c r="F257" t="s">
        <v>742</v>
      </c>
      <c r="G257" t="s">
        <v>763</v>
      </c>
      <c r="H257" s="3">
        <v>3264213.8694699998</v>
      </c>
      <c r="I257">
        <v>326</v>
      </c>
      <c r="J257" s="3">
        <v>326.42138694799996</v>
      </c>
      <c r="K257">
        <v>460</v>
      </c>
      <c r="L257">
        <v>526</v>
      </c>
      <c r="M257">
        <v>482.78890912770697</v>
      </c>
      <c r="N257">
        <v>9.1016303267255996</v>
      </c>
      <c r="O257">
        <v>0</v>
      </c>
      <c r="P257">
        <v>14.780768394470201</v>
      </c>
      <c r="Q257">
        <v>3.6510634422302202</v>
      </c>
      <c r="R257">
        <v>2.1955475807189901</v>
      </c>
      <c r="S257" t="s">
        <v>743</v>
      </c>
      <c r="T257" t="s">
        <v>862</v>
      </c>
      <c r="U257" t="s">
        <v>861</v>
      </c>
      <c r="V257" t="s">
        <v>861</v>
      </c>
      <c r="W257" s="3">
        <v>2062</v>
      </c>
      <c r="X257" s="3">
        <v>3260000</v>
      </c>
      <c r="Y257">
        <v>2</v>
      </c>
      <c r="Z257" s="3">
        <v>1002</v>
      </c>
      <c r="AA257" s="3">
        <v>1211</v>
      </c>
      <c r="AB257" s="3">
        <v>1348</v>
      </c>
      <c r="AC257" s="3">
        <v>1512</v>
      </c>
      <c r="AD257" s="3">
        <v>1536</v>
      </c>
      <c r="AE257" s="3">
        <v>1581</v>
      </c>
      <c r="AF257" s="3">
        <v>1593</v>
      </c>
      <c r="AG257" s="3">
        <v>1649</v>
      </c>
      <c r="AH257" s="3">
        <v>1706</v>
      </c>
      <c r="AI257" s="3">
        <v>1762</v>
      </c>
      <c r="AJ257" s="3">
        <v>1873</v>
      </c>
      <c r="AK257" s="3">
        <v>1923</v>
      </c>
      <c r="AL257" s="3">
        <v>1969</v>
      </c>
      <c r="AM257" s="3">
        <v>2016</v>
      </c>
      <c r="AN257" s="3">
        <v>2062</v>
      </c>
      <c r="AO257" s="3">
        <v>2089</v>
      </c>
      <c r="AP257" s="3">
        <v>2107</v>
      </c>
      <c r="AQ257" s="3">
        <v>2412</v>
      </c>
      <c r="AR257" s="4">
        <v>646.31901840490798</v>
      </c>
      <c r="AS257" s="5">
        <f t="shared" si="32"/>
        <v>2.6072854291417165</v>
      </c>
      <c r="AT257" s="5">
        <f t="shared" si="33"/>
        <v>1.2569960546839158</v>
      </c>
      <c r="AU257" s="5">
        <f t="shared" si="34"/>
        <v>1.8175074183976261</v>
      </c>
      <c r="AV257" s="5">
        <f t="shared" si="35"/>
        <v>3.2266164469554299</v>
      </c>
      <c r="AW257" s="5">
        <f t="shared" si="36"/>
        <v>2.0312316543383822</v>
      </c>
      <c r="AX257" s="5">
        <f t="shared" si="37"/>
        <v>2.8152818991097921</v>
      </c>
      <c r="AY257" s="5">
        <f t="shared" si="38"/>
        <v>2.980525435615256</v>
      </c>
      <c r="AZ257">
        <f t="shared" si="39"/>
        <v>3250000</v>
      </c>
      <c r="BA257">
        <v>0</v>
      </c>
      <c r="BB257">
        <v>910000</v>
      </c>
      <c r="BC257">
        <v>50000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1340000</v>
      </c>
      <c r="BK257">
        <v>0</v>
      </c>
      <c r="BL257">
        <v>0</v>
      </c>
      <c r="BM257">
        <v>0</v>
      </c>
      <c r="BN257">
        <v>0</v>
      </c>
      <c r="BO257">
        <v>600000</v>
      </c>
      <c r="BP257">
        <v>350000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T257">
        <v>25.230769230769241</v>
      </c>
      <c r="CU257">
        <v>64.000000000000028</v>
      </c>
      <c r="CV257">
        <v>10.7692307692308</v>
      </c>
      <c r="CW257">
        <v>0</v>
      </c>
      <c r="CX257">
        <v>0</v>
      </c>
      <c r="CY257">
        <v>27.69230769230774</v>
      </c>
      <c r="CZ257">
        <v>61.538461538461497</v>
      </c>
      <c r="DA257">
        <v>10.7692307692308</v>
      </c>
      <c r="DB257">
        <v>0</v>
      </c>
      <c r="DC257">
        <v>0</v>
      </c>
      <c r="DD257">
        <v>29.53846153846154</v>
      </c>
      <c r="DE257">
        <v>59.692307692307693</v>
      </c>
      <c r="DF257">
        <v>10.7692307692308</v>
      </c>
      <c r="DG257">
        <v>0</v>
      </c>
      <c r="DH257">
        <v>0</v>
      </c>
      <c r="DI257">
        <v>29.53846153846154</v>
      </c>
      <c r="DJ257">
        <v>59.692307692307693</v>
      </c>
      <c r="DK257">
        <v>10.7692307692308</v>
      </c>
      <c r="DL257">
        <v>0</v>
      </c>
      <c r="DM257">
        <v>0</v>
      </c>
      <c r="DN257">
        <v>29.53846153846154</v>
      </c>
      <c r="DO257">
        <v>59.692307692307693</v>
      </c>
      <c r="DP257">
        <v>10.7692307692308</v>
      </c>
      <c r="DQ257">
        <v>0</v>
      </c>
      <c r="DR257">
        <v>0</v>
      </c>
      <c r="DS257" t="s">
        <v>312</v>
      </c>
      <c r="DT257" t="s">
        <v>313</v>
      </c>
      <c r="DU257">
        <v>2145</v>
      </c>
      <c r="DV257" t="s">
        <v>547</v>
      </c>
      <c r="DW257" t="s">
        <v>548</v>
      </c>
      <c r="DX257">
        <v>86</v>
      </c>
      <c r="DY257">
        <v>130</v>
      </c>
      <c r="DZ257">
        <v>216</v>
      </c>
      <c r="EA257">
        <v>606779</v>
      </c>
      <c r="EB257">
        <v>388178</v>
      </c>
      <c r="EC257">
        <v>994957</v>
      </c>
      <c r="ED257" t="s">
        <v>759</v>
      </c>
      <c r="EE257" t="s">
        <v>757</v>
      </c>
      <c r="EF257" t="s">
        <v>746</v>
      </c>
      <c r="EG257" t="s">
        <v>760</v>
      </c>
    </row>
    <row r="258" spans="1:137" ht="14.55" customHeight="1" x14ac:dyDescent="0.3">
      <c r="A258" t="s">
        <v>863</v>
      </c>
      <c r="B258">
        <v>1401</v>
      </c>
      <c r="C258" t="s">
        <v>864</v>
      </c>
      <c r="D258" t="s">
        <v>543</v>
      </c>
      <c r="E258" t="s">
        <v>741</v>
      </c>
      <c r="F258" t="s">
        <v>742</v>
      </c>
      <c r="G258" t="s">
        <v>763</v>
      </c>
      <c r="H258" s="3">
        <v>9810266.8108600006</v>
      </c>
      <c r="I258">
        <v>978</v>
      </c>
      <c r="J258" s="3">
        <v>981.02668108699993</v>
      </c>
      <c r="K258">
        <v>430</v>
      </c>
      <c r="L258">
        <v>1718</v>
      </c>
      <c r="M258">
        <v>804.44670529578195</v>
      </c>
      <c r="N258">
        <v>416.91735545437001</v>
      </c>
      <c r="O258">
        <v>0</v>
      </c>
      <c r="P258">
        <v>41.589366912841797</v>
      </c>
      <c r="Q258">
        <v>10.9108333587646</v>
      </c>
      <c r="R258">
        <v>8.1184377670288104</v>
      </c>
      <c r="S258" t="s">
        <v>743</v>
      </c>
      <c r="T258" t="s">
        <v>759</v>
      </c>
      <c r="U258" t="s">
        <v>864</v>
      </c>
      <c r="V258" t="s">
        <v>864</v>
      </c>
      <c r="W258" s="3">
        <v>2084</v>
      </c>
      <c r="X258" s="3">
        <v>9800000</v>
      </c>
      <c r="Y258">
        <v>2</v>
      </c>
      <c r="Z258" s="3">
        <v>946</v>
      </c>
      <c r="AA258" s="3">
        <v>1201</v>
      </c>
      <c r="AB258" s="3">
        <v>1247</v>
      </c>
      <c r="AC258" s="3">
        <v>1517</v>
      </c>
      <c r="AD258" s="3">
        <v>1571</v>
      </c>
      <c r="AE258" s="3">
        <v>1706</v>
      </c>
      <c r="AF258" s="3">
        <v>1842</v>
      </c>
      <c r="AG258" s="3">
        <v>1977</v>
      </c>
      <c r="AH258" s="3">
        <v>2005</v>
      </c>
      <c r="AI258" s="3">
        <v>2035</v>
      </c>
      <c r="AJ258" s="3">
        <v>2028</v>
      </c>
      <c r="AK258" s="3">
        <v>2022</v>
      </c>
      <c r="AL258" s="3">
        <v>2015</v>
      </c>
      <c r="AM258" s="3">
        <v>2045</v>
      </c>
      <c r="AN258" s="3">
        <v>2084</v>
      </c>
      <c r="AO258" s="3">
        <v>2126</v>
      </c>
      <c r="AP258" s="3">
        <v>2167</v>
      </c>
      <c r="AQ258" s="3">
        <v>2218</v>
      </c>
      <c r="AR258" s="4">
        <v>221.12244897959184</v>
      </c>
      <c r="AS258" s="5">
        <f t="shared" si="32"/>
        <v>3.3694503171247359</v>
      </c>
      <c r="AT258" s="5">
        <f t="shared" si="33"/>
        <v>0.42557128318993431</v>
      </c>
      <c r="AU258" s="5">
        <f t="shared" si="34"/>
        <v>4.7714514835605453</v>
      </c>
      <c r="AV258" s="5">
        <f t="shared" si="35"/>
        <v>1.7643865363735072</v>
      </c>
      <c r="AW258" s="5">
        <f t="shared" si="36"/>
        <v>1.8716577540106951</v>
      </c>
      <c r="AX258" s="5">
        <f t="shared" si="37"/>
        <v>3.6888532477947074</v>
      </c>
      <c r="AY258" s="5">
        <f t="shared" si="38"/>
        <v>3.4883720930232558</v>
      </c>
      <c r="AZ258">
        <f t="shared" si="39"/>
        <v>9770000</v>
      </c>
      <c r="BA258">
        <v>0</v>
      </c>
      <c r="BB258">
        <v>1210000</v>
      </c>
      <c r="BC258">
        <v>120000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1500000</v>
      </c>
      <c r="BK258">
        <v>0</v>
      </c>
      <c r="BL258">
        <v>0</v>
      </c>
      <c r="BM258">
        <v>1250000</v>
      </c>
      <c r="BN258">
        <v>340000</v>
      </c>
      <c r="BO258">
        <v>660000</v>
      </c>
      <c r="BP258">
        <v>3320000</v>
      </c>
      <c r="BQ258">
        <v>130000</v>
      </c>
      <c r="BR258">
        <v>0</v>
      </c>
      <c r="BS258">
        <v>1240000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T258">
        <v>13.613101330603939</v>
      </c>
      <c r="CU258">
        <v>37.973387922210897</v>
      </c>
      <c r="CV258">
        <v>48.413510747185299</v>
      </c>
      <c r="CW258">
        <v>0</v>
      </c>
      <c r="CX258">
        <v>0</v>
      </c>
      <c r="CY258">
        <v>13.613101330603939</v>
      </c>
      <c r="CZ258">
        <v>38.485158648925321</v>
      </c>
      <c r="DA258">
        <v>47.901740020470797</v>
      </c>
      <c r="DB258">
        <v>0</v>
      </c>
      <c r="DC258">
        <v>0</v>
      </c>
      <c r="DD258">
        <v>13.71545547594674</v>
      </c>
      <c r="DE258">
        <v>38.382804503582399</v>
      </c>
      <c r="DF258">
        <v>47.901740020470797</v>
      </c>
      <c r="DG258">
        <v>0</v>
      </c>
      <c r="DH258">
        <v>0</v>
      </c>
      <c r="DI258">
        <v>13.613101330603939</v>
      </c>
      <c r="DJ258">
        <v>38.382804503582399</v>
      </c>
      <c r="DK258">
        <v>48.004094165813697</v>
      </c>
      <c r="DL258">
        <v>0</v>
      </c>
      <c r="DM258">
        <v>0</v>
      </c>
      <c r="DN258">
        <v>13.613101330603939</v>
      </c>
      <c r="DO258">
        <v>38.382804503582399</v>
      </c>
      <c r="DP258">
        <v>48.004094165813697</v>
      </c>
      <c r="DQ258">
        <v>0</v>
      </c>
      <c r="DR258">
        <v>0</v>
      </c>
      <c r="DS258" t="s">
        <v>564</v>
      </c>
      <c r="DT258" t="s">
        <v>313</v>
      </c>
      <c r="DU258">
        <v>2209</v>
      </c>
      <c r="DV258" t="s">
        <v>547</v>
      </c>
      <c r="DW258" t="s">
        <v>548</v>
      </c>
      <c r="DX258">
        <v>86</v>
      </c>
      <c r="DY258">
        <v>130</v>
      </c>
      <c r="DZ258">
        <v>216</v>
      </c>
      <c r="EA258">
        <v>606779</v>
      </c>
      <c r="EB258">
        <v>388178</v>
      </c>
      <c r="EC258">
        <v>994957</v>
      </c>
      <c r="ED258" t="s">
        <v>807</v>
      </c>
      <c r="EE258" t="s">
        <v>808</v>
      </c>
      <c r="EF258" t="s">
        <v>746</v>
      </c>
      <c r="EG258" t="s">
        <v>760</v>
      </c>
    </row>
    <row r="259" spans="1:137" ht="14.55" customHeight="1" x14ac:dyDescent="0.3">
      <c r="A259" t="s">
        <v>865</v>
      </c>
      <c r="B259">
        <v>1419</v>
      </c>
      <c r="C259" t="s">
        <v>763</v>
      </c>
      <c r="D259" t="s">
        <v>543</v>
      </c>
      <c r="E259" t="s">
        <v>741</v>
      </c>
      <c r="F259" t="s">
        <v>742</v>
      </c>
      <c r="G259" t="s">
        <v>763</v>
      </c>
      <c r="H259" s="3">
        <v>28778067.717099998</v>
      </c>
      <c r="I259">
        <v>2873</v>
      </c>
      <c r="J259" s="3">
        <v>2877.8067717099998</v>
      </c>
      <c r="K259">
        <v>405</v>
      </c>
      <c r="L259">
        <v>1732</v>
      </c>
      <c r="M259">
        <v>852.30775598427203</v>
      </c>
      <c r="N259">
        <v>424.16882797276298</v>
      </c>
      <c r="O259">
        <v>0</v>
      </c>
      <c r="P259">
        <v>53.512062072753899</v>
      </c>
      <c r="Q259">
        <v>11.760933876037599</v>
      </c>
      <c r="R259">
        <v>8.6164999008178693</v>
      </c>
      <c r="S259" t="s">
        <v>743</v>
      </c>
      <c r="T259" t="s">
        <v>866</v>
      </c>
      <c r="U259" t="s">
        <v>763</v>
      </c>
      <c r="V259" t="s">
        <v>763</v>
      </c>
      <c r="W259" s="3">
        <v>6038</v>
      </c>
      <c r="X259" s="3">
        <v>28770000</v>
      </c>
      <c r="Y259">
        <v>2</v>
      </c>
      <c r="Z259" s="3">
        <v>2112</v>
      </c>
      <c r="AA259" s="3">
        <v>3015</v>
      </c>
      <c r="AB259" s="3">
        <v>4063</v>
      </c>
      <c r="AC259" s="3">
        <v>4746</v>
      </c>
      <c r="AD259" s="3">
        <v>4842</v>
      </c>
      <c r="AE259" s="3">
        <v>4938</v>
      </c>
      <c r="AF259" s="3">
        <v>5031</v>
      </c>
      <c r="AG259" s="3">
        <v>5205</v>
      </c>
      <c r="AH259" s="3">
        <v>5461</v>
      </c>
      <c r="AI259" s="3">
        <v>5733</v>
      </c>
      <c r="AJ259" s="3">
        <v>6006</v>
      </c>
      <c r="AK259" s="3">
        <v>6061</v>
      </c>
      <c r="AL259" s="3">
        <v>6161</v>
      </c>
      <c r="AM259" s="3">
        <v>6094</v>
      </c>
      <c r="AN259" s="3">
        <v>6038</v>
      </c>
      <c r="AO259" s="3">
        <v>5981</v>
      </c>
      <c r="AP259" s="3">
        <v>6021</v>
      </c>
      <c r="AQ259" s="3">
        <v>6136</v>
      </c>
      <c r="AR259" s="4">
        <v>209.28050052137644</v>
      </c>
      <c r="AS259" s="5">
        <f t="shared" si="32"/>
        <v>5.3444602272727275</v>
      </c>
      <c r="AT259" s="5">
        <f t="shared" si="33"/>
        <v>3.8621706283397823</v>
      </c>
      <c r="AU259" s="5">
        <f t="shared" si="34"/>
        <v>2.3824760029534828</v>
      </c>
      <c r="AV259" s="5">
        <f t="shared" si="35"/>
        <v>1.9677996422182469</v>
      </c>
      <c r="AW259" s="5">
        <f t="shared" si="36"/>
        <v>5.4339349376114088</v>
      </c>
      <c r="AX259" s="5">
        <f t="shared" si="37"/>
        <v>2.409549593896136</v>
      </c>
      <c r="AY259" s="5">
        <f t="shared" si="38"/>
        <v>5.0023034398034394</v>
      </c>
      <c r="AZ259">
        <f t="shared" si="39"/>
        <v>28700000</v>
      </c>
      <c r="BA259">
        <v>0</v>
      </c>
      <c r="BB259">
        <v>2530000</v>
      </c>
      <c r="BC259">
        <v>320000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2850000</v>
      </c>
      <c r="BK259">
        <v>0</v>
      </c>
      <c r="BL259">
        <v>0</v>
      </c>
      <c r="BM259">
        <v>2220000</v>
      </c>
      <c r="BN259">
        <v>3490000</v>
      </c>
      <c r="BO259">
        <v>1090000</v>
      </c>
      <c r="BP259">
        <v>7390000</v>
      </c>
      <c r="BQ259">
        <v>2900000</v>
      </c>
      <c r="BR259">
        <v>290000</v>
      </c>
      <c r="BS259">
        <v>4440000</v>
      </c>
      <c r="BT259">
        <v>0</v>
      </c>
      <c r="BU259">
        <v>0</v>
      </c>
      <c r="BV259">
        <v>0</v>
      </c>
      <c r="BW259">
        <v>0</v>
      </c>
      <c r="BX259">
        <v>1180000</v>
      </c>
      <c r="BY259">
        <v>0</v>
      </c>
      <c r="BZ259">
        <v>0</v>
      </c>
      <c r="CA259">
        <v>0</v>
      </c>
      <c r="CT259">
        <v>8.4320557491289208</v>
      </c>
      <c r="CU259">
        <v>34.982578397212507</v>
      </c>
      <c r="CV259">
        <v>56.585365853658523</v>
      </c>
      <c r="CW259">
        <v>0</v>
      </c>
      <c r="CX259">
        <v>0</v>
      </c>
      <c r="CY259">
        <v>9.1986062717770096</v>
      </c>
      <c r="CZ259">
        <v>34.216027874564439</v>
      </c>
      <c r="DA259">
        <v>56.585365853658487</v>
      </c>
      <c r="DB259">
        <v>0</v>
      </c>
      <c r="DC259">
        <v>0</v>
      </c>
      <c r="DD259">
        <v>9.8257839721254303</v>
      </c>
      <c r="DE259">
        <v>33.728222996515683</v>
      </c>
      <c r="DF259">
        <v>56.445993031358881</v>
      </c>
      <c r="DG259">
        <v>0</v>
      </c>
      <c r="DH259">
        <v>0</v>
      </c>
      <c r="DI259">
        <v>9.9303135888501703</v>
      </c>
      <c r="DJ259">
        <v>33.623693379790936</v>
      </c>
      <c r="DK259">
        <v>56.445993031358817</v>
      </c>
      <c r="DL259">
        <v>0</v>
      </c>
      <c r="DM259">
        <v>0</v>
      </c>
      <c r="DN259">
        <v>9.9303135888501703</v>
      </c>
      <c r="DO259">
        <v>33.623693379790936</v>
      </c>
      <c r="DP259">
        <v>56.445993031358817</v>
      </c>
      <c r="DQ259">
        <v>0</v>
      </c>
      <c r="DR259">
        <v>0</v>
      </c>
      <c r="DS259" t="s">
        <v>564</v>
      </c>
      <c r="DT259" t="s">
        <v>313</v>
      </c>
      <c r="DU259">
        <v>6119</v>
      </c>
      <c r="DV259" t="s">
        <v>547</v>
      </c>
      <c r="DW259" t="s">
        <v>548</v>
      </c>
      <c r="DX259">
        <v>86</v>
      </c>
      <c r="DY259">
        <v>130</v>
      </c>
      <c r="DZ259">
        <v>216</v>
      </c>
      <c r="EA259">
        <v>606779</v>
      </c>
      <c r="EB259">
        <v>388178</v>
      </c>
      <c r="EC259">
        <v>994957</v>
      </c>
      <c r="ED259" t="s">
        <v>807</v>
      </c>
      <c r="EE259" t="s">
        <v>808</v>
      </c>
      <c r="EF259" t="s">
        <v>746</v>
      </c>
      <c r="EG259" t="s">
        <v>760</v>
      </c>
    </row>
    <row r="260" spans="1:137" ht="14.55" customHeight="1" x14ac:dyDescent="0.3">
      <c r="A260" t="s">
        <v>867</v>
      </c>
      <c r="B260">
        <v>1435</v>
      </c>
      <c r="C260" t="s">
        <v>868</v>
      </c>
      <c r="D260" t="s">
        <v>543</v>
      </c>
      <c r="E260" t="s">
        <v>741</v>
      </c>
      <c r="F260" t="s">
        <v>742</v>
      </c>
      <c r="G260" t="s">
        <v>757</v>
      </c>
      <c r="H260" s="3">
        <v>5862954.6779899998</v>
      </c>
      <c r="I260">
        <v>585</v>
      </c>
      <c r="J260" s="3">
        <v>586.29546773100003</v>
      </c>
      <c r="K260">
        <v>444</v>
      </c>
      <c r="L260">
        <v>512</v>
      </c>
      <c r="M260">
        <v>477.304102795311</v>
      </c>
      <c r="N260">
        <v>11.2476003384929</v>
      </c>
      <c r="O260">
        <v>0</v>
      </c>
      <c r="P260">
        <v>18.6957683563232</v>
      </c>
      <c r="Q260">
        <v>3.8013079166412398</v>
      </c>
      <c r="R260">
        <v>2.3349742889404301</v>
      </c>
      <c r="S260" t="s">
        <v>743</v>
      </c>
      <c r="T260" t="s">
        <v>869</v>
      </c>
      <c r="U260" t="s">
        <v>868</v>
      </c>
      <c r="V260" t="s">
        <v>868</v>
      </c>
      <c r="W260" s="3">
        <v>2176</v>
      </c>
      <c r="X260" s="3">
        <v>5860000</v>
      </c>
      <c r="Y260">
        <v>2</v>
      </c>
      <c r="Z260" s="3">
        <v>1118</v>
      </c>
      <c r="AA260" s="3">
        <v>1866</v>
      </c>
      <c r="AB260" s="3">
        <v>1712</v>
      </c>
      <c r="AC260" s="3">
        <v>2027</v>
      </c>
      <c r="AD260" s="3">
        <v>2048</v>
      </c>
      <c r="AE260" s="3">
        <v>2068</v>
      </c>
      <c r="AF260" s="3">
        <v>2089</v>
      </c>
      <c r="AG260" s="3">
        <v>2144</v>
      </c>
      <c r="AH260" s="3">
        <v>2130</v>
      </c>
      <c r="AI260" s="3">
        <v>2143</v>
      </c>
      <c r="AJ260" s="3">
        <v>2157</v>
      </c>
      <c r="AK260" s="3">
        <v>2170</v>
      </c>
      <c r="AL260" s="3">
        <v>2183</v>
      </c>
      <c r="AM260" s="3">
        <v>2186</v>
      </c>
      <c r="AN260" s="3">
        <v>2176</v>
      </c>
      <c r="AO260" s="3">
        <v>2167</v>
      </c>
      <c r="AP260" s="3">
        <v>2157</v>
      </c>
      <c r="AQ260" s="3">
        <v>2137</v>
      </c>
      <c r="AR260" s="4">
        <v>368.08873720136518</v>
      </c>
      <c r="AS260" s="5">
        <f t="shared" ref="AS260:AS323" si="42">(AA260-Z260)/Z260/8*100</f>
        <v>8.363148479427549</v>
      </c>
      <c r="AT260" s="5">
        <f t="shared" ref="AT260:AT323" si="43">(AB260-AA260)/AA260/9*100</f>
        <v>-0.91699416458258898</v>
      </c>
      <c r="AU260" s="5">
        <f t="shared" ref="AU260:AU323" si="44">(AF260-AB260)/AB260/10*100</f>
        <v>2.2021028037383177</v>
      </c>
      <c r="AV260" s="5">
        <f t="shared" ref="AV260:AV323" si="45">(AP260-AF260)/AF260/10*100</f>
        <v>0.32551460028721879</v>
      </c>
      <c r="AW260" s="5">
        <f t="shared" ref="AW260:AW323" si="46">(AB260-Z260)/Z260/17*100</f>
        <v>3.1253288435230981</v>
      </c>
      <c r="AX260" s="5">
        <f t="shared" ref="AX260:AX323" si="47">(AP260-AB260)/AB260/20*100</f>
        <v>1.2996495327102804</v>
      </c>
      <c r="AY260" s="5">
        <f t="shared" ref="AY260:AY323" si="48">(AP260-Z260)/Z260/37*100</f>
        <v>2.5117246047478607</v>
      </c>
      <c r="AZ260">
        <f t="shared" si="39"/>
        <v>5860000</v>
      </c>
      <c r="BA260">
        <v>0</v>
      </c>
      <c r="BB260">
        <v>830000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2110000</v>
      </c>
      <c r="BK260">
        <v>0</v>
      </c>
      <c r="BL260">
        <v>0</v>
      </c>
      <c r="BM260">
        <v>1280000</v>
      </c>
      <c r="BN260">
        <v>0</v>
      </c>
      <c r="BO260">
        <v>520000</v>
      </c>
      <c r="BP260">
        <v>1100000</v>
      </c>
      <c r="BQ260">
        <v>0</v>
      </c>
      <c r="BR260">
        <v>20000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T260">
        <v>12.627986348122899</v>
      </c>
      <c r="CU260">
        <v>67.576791808873708</v>
      </c>
      <c r="CV260">
        <v>19.7952218430034</v>
      </c>
      <c r="CW260">
        <v>0</v>
      </c>
      <c r="CX260">
        <v>0</v>
      </c>
      <c r="CY260">
        <v>12.627986348122899</v>
      </c>
      <c r="CZ260">
        <v>68.430034129692814</v>
      </c>
      <c r="DA260">
        <v>18.941979522184301</v>
      </c>
      <c r="DB260">
        <v>0</v>
      </c>
      <c r="DC260">
        <v>0</v>
      </c>
      <c r="DD260">
        <v>14.1638225255973</v>
      </c>
      <c r="DE260">
        <v>66.552901023890769</v>
      </c>
      <c r="DF260">
        <v>19.283276450511899</v>
      </c>
      <c r="DG260">
        <v>0</v>
      </c>
      <c r="DH260">
        <v>0</v>
      </c>
      <c r="DI260">
        <v>14.1638225255973</v>
      </c>
      <c r="DJ260">
        <v>66.723549488054672</v>
      </c>
      <c r="DK260">
        <v>19.112627986348102</v>
      </c>
      <c r="DL260">
        <v>0</v>
      </c>
      <c r="DM260">
        <v>0</v>
      </c>
      <c r="DN260">
        <v>14.1638225255973</v>
      </c>
      <c r="DO260">
        <v>66.723549488054672</v>
      </c>
      <c r="DP260">
        <v>19.112627986348102</v>
      </c>
      <c r="DQ260">
        <v>0</v>
      </c>
      <c r="DR260">
        <v>0</v>
      </c>
      <c r="DS260" t="s">
        <v>312</v>
      </c>
      <c r="DT260" t="s">
        <v>313</v>
      </c>
      <c r="DU260">
        <v>2146</v>
      </c>
      <c r="DV260" t="s">
        <v>547</v>
      </c>
      <c r="DW260" t="s">
        <v>548</v>
      </c>
      <c r="DX260">
        <v>86</v>
      </c>
      <c r="DY260">
        <v>130</v>
      </c>
      <c r="DZ260">
        <v>216</v>
      </c>
      <c r="EA260">
        <v>606779</v>
      </c>
      <c r="EB260">
        <v>388178</v>
      </c>
      <c r="EC260">
        <v>994957</v>
      </c>
      <c r="ED260" t="s">
        <v>774</v>
      </c>
      <c r="EE260" t="s">
        <v>868</v>
      </c>
      <c r="EF260" t="s">
        <v>746</v>
      </c>
      <c r="EG260" t="s">
        <v>793</v>
      </c>
    </row>
    <row r="261" spans="1:137" ht="14.55" customHeight="1" x14ac:dyDescent="0.3">
      <c r="A261" t="s">
        <v>870</v>
      </c>
      <c r="B261">
        <v>1436</v>
      </c>
      <c r="C261" t="s">
        <v>871</v>
      </c>
      <c r="D261" t="s">
        <v>543</v>
      </c>
      <c r="E261" t="s">
        <v>741</v>
      </c>
      <c r="F261" t="s">
        <v>742</v>
      </c>
      <c r="G261" t="s">
        <v>757</v>
      </c>
      <c r="H261" s="3">
        <v>10738501.6197</v>
      </c>
      <c r="I261">
        <v>1077</v>
      </c>
      <c r="J261" s="3">
        <v>1073.85016197</v>
      </c>
      <c r="K261">
        <v>580</v>
      </c>
      <c r="L261">
        <v>1495</v>
      </c>
      <c r="M261">
        <v>967.05078701426498</v>
      </c>
      <c r="N261">
        <v>317.69397191567799</v>
      </c>
      <c r="O261">
        <v>0</v>
      </c>
      <c r="P261">
        <v>49.588710784912102</v>
      </c>
      <c r="Q261">
        <v>11.653883934021</v>
      </c>
      <c r="R261">
        <v>7.6348428726196298</v>
      </c>
      <c r="S261" t="s">
        <v>743</v>
      </c>
      <c r="T261" t="s">
        <v>872</v>
      </c>
      <c r="U261" t="s">
        <v>871</v>
      </c>
      <c r="V261" t="s">
        <v>871</v>
      </c>
      <c r="W261" s="3">
        <v>484</v>
      </c>
      <c r="X261" s="3">
        <v>10740000</v>
      </c>
      <c r="Y261">
        <v>2</v>
      </c>
      <c r="Z261" s="3">
        <v>295</v>
      </c>
      <c r="AA261" s="3">
        <v>363</v>
      </c>
      <c r="AB261" s="3">
        <v>449</v>
      </c>
      <c r="AC261" s="3">
        <v>508</v>
      </c>
      <c r="AD261" s="3">
        <v>511</v>
      </c>
      <c r="AE261" s="3">
        <v>520</v>
      </c>
      <c r="AF261" s="3">
        <v>523</v>
      </c>
      <c r="AG261" s="3">
        <v>526</v>
      </c>
      <c r="AH261" s="3">
        <v>529</v>
      </c>
      <c r="AI261" s="3">
        <v>530</v>
      </c>
      <c r="AJ261" s="3">
        <v>527</v>
      </c>
      <c r="AK261" s="3">
        <v>515</v>
      </c>
      <c r="AL261" s="3">
        <v>502</v>
      </c>
      <c r="AM261" s="3">
        <v>490</v>
      </c>
      <c r="AN261" s="3">
        <v>484</v>
      </c>
      <c r="AO261" s="3">
        <v>475</v>
      </c>
      <c r="AP261" s="3">
        <v>481</v>
      </c>
      <c r="AQ261" s="3">
        <v>502</v>
      </c>
      <c r="AR261" s="4">
        <v>44.785847299813781</v>
      </c>
      <c r="AS261" s="5">
        <f t="shared" si="42"/>
        <v>2.8813559322033897</v>
      </c>
      <c r="AT261" s="5">
        <f t="shared" si="43"/>
        <v>2.6323844505662688</v>
      </c>
      <c r="AU261" s="5">
        <f t="shared" si="44"/>
        <v>1.6481069042316256</v>
      </c>
      <c r="AV261" s="5">
        <f t="shared" si="45"/>
        <v>-0.80305927342256211</v>
      </c>
      <c r="AW261" s="5">
        <f t="shared" si="46"/>
        <v>3.0707876370887335</v>
      </c>
      <c r="AX261" s="5">
        <f t="shared" si="47"/>
        <v>0.35634743875278391</v>
      </c>
      <c r="AY261" s="5">
        <f t="shared" si="48"/>
        <v>1.7040769583142465</v>
      </c>
      <c r="AZ261">
        <f t="shared" si="39"/>
        <v>10770000</v>
      </c>
      <c r="BA261">
        <v>0</v>
      </c>
      <c r="BB261">
        <v>370000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2540000</v>
      </c>
      <c r="BN261">
        <v>590000</v>
      </c>
      <c r="BO261">
        <v>0</v>
      </c>
      <c r="BP261">
        <v>1490000</v>
      </c>
      <c r="BQ261">
        <v>1670000</v>
      </c>
      <c r="BR261">
        <v>3380000</v>
      </c>
      <c r="BS261">
        <v>730000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T261">
        <v>2.97121634168988</v>
      </c>
      <c r="CU261">
        <v>29.526462395543142</v>
      </c>
      <c r="CV261">
        <v>67.502321262766927</v>
      </c>
      <c r="CW261">
        <v>0</v>
      </c>
      <c r="CX261">
        <v>0</v>
      </c>
      <c r="CY261">
        <v>3.24976787372331</v>
      </c>
      <c r="CZ261">
        <v>29.24791086350972</v>
      </c>
      <c r="DA261">
        <v>67.502321262766941</v>
      </c>
      <c r="DB261">
        <v>0</v>
      </c>
      <c r="DC261">
        <v>0</v>
      </c>
      <c r="DD261">
        <v>3.4354688950789201</v>
      </c>
      <c r="DE261">
        <v>29.062209842154118</v>
      </c>
      <c r="DF261">
        <v>67.502321262766941</v>
      </c>
      <c r="DG261">
        <v>0</v>
      </c>
      <c r="DH261">
        <v>0</v>
      </c>
      <c r="DI261">
        <v>3.4354688950789201</v>
      </c>
      <c r="DJ261">
        <v>29.062209842154118</v>
      </c>
      <c r="DK261">
        <v>67.502321262766941</v>
      </c>
      <c r="DL261">
        <v>0</v>
      </c>
      <c r="DM261">
        <v>0</v>
      </c>
      <c r="DN261">
        <v>3.4354688950789201</v>
      </c>
      <c r="DO261">
        <v>29.062209842154118</v>
      </c>
      <c r="DP261">
        <v>67.502321262766941</v>
      </c>
      <c r="DQ261">
        <v>0</v>
      </c>
      <c r="DR261">
        <v>0</v>
      </c>
      <c r="DS261" t="s">
        <v>312</v>
      </c>
      <c r="DT261" t="s">
        <v>313</v>
      </c>
      <c r="DU261">
        <v>492</v>
      </c>
      <c r="DV261" t="s">
        <v>547</v>
      </c>
      <c r="DW261" t="s">
        <v>548</v>
      </c>
      <c r="DX261">
        <v>86</v>
      </c>
      <c r="DY261">
        <v>130</v>
      </c>
      <c r="DZ261">
        <v>216</v>
      </c>
      <c r="EA261">
        <v>606779</v>
      </c>
      <c r="EB261">
        <v>388178</v>
      </c>
      <c r="EC261">
        <v>994957</v>
      </c>
      <c r="ED261" t="s">
        <v>751</v>
      </c>
      <c r="EE261" t="s">
        <v>752</v>
      </c>
      <c r="EF261" t="s">
        <v>753</v>
      </c>
      <c r="EG261" t="s">
        <v>754</v>
      </c>
    </row>
    <row r="262" spans="1:137" ht="14.55" customHeight="1" x14ac:dyDescent="0.3">
      <c r="A262" t="s">
        <v>873</v>
      </c>
      <c r="B262">
        <v>1448</v>
      </c>
      <c r="C262" t="s">
        <v>874</v>
      </c>
      <c r="D262" t="s">
        <v>543</v>
      </c>
      <c r="E262" t="s">
        <v>741</v>
      </c>
      <c r="F262" t="s">
        <v>742</v>
      </c>
      <c r="G262" t="s">
        <v>740</v>
      </c>
      <c r="H262" s="3">
        <v>9015107.0151700005</v>
      </c>
      <c r="I262">
        <v>900</v>
      </c>
      <c r="J262" s="3">
        <v>901.51070151600004</v>
      </c>
      <c r="K262">
        <v>389</v>
      </c>
      <c r="L262">
        <v>1319</v>
      </c>
      <c r="M262">
        <v>902.255040470935</v>
      </c>
      <c r="N262">
        <v>323.80061839521198</v>
      </c>
      <c r="O262">
        <v>0</v>
      </c>
      <c r="P262">
        <v>31.0087985992432</v>
      </c>
      <c r="Q262">
        <v>8.3526153564453107</v>
      </c>
      <c r="R262">
        <v>5.0038189888000497</v>
      </c>
      <c r="S262" t="s">
        <v>743</v>
      </c>
      <c r="T262" t="s">
        <v>875</v>
      </c>
      <c r="U262" t="s">
        <v>874</v>
      </c>
      <c r="V262" t="s">
        <v>874</v>
      </c>
      <c r="W262" s="3">
        <v>376</v>
      </c>
      <c r="X262" s="3">
        <v>9010000</v>
      </c>
      <c r="Y262">
        <v>3</v>
      </c>
      <c r="Z262" s="3">
        <v>184</v>
      </c>
      <c r="AA262" s="3">
        <v>226</v>
      </c>
      <c r="AB262" s="3">
        <v>268</v>
      </c>
      <c r="AC262" s="3">
        <v>340</v>
      </c>
      <c r="AD262" s="3">
        <v>351</v>
      </c>
      <c r="AE262" s="3">
        <v>361</v>
      </c>
      <c r="AF262" s="3">
        <v>367</v>
      </c>
      <c r="AG262" s="3">
        <v>385</v>
      </c>
      <c r="AH262" s="3">
        <v>374</v>
      </c>
      <c r="AI262" s="3">
        <v>362</v>
      </c>
      <c r="AJ262" s="3">
        <v>351</v>
      </c>
      <c r="AK262" s="3">
        <v>356</v>
      </c>
      <c r="AL262" s="3">
        <v>354</v>
      </c>
      <c r="AM262" s="3">
        <v>365</v>
      </c>
      <c r="AN262" s="3">
        <v>376</v>
      </c>
      <c r="AO262" s="3">
        <v>387</v>
      </c>
      <c r="AP262" s="3">
        <v>389</v>
      </c>
      <c r="AQ262" s="3">
        <v>400</v>
      </c>
      <c r="AR262" s="4">
        <v>43.174250832408433</v>
      </c>
      <c r="AS262" s="5">
        <f t="shared" si="42"/>
        <v>2.8532608695652173</v>
      </c>
      <c r="AT262" s="5">
        <f t="shared" si="43"/>
        <v>2.0648967551622417</v>
      </c>
      <c r="AU262" s="5">
        <f t="shared" si="44"/>
        <v>3.6940298507462686</v>
      </c>
      <c r="AV262" s="5">
        <f t="shared" si="45"/>
        <v>0.59945504087193457</v>
      </c>
      <c r="AW262" s="5">
        <f t="shared" si="46"/>
        <v>2.6854219948849103</v>
      </c>
      <c r="AX262" s="5">
        <f t="shared" si="47"/>
        <v>2.2574626865671643</v>
      </c>
      <c r="AY262" s="5">
        <f t="shared" si="48"/>
        <v>3.0111633372502937</v>
      </c>
      <c r="AZ262">
        <f t="shared" ref="AZ262:AZ325" si="49">SUM(BA262:CA262)</f>
        <v>9000000</v>
      </c>
      <c r="BA262">
        <v>0</v>
      </c>
      <c r="BB262">
        <v>330000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640000</v>
      </c>
      <c r="BK262">
        <v>0</v>
      </c>
      <c r="BL262">
        <v>0</v>
      </c>
      <c r="BM262">
        <v>190000</v>
      </c>
      <c r="BN262">
        <v>0</v>
      </c>
      <c r="BO262">
        <v>1210000</v>
      </c>
      <c r="BP262">
        <v>2230000</v>
      </c>
      <c r="BQ262">
        <v>2320000</v>
      </c>
      <c r="BR262">
        <v>720000</v>
      </c>
      <c r="BS262">
        <v>640000</v>
      </c>
      <c r="BT262">
        <v>0</v>
      </c>
      <c r="BU262">
        <v>720000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T262">
        <v>0</v>
      </c>
      <c r="CU262">
        <v>25</v>
      </c>
      <c r="CV262">
        <v>75</v>
      </c>
      <c r="CW262">
        <v>0</v>
      </c>
      <c r="CX262">
        <v>0</v>
      </c>
      <c r="CY262">
        <v>0</v>
      </c>
      <c r="CZ262">
        <v>26.333333333333378</v>
      </c>
      <c r="DA262">
        <v>73.6666666666667</v>
      </c>
      <c r="DB262">
        <v>0</v>
      </c>
      <c r="DC262">
        <v>0</v>
      </c>
      <c r="DD262">
        <v>0</v>
      </c>
      <c r="DE262">
        <v>26.333333333333321</v>
      </c>
      <c r="DF262">
        <v>73.6666666666667</v>
      </c>
      <c r="DG262">
        <v>0</v>
      </c>
      <c r="DH262">
        <v>0</v>
      </c>
      <c r="DI262">
        <v>3.6666666666666701</v>
      </c>
      <c r="DJ262">
        <v>22.666666666666622</v>
      </c>
      <c r="DK262">
        <v>73.6666666666667</v>
      </c>
      <c r="DL262">
        <v>0</v>
      </c>
      <c r="DM262">
        <v>0</v>
      </c>
      <c r="DN262">
        <v>3.6666666666666701</v>
      </c>
      <c r="DO262">
        <v>22.666666666666622</v>
      </c>
      <c r="DP262">
        <v>73.6666666666667</v>
      </c>
      <c r="DQ262">
        <v>0</v>
      </c>
      <c r="DR262">
        <v>0</v>
      </c>
      <c r="DS262" t="s">
        <v>768</v>
      </c>
      <c r="DT262" t="s">
        <v>768</v>
      </c>
      <c r="DU262" t="s">
        <v>768</v>
      </c>
      <c r="DV262" t="s">
        <v>768</v>
      </c>
      <c r="DW262" t="s">
        <v>768</v>
      </c>
      <c r="DX262" t="s">
        <v>768</v>
      </c>
      <c r="DY262" t="s">
        <v>768</v>
      </c>
      <c r="DZ262" t="s">
        <v>768</v>
      </c>
      <c r="EA262" t="s">
        <v>768</v>
      </c>
      <c r="EB262" t="s">
        <v>768</v>
      </c>
      <c r="EC262" t="s">
        <v>768</v>
      </c>
      <c r="ED262" t="s">
        <v>751</v>
      </c>
      <c r="EE262" t="s">
        <v>752</v>
      </c>
      <c r="EF262" t="s">
        <v>753</v>
      </c>
      <c r="EG262" t="s">
        <v>754</v>
      </c>
    </row>
    <row r="263" spans="1:137" ht="14.55" customHeight="1" x14ac:dyDescent="0.3">
      <c r="A263" t="s">
        <v>876</v>
      </c>
      <c r="B263">
        <v>74001</v>
      </c>
      <c r="C263" t="s">
        <v>877</v>
      </c>
      <c r="D263" t="s">
        <v>878</v>
      </c>
      <c r="E263" t="s">
        <v>879</v>
      </c>
      <c r="F263" t="s">
        <v>742</v>
      </c>
      <c r="G263" t="s">
        <v>880</v>
      </c>
      <c r="H263" s="3">
        <v>58872104.395999998</v>
      </c>
      <c r="I263">
        <v>5887</v>
      </c>
      <c r="J263" s="3">
        <v>5887.2104395999995</v>
      </c>
      <c r="K263">
        <v>838</v>
      </c>
      <c r="L263">
        <v>2418</v>
      </c>
      <c r="M263">
        <v>1425.7377863152799</v>
      </c>
      <c r="N263">
        <v>292.28963621436202</v>
      </c>
      <c r="O263">
        <v>0</v>
      </c>
      <c r="P263">
        <v>73.170753479003906</v>
      </c>
      <c r="Q263">
        <v>23.325447082519499</v>
      </c>
      <c r="R263">
        <v>11.710288047790501</v>
      </c>
      <c r="S263" t="s">
        <v>881</v>
      </c>
      <c r="T263" t="s">
        <v>882</v>
      </c>
      <c r="U263" t="s">
        <v>877</v>
      </c>
      <c r="V263" t="s">
        <v>877</v>
      </c>
      <c r="W263" s="3">
        <v>1439</v>
      </c>
      <c r="X263" s="3">
        <v>58870000</v>
      </c>
      <c r="Y263">
        <v>3</v>
      </c>
      <c r="Z263" s="3">
        <v>1152</v>
      </c>
      <c r="AA263" s="3">
        <v>1251</v>
      </c>
      <c r="AB263" s="3">
        <v>1294</v>
      </c>
      <c r="AC263" s="3">
        <v>1342</v>
      </c>
      <c r="AD263" s="3">
        <v>1351</v>
      </c>
      <c r="AE263" s="3">
        <v>1344</v>
      </c>
      <c r="AF263" s="3">
        <v>1347</v>
      </c>
      <c r="AG263" s="3">
        <v>1342</v>
      </c>
      <c r="AH263" s="3">
        <v>1348</v>
      </c>
      <c r="AI263" s="3">
        <v>1354</v>
      </c>
      <c r="AJ263" s="3">
        <v>1344</v>
      </c>
      <c r="AK263" s="3">
        <v>1343</v>
      </c>
      <c r="AL263" s="3">
        <v>1377</v>
      </c>
      <c r="AM263" s="3">
        <v>1408</v>
      </c>
      <c r="AN263" s="3">
        <v>1439</v>
      </c>
      <c r="AO263" s="3">
        <v>1435</v>
      </c>
      <c r="AP263" s="3">
        <v>1447</v>
      </c>
      <c r="AR263" s="4">
        <v>24.579582130117206</v>
      </c>
      <c r="AS263" s="5">
        <f t="shared" si="42"/>
        <v>1.07421875</v>
      </c>
      <c r="AT263" s="5">
        <f t="shared" si="43"/>
        <v>0.38191668887112534</v>
      </c>
      <c r="AU263" s="5">
        <f t="shared" si="44"/>
        <v>0.40958268933539416</v>
      </c>
      <c r="AV263" s="5">
        <f t="shared" si="45"/>
        <v>0.74239049740163321</v>
      </c>
      <c r="AW263" s="5">
        <f t="shared" si="46"/>
        <v>0.72508169934640521</v>
      </c>
      <c r="AX263" s="5">
        <f t="shared" si="47"/>
        <v>0.59119010819165385</v>
      </c>
      <c r="AY263" s="5">
        <f t="shared" si="48"/>
        <v>0.69209834834834838</v>
      </c>
      <c r="AZ263">
        <f t="shared" si="49"/>
        <v>58900000</v>
      </c>
      <c r="BA263">
        <v>0</v>
      </c>
      <c r="BB263">
        <v>950000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7360000</v>
      </c>
      <c r="BN263">
        <v>0</v>
      </c>
      <c r="BO263">
        <v>0</v>
      </c>
      <c r="BP263">
        <v>620000</v>
      </c>
      <c r="BQ263">
        <v>17570000</v>
      </c>
      <c r="BR263">
        <v>9370000</v>
      </c>
      <c r="BS263">
        <v>14750000</v>
      </c>
      <c r="BT263">
        <v>1510000</v>
      </c>
      <c r="BU263">
        <v>1110000</v>
      </c>
      <c r="BV263">
        <v>0</v>
      </c>
      <c r="BW263">
        <v>2400000</v>
      </c>
      <c r="BX263">
        <v>3260000</v>
      </c>
      <c r="BY263">
        <v>0</v>
      </c>
      <c r="BZ263">
        <v>0</v>
      </c>
      <c r="CA263">
        <v>0</v>
      </c>
      <c r="CT263">
        <v>1.46010186757216</v>
      </c>
      <c r="CU263">
        <v>11.833616298811499</v>
      </c>
      <c r="CV263">
        <v>86.706281833616401</v>
      </c>
      <c r="CW263">
        <v>0</v>
      </c>
      <c r="CX263">
        <v>0</v>
      </c>
      <c r="CY263">
        <v>1.6298811544991501</v>
      </c>
      <c r="CZ263">
        <v>12.512733446519499</v>
      </c>
      <c r="DA263">
        <v>85.857385398981307</v>
      </c>
      <c r="DB263">
        <v>0</v>
      </c>
      <c r="DC263">
        <v>0</v>
      </c>
      <c r="DD263">
        <v>1.61290322580645</v>
      </c>
      <c r="DE263">
        <v>12.495755517826799</v>
      </c>
      <c r="DF263">
        <v>85.891341256366687</v>
      </c>
      <c r="DG263">
        <v>0</v>
      </c>
      <c r="DH263">
        <v>0</v>
      </c>
      <c r="DI263">
        <v>1.61290322580645</v>
      </c>
      <c r="DJ263">
        <v>12.495755517826799</v>
      </c>
      <c r="DK263">
        <v>85.891341256366701</v>
      </c>
      <c r="DL263">
        <v>0</v>
      </c>
      <c r="DM263">
        <v>0</v>
      </c>
      <c r="DN263">
        <v>1.61290322580645</v>
      </c>
      <c r="DO263">
        <v>12.495755517826799</v>
      </c>
      <c r="DP263">
        <v>85.891341256366701</v>
      </c>
      <c r="DQ263">
        <v>0</v>
      </c>
      <c r="DR263">
        <v>0</v>
      </c>
      <c r="DS263" t="s">
        <v>768</v>
      </c>
      <c r="DT263" t="s">
        <v>768</v>
      </c>
      <c r="DU263" t="s">
        <v>768</v>
      </c>
      <c r="DV263" t="s">
        <v>768</v>
      </c>
      <c r="DW263" t="s">
        <v>768</v>
      </c>
      <c r="DX263" t="s">
        <v>768</v>
      </c>
      <c r="DY263" t="s">
        <v>768</v>
      </c>
      <c r="DZ263" t="s">
        <v>768</v>
      </c>
      <c r="EA263" t="s">
        <v>768</v>
      </c>
      <c r="EB263" t="s">
        <v>768</v>
      </c>
      <c r="EC263" t="s">
        <v>768</v>
      </c>
      <c r="ED263" t="s">
        <v>883</v>
      </c>
      <c r="EE263" t="s">
        <v>877</v>
      </c>
      <c r="EF263" t="s">
        <v>746</v>
      </c>
      <c r="EG263" t="s">
        <v>747</v>
      </c>
    </row>
    <row r="264" spans="1:137" ht="14.55" customHeight="1" x14ac:dyDescent="0.3">
      <c r="A264" t="s">
        <v>884</v>
      </c>
      <c r="B264">
        <v>74005</v>
      </c>
      <c r="C264" t="s">
        <v>885</v>
      </c>
      <c r="D264" t="s">
        <v>886</v>
      </c>
      <c r="E264" t="s">
        <v>879</v>
      </c>
      <c r="F264" t="s">
        <v>742</v>
      </c>
      <c r="G264" t="s">
        <v>887</v>
      </c>
      <c r="H264" s="3">
        <v>15090804.716499999</v>
      </c>
      <c r="I264">
        <v>1511</v>
      </c>
      <c r="J264" s="3">
        <v>1509.0804716499999</v>
      </c>
      <c r="K264">
        <v>446</v>
      </c>
      <c r="L264">
        <v>766</v>
      </c>
      <c r="M264">
        <v>551.85148861646201</v>
      </c>
      <c r="N264">
        <v>61.551073096739799</v>
      </c>
      <c r="O264">
        <v>0</v>
      </c>
      <c r="P264">
        <v>47.713211059570298</v>
      </c>
      <c r="Q264">
        <v>7.0796675682067898</v>
      </c>
      <c r="R264">
        <v>6.1254506111145002</v>
      </c>
      <c r="S264" t="s">
        <v>881</v>
      </c>
      <c r="T264" t="s">
        <v>888</v>
      </c>
      <c r="U264" t="s">
        <v>885</v>
      </c>
      <c r="V264" t="s">
        <v>885</v>
      </c>
      <c r="W264" s="3">
        <v>4459</v>
      </c>
      <c r="X264" s="3">
        <v>15080000</v>
      </c>
      <c r="Y264">
        <v>2</v>
      </c>
      <c r="Z264" s="3">
        <v>2098</v>
      </c>
      <c r="AA264" s="3">
        <v>2627</v>
      </c>
      <c r="AB264" s="3">
        <v>3021</v>
      </c>
      <c r="AC264" s="3">
        <v>3472</v>
      </c>
      <c r="AD264" s="3">
        <v>3549</v>
      </c>
      <c r="AE264" s="3">
        <v>3766</v>
      </c>
      <c r="AF264" s="3">
        <v>3872</v>
      </c>
      <c r="AG264" s="3">
        <v>3982</v>
      </c>
      <c r="AH264" s="3">
        <v>4092</v>
      </c>
      <c r="AI264" s="3">
        <v>4137</v>
      </c>
      <c r="AJ264" s="3">
        <v>4226</v>
      </c>
      <c r="AK264" s="3">
        <v>4295</v>
      </c>
      <c r="AL264" s="3">
        <v>4364</v>
      </c>
      <c r="AM264" s="3">
        <v>4433</v>
      </c>
      <c r="AN264" s="3">
        <v>4459</v>
      </c>
      <c r="AO264" s="3">
        <v>4494</v>
      </c>
      <c r="AP264" s="3">
        <v>4681</v>
      </c>
      <c r="AQ264" s="3">
        <v>4853</v>
      </c>
      <c r="AR264" s="4">
        <v>310.41114058355436</v>
      </c>
      <c r="AS264" s="5">
        <f t="shared" si="42"/>
        <v>3.1518112488083885</v>
      </c>
      <c r="AT264" s="5">
        <f t="shared" si="43"/>
        <v>1.6664551875819482</v>
      </c>
      <c r="AU264" s="5">
        <f t="shared" si="44"/>
        <v>2.8169480304534922</v>
      </c>
      <c r="AV264" s="5">
        <f t="shared" si="45"/>
        <v>2.0893595041322315</v>
      </c>
      <c r="AW264" s="5">
        <f t="shared" si="46"/>
        <v>2.5878988392306397</v>
      </c>
      <c r="AX264" s="5">
        <f t="shared" si="47"/>
        <v>2.7474346242965906</v>
      </c>
      <c r="AY264" s="5">
        <f t="shared" si="48"/>
        <v>3.3274933656249193</v>
      </c>
      <c r="AZ264">
        <f t="shared" si="49"/>
        <v>15180000</v>
      </c>
      <c r="BA264">
        <v>0</v>
      </c>
      <c r="BB264">
        <v>3360000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90000</v>
      </c>
      <c r="BK264">
        <v>0</v>
      </c>
      <c r="BL264">
        <v>0</v>
      </c>
      <c r="BM264">
        <v>2060000</v>
      </c>
      <c r="BN264">
        <v>3940000</v>
      </c>
      <c r="BO264">
        <v>640000</v>
      </c>
      <c r="BP264">
        <v>4060000</v>
      </c>
      <c r="BQ264">
        <v>0</v>
      </c>
      <c r="BR264">
        <v>550000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480000</v>
      </c>
      <c r="BZ264">
        <v>0</v>
      </c>
      <c r="CA264">
        <v>0</v>
      </c>
      <c r="CT264">
        <v>14.624505928853718</v>
      </c>
      <c r="CU264">
        <v>46.508563899868221</v>
      </c>
      <c r="CV264">
        <v>35.704874835309603</v>
      </c>
      <c r="CW264">
        <v>3.1620553359683798</v>
      </c>
      <c r="CX264">
        <v>0</v>
      </c>
      <c r="CY264">
        <v>19.894598155467701</v>
      </c>
      <c r="CZ264">
        <v>46.640316205533608</v>
      </c>
      <c r="DA264">
        <v>30.303030303030301</v>
      </c>
      <c r="DB264">
        <v>3.1620553359683798</v>
      </c>
      <c r="DC264">
        <v>0</v>
      </c>
      <c r="DD264">
        <v>20.553359683794501</v>
      </c>
      <c r="DE264">
        <v>45.981554677206809</v>
      </c>
      <c r="DF264">
        <v>30.303030303030301</v>
      </c>
      <c r="DG264">
        <v>3.1620553359683798</v>
      </c>
      <c r="DH264">
        <v>0</v>
      </c>
      <c r="DI264">
        <v>22.134387351778699</v>
      </c>
      <c r="DJ264">
        <v>44.400527009222671</v>
      </c>
      <c r="DK264">
        <v>30.303030303030301</v>
      </c>
      <c r="DL264">
        <v>3.1620553359683798</v>
      </c>
      <c r="DM264">
        <v>0</v>
      </c>
      <c r="DN264">
        <v>22.134387351778699</v>
      </c>
      <c r="DO264">
        <v>44.33465085639007</v>
      </c>
      <c r="DP264">
        <v>30.368906455863002</v>
      </c>
      <c r="DQ264">
        <v>3.1620553359683798</v>
      </c>
      <c r="DR264">
        <v>0</v>
      </c>
      <c r="DS264" t="s">
        <v>768</v>
      </c>
      <c r="DT264" t="s">
        <v>768</v>
      </c>
      <c r="DU264" t="s">
        <v>768</v>
      </c>
      <c r="DV264" t="s">
        <v>768</v>
      </c>
      <c r="DW264" t="s">
        <v>768</v>
      </c>
      <c r="DX264" t="s">
        <v>768</v>
      </c>
      <c r="DY264" t="s">
        <v>768</v>
      </c>
      <c r="DZ264" t="s">
        <v>768</v>
      </c>
      <c r="EA264" t="s">
        <v>768</v>
      </c>
      <c r="EB264" t="s">
        <v>768</v>
      </c>
      <c r="EC264" t="s">
        <v>768</v>
      </c>
      <c r="ED264" t="s">
        <v>889</v>
      </c>
      <c r="EE264" t="s">
        <v>887</v>
      </c>
      <c r="EF264" t="s">
        <v>746</v>
      </c>
      <c r="EG264" t="s">
        <v>760</v>
      </c>
    </row>
    <row r="265" spans="1:137" ht="14.55" customHeight="1" x14ac:dyDescent="0.3">
      <c r="A265" t="s">
        <v>890</v>
      </c>
      <c r="B265">
        <v>74007</v>
      </c>
      <c r="C265" t="s">
        <v>891</v>
      </c>
      <c r="D265" t="s">
        <v>543</v>
      </c>
      <c r="E265" t="s">
        <v>879</v>
      </c>
      <c r="F265" t="s">
        <v>742</v>
      </c>
      <c r="G265" t="s">
        <v>892</v>
      </c>
      <c r="H265" s="3">
        <v>8638290.4681299999</v>
      </c>
      <c r="I265">
        <v>860</v>
      </c>
      <c r="J265" s="3">
        <v>863.82904681299999</v>
      </c>
      <c r="K265">
        <v>432</v>
      </c>
      <c r="L265">
        <v>623</v>
      </c>
      <c r="M265">
        <v>483.42696888205899</v>
      </c>
      <c r="N265">
        <v>34.1927333583576</v>
      </c>
      <c r="O265">
        <v>0</v>
      </c>
      <c r="P265">
        <v>26.950412750244102</v>
      </c>
      <c r="Q265">
        <v>4.7142910957336399</v>
      </c>
      <c r="R265">
        <v>3.5342817306518599</v>
      </c>
      <c r="S265" t="s">
        <v>881</v>
      </c>
      <c r="T265" t="s">
        <v>893</v>
      </c>
      <c r="U265" t="s">
        <v>891</v>
      </c>
      <c r="V265" t="s">
        <v>891</v>
      </c>
      <c r="W265" s="3">
        <v>2665</v>
      </c>
      <c r="X265" s="3">
        <v>8630000</v>
      </c>
      <c r="Y265">
        <v>2</v>
      </c>
      <c r="Z265" s="3">
        <v>1403</v>
      </c>
      <c r="AA265" s="3">
        <v>1640</v>
      </c>
      <c r="AB265" s="3">
        <v>1756</v>
      </c>
      <c r="AC265" s="3">
        <v>1872</v>
      </c>
      <c r="AD265" s="3">
        <v>1889</v>
      </c>
      <c r="AE265" s="3">
        <v>1920</v>
      </c>
      <c r="AF265" s="3">
        <v>1941</v>
      </c>
      <c r="AG265" s="3">
        <v>2046</v>
      </c>
      <c r="AH265" s="3">
        <v>2149</v>
      </c>
      <c r="AI265" s="3">
        <v>2253</v>
      </c>
      <c r="AJ265" s="3">
        <v>2353</v>
      </c>
      <c r="AK265" s="3">
        <v>2412</v>
      </c>
      <c r="AL265" s="3">
        <v>2492</v>
      </c>
      <c r="AM265" s="3">
        <v>2579</v>
      </c>
      <c r="AN265" s="3">
        <v>2665</v>
      </c>
      <c r="AO265" s="3">
        <v>2713</v>
      </c>
      <c r="AP265" s="3">
        <v>2739</v>
      </c>
      <c r="AQ265" s="3">
        <v>2779</v>
      </c>
      <c r="AR265" s="4">
        <v>317.38122827346467</v>
      </c>
      <c r="AS265" s="5">
        <f t="shared" si="42"/>
        <v>2.1115466856735567</v>
      </c>
      <c r="AT265" s="5">
        <f t="shared" si="43"/>
        <v>0.78590785907859062</v>
      </c>
      <c r="AU265" s="5">
        <f t="shared" si="44"/>
        <v>1.0535307517084282</v>
      </c>
      <c r="AV265" s="5">
        <f t="shared" si="45"/>
        <v>4.111282843894899</v>
      </c>
      <c r="AW265" s="5">
        <f t="shared" si="46"/>
        <v>1.4800218020208797</v>
      </c>
      <c r="AX265" s="5">
        <f t="shared" si="47"/>
        <v>2.798974943052392</v>
      </c>
      <c r="AY265" s="5">
        <f t="shared" si="48"/>
        <v>2.5736356456242415</v>
      </c>
      <c r="AZ265">
        <f t="shared" si="49"/>
        <v>8590000</v>
      </c>
      <c r="BA265">
        <v>0</v>
      </c>
      <c r="BB265">
        <v>1640000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30000</v>
      </c>
      <c r="BK265">
        <v>0</v>
      </c>
      <c r="BL265">
        <v>0</v>
      </c>
      <c r="BM265">
        <v>5170000</v>
      </c>
      <c r="BN265">
        <v>0</v>
      </c>
      <c r="BO265">
        <v>620000</v>
      </c>
      <c r="BP265">
        <v>320000</v>
      </c>
      <c r="BQ265">
        <v>0</v>
      </c>
      <c r="BR265">
        <v>810000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T265">
        <v>16.996507566938298</v>
      </c>
      <c r="CU265">
        <v>69.84866123399307</v>
      </c>
      <c r="CV265">
        <v>13.154831199068701</v>
      </c>
      <c r="CW265">
        <v>0</v>
      </c>
      <c r="CX265">
        <v>0</v>
      </c>
      <c r="CY265">
        <v>16.996507566938298</v>
      </c>
      <c r="CZ265">
        <v>69.848661233993042</v>
      </c>
      <c r="DA265">
        <v>13.154831199068701</v>
      </c>
      <c r="DB265">
        <v>0</v>
      </c>
      <c r="DC265">
        <v>0</v>
      </c>
      <c r="DD265">
        <v>17.345750873108301</v>
      </c>
      <c r="DE265">
        <v>69.499417927823032</v>
      </c>
      <c r="DF265">
        <v>13.154831199068701</v>
      </c>
      <c r="DG265">
        <v>0</v>
      </c>
      <c r="DH265">
        <v>0</v>
      </c>
      <c r="DI265">
        <v>19.091967403958101</v>
      </c>
      <c r="DJ265">
        <v>67.753201396973253</v>
      </c>
      <c r="DK265">
        <v>13.154831199068701</v>
      </c>
      <c r="DL265">
        <v>0</v>
      </c>
      <c r="DM265">
        <v>0</v>
      </c>
      <c r="DN265">
        <v>19.091967403958101</v>
      </c>
      <c r="DO265">
        <v>67.753201396973253</v>
      </c>
      <c r="DP265">
        <v>13.154831199068701</v>
      </c>
      <c r="DQ265">
        <v>0</v>
      </c>
      <c r="DR265">
        <v>0</v>
      </c>
      <c r="DS265" t="s">
        <v>564</v>
      </c>
      <c r="DT265" t="s">
        <v>337</v>
      </c>
      <c r="DU265">
        <v>2767</v>
      </c>
      <c r="DV265" t="s">
        <v>547</v>
      </c>
      <c r="DW265" t="s">
        <v>548</v>
      </c>
      <c r="DX265">
        <v>86</v>
      </c>
      <c r="DY265">
        <v>130</v>
      </c>
      <c r="DZ265">
        <v>216</v>
      </c>
      <c r="EA265">
        <v>606779</v>
      </c>
      <c r="EB265">
        <v>388178</v>
      </c>
      <c r="EC265">
        <v>994957</v>
      </c>
      <c r="ED265" t="s">
        <v>894</v>
      </c>
      <c r="EE265" t="s">
        <v>895</v>
      </c>
      <c r="EF265" t="s">
        <v>746</v>
      </c>
      <c r="EG265" t="s">
        <v>760</v>
      </c>
    </row>
    <row r="266" spans="1:137" ht="14.55" customHeight="1" x14ac:dyDescent="0.3">
      <c r="A266" t="s">
        <v>896</v>
      </c>
      <c r="B266">
        <v>74008</v>
      </c>
      <c r="C266" t="s">
        <v>897</v>
      </c>
      <c r="D266" t="s">
        <v>543</v>
      </c>
      <c r="E266" t="s">
        <v>879</v>
      </c>
      <c r="F266" t="s">
        <v>742</v>
      </c>
      <c r="G266" t="s">
        <v>898</v>
      </c>
      <c r="H266" s="3">
        <v>1245345.82409</v>
      </c>
      <c r="I266">
        <v>125</v>
      </c>
      <c r="J266" s="3">
        <v>124.53458241000001</v>
      </c>
      <c r="K266">
        <v>405</v>
      </c>
      <c r="L266">
        <v>445</v>
      </c>
      <c r="M266">
        <v>427.394904458599</v>
      </c>
      <c r="N266">
        <v>6.0839923914931502</v>
      </c>
      <c r="O266">
        <v>0</v>
      </c>
      <c r="P266">
        <v>16.9165153503418</v>
      </c>
      <c r="Q266">
        <v>4.0599107742309597</v>
      </c>
      <c r="R266">
        <v>2.5424273014068599</v>
      </c>
      <c r="S266" t="s">
        <v>881</v>
      </c>
      <c r="T266" t="s">
        <v>899</v>
      </c>
      <c r="U266" t="s">
        <v>897</v>
      </c>
      <c r="V266" t="s">
        <v>897</v>
      </c>
      <c r="W266" s="3">
        <v>6385</v>
      </c>
      <c r="X266" s="3">
        <v>1240000</v>
      </c>
      <c r="Y266">
        <v>1</v>
      </c>
      <c r="Z266" s="3">
        <v>5224</v>
      </c>
      <c r="AA266" s="3">
        <v>5904</v>
      </c>
      <c r="AB266" s="3">
        <v>5808</v>
      </c>
      <c r="AC266" s="3">
        <v>5728</v>
      </c>
      <c r="AD266" s="3">
        <v>5863</v>
      </c>
      <c r="AE266" s="3">
        <v>5871</v>
      </c>
      <c r="AF266" s="3">
        <v>5881</v>
      </c>
      <c r="AG266" s="3">
        <v>5890</v>
      </c>
      <c r="AH266" s="3">
        <v>6001</v>
      </c>
      <c r="AI266" s="3">
        <v>6051</v>
      </c>
      <c r="AJ266" s="3">
        <v>6092</v>
      </c>
      <c r="AK266" s="3">
        <v>6134</v>
      </c>
      <c r="AL266" s="3">
        <v>6175</v>
      </c>
      <c r="AM266" s="3">
        <v>6302</v>
      </c>
      <c r="AN266" s="3">
        <v>6385</v>
      </c>
      <c r="AO266" s="3">
        <v>6261</v>
      </c>
      <c r="AP266" s="3">
        <v>6138</v>
      </c>
      <c r="AQ266" s="3">
        <v>6166</v>
      </c>
      <c r="AR266" s="4">
        <v>4950</v>
      </c>
      <c r="AS266" s="5">
        <f t="shared" si="42"/>
        <v>1.6271056661562022</v>
      </c>
      <c r="AT266" s="5">
        <f t="shared" si="43"/>
        <v>-0.18066847335140018</v>
      </c>
      <c r="AU266" s="5">
        <f t="shared" si="44"/>
        <v>0.12568870523415979</v>
      </c>
      <c r="AV266" s="5">
        <f t="shared" si="45"/>
        <v>0.43700051011732699</v>
      </c>
      <c r="AW266" s="5">
        <f t="shared" si="46"/>
        <v>0.6575984145572471</v>
      </c>
      <c r="AX266" s="5">
        <f t="shared" si="47"/>
        <v>0.28409090909090912</v>
      </c>
      <c r="AY266" s="5">
        <f t="shared" si="48"/>
        <v>0.4728695004345847</v>
      </c>
      <c r="AZ266">
        <f t="shared" si="49"/>
        <v>1260000</v>
      </c>
      <c r="BA266">
        <v>0</v>
      </c>
      <c r="BB266">
        <v>1230000</v>
      </c>
      <c r="BC266">
        <v>0</v>
      </c>
      <c r="BD266">
        <v>30000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T266">
        <v>98.412698412698376</v>
      </c>
      <c r="CU266">
        <v>1.5873015873015901</v>
      </c>
      <c r="CV266">
        <v>0</v>
      </c>
      <c r="CW266">
        <v>0</v>
      </c>
      <c r="CX266">
        <v>0</v>
      </c>
      <c r="CY266">
        <v>99.999999999999986</v>
      </c>
      <c r="CZ266">
        <v>0</v>
      </c>
      <c r="DA266">
        <v>0</v>
      </c>
      <c r="DB266">
        <v>0</v>
      </c>
      <c r="DC266">
        <v>0</v>
      </c>
      <c r="DD266">
        <v>99.999999999999986</v>
      </c>
      <c r="DE266">
        <v>0</v>
      </c>
      <c r="DF266">
        <v>0</v>
      </c>
      <c r="DG266">
        <v>0</v>
      </c>
      <c r="DH266">
        <v>0</v>
      </c>
      <c r="DI266">
        <v>99.999999999999986</v>
      </c>
      <c r="DJ266">
        <v>0</v>
      </c>
      <c r="DK266">
        <v>0</v>
      </c>
      <c r="DL266">
        <v>0</v>
      </c>
      <c r="DM266">
        <v>0</v>
      </c>
      <c r="DN266">
        <v>99.999999999999986</v>
      </c>
      <c r="DO266">
        <v>0</v>
      </c>
      <c r="DP266">
        <v>0</v>
      </c>
      <c r="DQ266">
        <v>0</v>
      </c>
      <c r="DR266">
        <v>0</v>
      </c>
      <c r="DS266" t="s">
        <v>371</v>
      </c>
      <c r="DT266" t="s">
        <v>313</v>
      </c>
      <c r="DU266">
        <v>6014</v>
      </c>
      <c r="DV266" t="s">
        <v>547</v>
      </c>
      <c r="DW266" t="s">
        <v>548</v>
      </c>
      <c r="DX266">
        <v>86</v>
      </c>
      <c r="DY266">
        <v>130</v>
      </c>
      <c r="DZ266">
        <v>216</v>
      </c>
      <c r="EA266">
        <v>606779</v>
      </c>
      <c r="EB266">
        <v>388178</v>
      </c>
      <c r="EC266">
        <v>994957</v>
      </c>
      <c r="ED266" t="s">
        <v>807</v>
      </c>
      <c r="EE266" t="s">
        <v>808</v>
      </c>
      <c r="EF266" t="s">
        <v>746</v>
      </c>
      <c r="EG266" t="s">
        <v>760</v>
      </c>
    </row>
    <row r="267" spans="1:137" ht="14.55" customHeight="1" x14ac:dyDescent="0.3">
      <c r="A267" t="s">
        <v>900</v>
      </c>
      <c r="B267">
        <v>74012</v>
      </c>
      <c r="C267" t="s">
        <v>898</v>
      </c>
      <c r="D267" t="s">
        <v>543</v>
      </c>
      <c r="E267" t="s">
        <v>879</v>
      </c>
      <c r="F267" t="s">
        <v>742</v>
      </c>
      <c r="G267" t="s">
        <v>898</v>
      </c>
      <c r="H267" s="3">
        <v>4962633.0873499997</v>
      </c>
      <c r="I267">
        <v>497</v>
      </c>
      <c r="J267" s="3">
        <v>496.26330873499995</v>
      </c>
      <c r="K267">
        <v>392</v>
      </c>
      <c r="L267">
        <v>519</v>
      </c>
      <c r="M267">
        <v>445.19578273054799</v>
      </c>
      <c r="N267">
        <v>23.043862303191101</v>
      </c>
      <c r="O267">
        <v>0</v>
      </c>
      <c r="P267">
        <v>18.2647380828857</v>
      </c>
      <c r="Q267">
        <v>4.5382666587829599</v>
      </c>
      <c r="R267">
        <v>2.74985551834106</v>
      </c>
      <c r="S267" t="s">
        <v>881</v>
      </c>
      <c r="T267" t="s">
        <v>901</v>
      </c>
      <c r="U267" t="s">
        <v>898</v>
      </c>
      <c r="V267" t="s">
        <v>898</v>
      </c>
      <c r="W267" s="3">
        <v>35712</v>
      </c>
      <c r="X267" s="3">
        <v>4970000</v>
      </c>
      <c r="Y267">
        <v>1</v>
      </c>
      <c r="Z267" s="3">
        <v>26204</v>
      </c>
      <c r="AA267" s="3">
        <v>27669</v>
      </c>
      <c r="AB267" s="3">
        <v>27253</v>
      </c>
      <c r="AC267" s="3">
        <v>28572</v>
      </c>
      <c r="AD267" s="3">
        <v>29540</v>
      </c>
      <c r="AE267" s="3">
        <v>30468</v>
      </c>
      <c r="AF267" s="3">
        <v>31293</v>
      </c>
      <c r="AG267" s="3">
        <v>32196</v>
      </c>
      <c r="AH267" s="3">
        <v>32657</v>
      </c>
      <c r="AI267" s="3">
        <v>33166</v>
      </c>
      <c r="AJ267" s="3">
        <v>34261</v>
      </c>
      <c r="AK267" s="3">
        <v>34953</v>
      </c>
      <c r="AL267" s="3">
        <v>35234</v>
      </c>
      <c r="AM267" s="3">
        <v>35041</v>
      </c>
      <c r="AN267" s="3">
        <v>35712</v>
      </c>
      <c r="AO267" s="3">
        <v>36250</v>
      </c>
      <c r="AP267" s="3">
        <v>36582</v>
      </c>
      <c r="AQ267" s="3">
        <v>37918</v>
      </c>
      <c r="AR267" s="4">
        <v>7360.5633802816901</v>
      </c>
      <c r="AS267" s="5">
        <f t="shared" si="42"/>
        <v>0.69884368798656693</v>
      </c>
      <c r="AT267" s="5">
        <f t="shared" si="43"/>
        <v>-0.16705418418526952</v>
      </c>
      <c r="AU267" s="5">
        <f t="shared" si="44"/>
        <v>1.4824056067221958</v>
      </c>
      <c r="AV267" s="5">
        <f t="shared" si="45"/>
        <v>1.6901543476176779</v>
      </c>
      <c r="AW267" s="5">
        <f t="shared" si="46"/>
        <v>0.23548268338017547</v>
      </c>
      <c r="AX267" s="5">
        <f t="shared" si="47"/>
        <v>1.7115546912266539</v>
      </c>
      <c r="AY267" s="5">
        <f t="shared" si="48"/>
        <v>1.0703956895378053</v>
      </c>
      <c r="AZ267">
        <f t="shared" si="49"/>
        <v>4980000</v>
      </c>
      <c r="BA267">
        <v>410000</v>
      </c>
      <c r="BB267">
        <v>3370000</v>
      </c>
      <c r="BC267">
        <v>590000</v>
      </c>
      <c r="BD267">
        <v>110000</v>
      </c>
      <c r="BE267">
        <v>0</v>
      </c>
      <c r="BF267">
        <v>0</v>
      </c>
      <c r="BG267">
        <v>0</v>
      </c>
      <c r="BH267">
        <v>0</v>
      </c>
      <c r="BI267">
        <v>230000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270000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T267">
        <v>89.759036144578332</v>
      </c>
      <c r="CU267">
        <v>4.2168674698795199</v>
      </c>
      <c r="CV267">
        <v>6.0240963855421699</v>
      </c>
      <c r="CW267">
        <v>0</v>
      </c>
      <c r="CX267">
        <v>0</v>
      </c>
      <c r="CY267">
        <v>94.578313253012027</v>
      </c>
      <c r="CZ267">
        <v>0</v>
      </c>
      <c r="DA267">
        <v>5.4216867469879499</v>
      </c>
      <c r="DB267">
        <v>0</v>
      </c>
      <c r="DC267">
        <v>0</v>
      </c>
      <c r="DD267">
        <v>94.578313253012027</v>
      </c>
      <c r="DE267">
        <v>0</v>
      </c>
      <c r="DF267">
        <v>5.4216867469879499</v>
      </c>
      <c r="DG267">
        <v>0</v>
      </c>
      <c r="DH267">
        <v>0</v>
      </c>
      <c r="DI267">
        <v>94.578313253012027</v>
      </c>
      <c r="DJ267">
        <v>0</v>
      </c>
      <c r="DK267">
        <v>5.4216867469879499</v>
      </c>
      <c r="DL267">
        <v>0</v>
      </c>
      <c r="DM267">
        <v>0</v>
      </c>
      <c r="DN267">
        <v>94.578313253012027</v>
      </c>
      <c r="DO267">
        <v>0</v>
      </c>
      <c r="DP267">
        <v>5.4216867469879499</v>
      </c>
      <c r="DQ267">
        <v>0</v>
      </c>
      <c r="DR267">
        <v>0</v>
      </c>
      <c r="DS267" t="s">
        <v>371</v>
      </c>
      <c r="DT267" t="s">
        <v>313</v>
      </c>
      <c r="DU267">
        <v>37485</v>
      </c>
      <c r="DV267" t="s">
        <v>547</v>
      </c>
      <c r="DW267" t="s">
        <v>548</v>
      </c>
      <c r="DX267">
        <v>86</v>
      </c>
      <c r="DY267">
        <v>130</v>
      </c>
      <c r="DZ267">
        <v>216</v>
      </c>
      <c r="EA267">
        <v>606779</v>
      </c>
      <c r="EB267">
        <v>388178</v>
      </c>
      <c r="EC267">
        <v>994957</v>
      </c>
      <c r="ED267" t="s">
        <v>807</v>
      </c>
      <c r="EE267" t="s">
        <v>808</v>
      </c>
      <c r="EF267" t="s">
        <v>746</v>
      </c>
      <c r="EG267" t="s">
        <v>747</v>
      </c>
    </row>
    <row r="268" spans="1:137" ht="14.55" customHeight="1" x14ac:dyDescent="0.3">
      <c r="A268" t="s">
        <v>902</v>
      </c>
      <c r="B268">
        <v>74013</v>
      </c>
      <c r="C268" t="s">
        <v>903</v>
      </c>
      <c r="D268" t="s">
        <v>543</v>
      </c>
      <c r="E268" t="s">
        <v>879</v>
      </c>
      <c r="F268" t="s">
        <v>742</v>
      </c>
      <c r="G268" t="s">
        <v>904</v>
      </c>
      <c r="H268" s="3">
        <v>4650415.8300400004</v>
      </c>
      <c r="I268">
        <v>467</v>
      </c>
      <c r="J268" s="3">
        <v>465.04158300299997</v>
      </c>
      <c r="K268">
        <v>374</v>
      </c>
      <c r="L268">
        <v>487</v>
      </c>
      <c r="M268">
        <v>413.022872567126</v>
      </c>
      <c r="N268">
        <v>20.740473870184601</v>
      </c>
      <c r="O268">
        <v>0</v>
      </c>
      <c r="P268">
        <v>21.322422027587901</v>
      </c>
      <c r="Q268">
        <v>4.4618005752563503</v>
      </c>
      <c r="R268">
        <v>2.7526521682739298</v>
      </c>
      <c r="S268" t="s">
        <v>881</v>
      </c>
      <c r="T268" t="s">
        <v>905</v>
      </c>
      <c r="U268" t="s">
        <v>903</v>
      </c>
      <c r="V268" t="s">
        <v>903</v>
      </c>
      <c r="W268" s="3">
        <v>2171</v>
      </c>
      <c r="X268" s="3">
        <v>4660000</v>
      </c>
      <c r="Y268">
        <v>2</v>
      </c>
      <c r="Z268" s="3">
        <v>1121</v>
      </c>
      <c r="AA268" s="3">
        <v>1383</v>
      </c>
      <c r="AB268" s="3">
        <v>1767</v>
      </c>
      <c r="AC268" s="3">
        <v>1866</v>
      </c>
      <c r="AD268" s="3">
        <v>1900</v>
      </c>
      <c r="AE268" s="3">
        <v>1933</v>
      </c>
      <c r="AF268" s="3">
        <v>1966</v>
      </c>
      <c r="AG268" s="3">
        <v>1958</v>
      </c>
      <c r="AH268" s="3">
        <v>1953</v>
      </c>
      <c r="AI268" s="3">
        <v>2012</v>
      </c>
      <c r="AJ268" s="3">
        <v>2072</v>
      </c>
      <c r="AK268" s="3">
        <v>2131</v>
      </c>
      <c r="AL268" s="3">
        <v>2141</v>
      </c>
      <c r="AM268" s="3">
        <v>2159</v>
      </c>
      <c r="AN268" s="3">
        <v>2171</v>
      </c>
      <c r="AO268" s="3">
        <v>2185</v>
      </c>
      <c r="AP268" s="3">
        <v>2198</v>
      </c>
      <c r="AQ268" s="3">
        <v>2327</v>
      </c>
      <c r="AR268" s="4">
        <v>471.67381974248929</v>
      </c>
      <c r="AS268" s="5">
        <f t="shared" si="42"/>
        <v>2.9214986619090095</v>
      </c>
      <c r="AT268" s="5">
        <f t="shared" si="43"/>
        <v>3.0850807423475537</v>
      </c>
      <c r="AU268" s="5">
        <f t="shared" si="44"/>
        <v>1.1262026032823995</v>
      </c>
      <c r="AV268" s="5">
        <f t="shared" si="45"/>
        <v>1.1800610376398779</v>
      </c>
      <c r="AW268" s="5">
        <f t="shared" si="46"/>
        <v>3.3898305084745761</v>
      </c>
      <c r="AX268" s="5">
        <f t="shared" si="47"/>
        <v>1.2195812110922468</v>
      </c>
      <c r="AY268" s="5">
        <f t="shared" si="48"/>
        <v>2.596619813390554</v>
      </c>
      <c r="AZ268">
        <f t="shared" si="49"/>
        <v>4630000</v>
      </c>
      <c r="BA268">
        <v>0</v>
      </c>
      <c r="BB268">
        <v>2280000</v>
      </c>
      <c r="BC268">
        <v>650000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1410000</v>
      </c>
      <c r="BK268">
        <v>0</v>
      </c>
      <c r="BL268">
        <v>0</v>
      </c>
      <c r="BM268">
        <v>10000</v>
      </c>
      <c r="BN268">
        <v>50000</v>
      </c>
      <c r="BO268">
        <v>0</v>
      </c>
      <c r="BP268">
        <v>220000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10000</v>
      </c>
      <c r="CT268">
        <v>52.699784017278638</v>
      </c>
      <c r="CU268">
        <v>42.332613390928699</v>
      </c>
      <c r="CV268">
        <v>4.7516198704103703</v>
      </c>
      <c r="CW268">
        <v>0</v>
      </c>
      <c r="CX268">
        <v>0.21598272138228899</v>
      </c>
      <c r="CY268">
        <v>56.155507559395261</v>
      </c>
      <c r="CZ268">
        <v>38.876889848812141</v>
      </c>
      <c r="DA268">
        <v>4.7516198704103703</v>
      </c>
      <c r="DB268">
        <v>0</v>
      </c>
      <c r="DC268">
        <v>0.21598272138228899</v>
      </c>
      <c r="DD268">
        <v>63.282937365010802</v>
      </c>
      <c r="DE268">
        <v>31.749460043196539</v>
      </c>
      <c r="DF268">
        <v>4.7516198704103703</v>
      </c>
      <c r="DG268">
        <v>0</v>
      </c>
      <c r="DH268">
        <v>0.21598272138228899</v>
      </c>
      <c r="DI268">
        <v>63.282937365010802</v>
      </c>
      <c r="DJ268">
        <v>31.749460043196539</v>
      </c>
      <c r="DK268">
        <v>4.7516198704103703</v>
      </c>
      <c r="DL268">
        <v>0</v>
      </c>
      <c r="DM268">
        <v>0.21598272138228899</v>
      </c>
      <c r="DN268">
        <v>63.282937365010802</v>
      </c>
      <c r="DO268">
        <v>31.749460043196539</v>
      </c>
      <c r="DP268">
        <v>4.7516198704103703</v>
      </c>
      <c r="DQ268">
        <v>0</v>
      </c>
      <c r="DR268">
        <v>0.21598272138228899</v>
      </c>
      <c r="DS268" t="s">
        <v>768</v>
      </c>
      <c r="DT268" t="s">
        <v>768</v>
      </c>
      <c r="DU268" t="s">
        <v>768</v>
      </c>
      <c r="DV268" t="s">
        <v>768</v>
      </c>
      <c r="DW268" t="s">
        <v>768</v>
      </c>
      <c r="DX268" t="s">
        <v>768</v>
      </c>
      <c r="DY268" t="s">
        <v>768</v>
      </c>
      <c r="DZ268" t="s">
        <v>768</v>
      </c>
      <c r="EA268" t="s">
        <v>768</v>
      </c>
      <c r="EB268" t="s">
        <v>768</v>
      </c>
      <c r="EC268" t="s">
        <v>768</v>
      </c>
      <c r="ED268" t="s">
        <v>889</v>
      </c>
      <c r="EE268" t="s">
        <v>887</v>
      </c>
      <c r="EF268" t="s">
        <v>746</v>
      </c>
      <c r="EG268" t="s">
        <v>760</v>
      </c>
    </row>
    <row r="269" spans="1:137" ht="14.55" customHeight="1" x14ac:dyDescent="0.3">
      <c r="A269" t="s">
        <v>906</v>
      </c>
      <c r="B269">
        <v>74015</v>
      </c>
      <c r="C269" t="s">
        <v>907</v>
      </c>
      <c r="D269" t="s">
        <v>543</v>
      </c>
      <c r="E269" t="s">
        <v>879</v>
      </c>
      <c r="F269" t="s">
        <v>742</v>
      </c>
      <c r="G269" t="s">
        <v>892</v>
      </c>
      <c r="H269" s="3">
        <v>12249394.253599999</v>
      </c>
      <c r="I269">
        <v>1227</v>
      </c>
      <c r="J269" s="3">
        <v>1224.9394253599999</v>
      </c>
      <c r="K269">
        <v>686</v>
      </c>
      <c r="L269">
        <v>957</v>
      </c>
      <c r="M269">
        <v>855.188894907909</v>
      </c>
      <c r="N269">
        <v>54.444761794511599</v>
      </c>
      <c r="O269">
        <v>0</v>
      </c>
      <c r="P269">
        <v>26.8881130218506</v>
      </c>
      <c r="Q269">
        <v>6.3792352676391602</v>
      </c>
      <c r="R269">
        <v>3.4396166801452601</v>
      </c>
      <c r="S269" t="s">
        <v>881</v>
      </c>
      <c r="T269" t="s">
        <v>908</v>
      </c>
      <c r="U269" t="s">
        <v>907</v>
      </c>
      <c r="V269" t="s">
        <v>907</v>
      </c>
      <c r="W269" s="3">
        <v>1115</v>
      </c>
      <c r="X269" s="3">
        <v>12230000</v>
      </c>
      <c r="Y269">
        <v>3</v>
      </c>
      <c r="Z269" s="3">
        <v>388</v>
      </c>
      <c r="AA269" s="3">
        <v>580</v>
      </c>
      <c r="AB269" s="3">
        <v>684</v>
      </c>
      <c r="AC269" s="3">
        <v>869</v>
      </c>
      <c r="AD269" s="3">
        <v>906</v>
      </c>
      <c r="AE269" s="3">
        <v>942</v>
      </c>
      <c r="AF269" s="3">
        <v>978</v>
      </c>
      <c r="AG269" s="3">
        <v>1003</v>
      </c>
      <c r="AH269" s="3">
        <v>1028</v>
      </c>
      <c r="AI269" s="3">
        <v>1040</v>
      </c>
      <c r="AJ269" s="3">
        <v>1053</v>
      </c>
      <c r="AK269" s="3">
        <v>1065</v>
      </c>
      <c r="AL269" s="3">
        <v>1098</v>
      </c>
      <c r="AM269" s="3">
        <v>1102</v>
      </c>
      <c r="AN269" s="3">
        <v>1115</v>
      </c>
      <c r="AO269" s="3">
        <v>1127</v>
      </c>
      <c r="AP269" s="3">
        <v>1140</v>
      </c>
      <c r="AQ269" s="3">
        <v>1139</v>
      </c>
      <c r="AR269" s="4">
        <v>93.213409648405559</v>
      </c>
      <c r="AS269" s="5">
        <f t="shared" si="42"/>
        <v>6.1855670103092786</v>
      </c>
      <c r="AT269" s="5">
        <f t="shared" si="43"/>
        <v>1.992337164750958</v>
      </c>
      <c r="AU269" s="5">
        <f t="shared" si="44"/>
        <v>4.2982456140350882</v>
      </c>
      <c r="AV269" s="5">
        <f t="shared" si="45"/>
        <v>1.6564417177914108</v>
      </c>
      <c r="AW269" s="5">
        <f t="shared" si="46"/>
        <v>4.4875682231655549</v>
      </c>
      <c r="AX269" s="5">
        <f t="shared" si="47"/>
        <v>3.3333333333333335</v>
      </c>
      <c r="AY269" s="5">
        <f t="shared" si="48"/>
        <v>5.2382279186402894</v>
      </c>
      <c r="AZ269">
        <f t="shared" si="49"/>
        <v>12260000</v>
      </c>
      <c r="BA269">
        <v>0</v>
      </c>
      <c r="BB269">
        <v>260000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200000</v>
      </c>
      <c r="BK269">
        <v>0</v>
      </c>
      <c r="BL269">
        <v>0</v>
      </c>
      <c r="BM269">
        <v>500000</v>
      </c>
      <c r="BN269">
        <v>7370000</v>
      </c>
      <c r="BO269">
        <v>2570000</v>
      </c>
      <c r="BP269">
        <v>0</v>
      </c>
      <c r="BQ269">
        <v>170000</v>
      </c>
      <c r="BR269">
        <v>1190000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T269">
        <v>2.1207177814029401</v>
      </c>
      <c r="CU269">
        <v>86.786296900489404</v>
      </c>
      <c r="CV269">
        <v>11.092985318107701</v>
      </c>
      <c r="CW269">
        <v>0</v>
      </c>
      <c r="CX269">
        <v>0</v>
      </c>
      <c r="CY269">
        <v>2.1207177814029401</v>
      </c>
      <c r="CZ269">
        <v>86.78629690048939</v>
      </c>
      <c r="DA269">
        <v>11.092985318107701</v>
      </c>
      <c r="DB269">
        <v>0</v>
      </c>
      <c r="DC269">
        <v>0</v>
      </c>
      <c r="DD269">
        <v>2.1207177814029401</v>
      </c>
      <c r="DE269">
        <v>86.786296900489418</v>
      </c>
      <c r="DF269">
        <v>11.092985318107701</v>
      </c>
      <c r="DG269">
        <v>0</v>
      </c>
      <c r="DH269">
        <v>0</v>
      </c>
      <c r="DI269">
        <v>2.1207177814029401</v>
      </c>
      <c r="DJ269">
        <v>86.786296900489418</v>
      </c>
      <c r="DK269">
        <v>11.092985318107701</v>
      </c>
      <c r="DL269">
        <v>0</v>
      </c>
      <c r="DM269">
        <v>0</v>
      </c>
      <c r="DN269">
        <v>2.1207177814029401</v>
      </c>
      <c r="DO269">
        <v>86.786296900489418</v>
      </c>
      <c r="DP269">
        <v>11.092985318107701</v>
      </c>
      <c r="DQ269">
        <v>0</v>
      </c>
      <c r="DR269">
        <v>0</v>
      </c>
      <c r="DS269" t="s">
        <v>312</v>
      </c>
      <c r="DT269" t="s">
        <v>313</v>
      </c>
      <c r="DU269">
        <v>1135</v>
      </c>
      <c r="DV269" t="s">
        <v>547</v>
      </c>
      <c r="DW269" t="s">
        <v>548</v>
      </c>
      <c r="DX269">
        <v>86</v>
      </c>
      <c r="DY269">
        <v>130</v>
      </c>
      <c r="DZ269">
        <v>216</v>
      </c>
      <c r="EA269">
        <v>606779</v>
      </c>
      <c r="EB269">
        <v>388178</v>
      </c>
      <c r="EC269">
        <v>994957</v>
      </c>
      <c r="ED269" t="s">
        <v>909</v>
      </c>
      <c r="EE269" t="s">
        <v>910</v>
      </c>
      <c r="EF269" t="s">
        <v>753</v>
      </c>
      <c r="EG269" t="s">
        <v>754</v>
      </c>
    </row>
    <row r="270" spans="1:137" ht="14.55" customHeight="1" x14ac:dyDescent="0.3">
      <c r="A270" t="s">
        <v>911</v>
      </c>
      <c r="B270">
        <v>74016</v>
      </c>
      <c r="C270" t="s">
        <v>912</v>
      </c>
      <c r="D270" t="s">
        <v>543</v>
      </c>
      <c r="E270" t="s">
        <v>879</v>
      </c>
      <c r="F270" t="s">
        <v>742</v>
      </c>
      <c r="G270" t="s">
        <v>913</v>
      </c>
      <c r="H270" s="3">
        <v>10724162.6918</v>
      </c>
      <c r="I270">
        <v>1079</v>
      </c>
      <c r="J270" s="3">
        <v>1072.41626916</v>
      </c>
      <c r="K270">
        <v>480</v>
      </c>
      <c r="L270">
        <v>1344</v>
      </c>
      <c r="M270">
        <v>756.86758526940196</v>
      </c>
      <c r="N270">
        <v>251.00065792542</v>
      </c>
      <c r="O270">
        <v>0</v>
      </c>
      <c r="P270">
        <v>56.968318939208999</v>
      </c>
      <c r="Q270">
        <v>10.7513580322266</v>
      </c>
      <c r="R270">
        <v>8.7031354904174805</v>
      </c>
      <c r="S270" t="s">
        <v>881</v>
      </c>
      <c r="T270" t="s">
        <v>914</v>
      </c>
      <c r="U270" t="s">
        <v>912</v>
      </c>
      <c r="V270" t="s">
        <v>912</v>
      </c>
      <c r="W270" s="3">
        <v>2556</v>
      </c>
      <c r="X270" s="3">
        <v>10720000</v>
      </c>
      <c r="Y270">
        <v>2</v>
      </c>
      <c r="Z270" s="3">
        <v>1005</v>
      </c>
      <c r="AA270" s="3">
        <v>1070</v>
      </c>
      <c r="AB270" s="3">
        <v>1235</v>
      </c>
      <c r="AC270" s="3">
        <v>1636</v>
      </c>
      <c r="AD270" s="3">
        <v>1693</v>
      </c>
      <c r="AE270" s="3">
        <v>1703</v>
      </c>
      <c r="AF270" s="3">
        <v>1865</v>
      </c>
      <c r="AG270" s="3">
        <v>2079</v>
      </c>
      <c r="AH270" s="3">
        <v>2276</v>
      </c>
      <c r="AI270" s="3">
        <v>2472</v>
      </c>
      <c r="AJ270" s="3">
        <v>2585</v>
      </c>
      <c r="AK270" s="3">
        <v>2615</v>
      </c>
      <c r="AL270" s="3">
        <v>2585</v>
      </c>
      <c r="AM270" s="3">
        <v>2571</v>
      </c>
      <c r="AN270" s="3">
        <v>2556</v>
      </c>
      <c r="AO270" s="3">
        <v>2588</v>
      </c>
      <c r="AP270" s="3">
        <v>2609</v>
      </c>
      <c r="AQ270" s="3">
        <v>2542</v>
      </c>
      <c r="AR270" s="4">
        <v>243.37686567164178</v>
      </c>
      <c r="AS270" s="5">
        <f t="shared" si="42"/>
        <v>0.808457711442786</v>
      </c>
      <c r="AT270" s="5">
        <f t="shared" si="43"/>
        <v>1.7133956386292832</v>
      </c>
      <c r="AU270" s="5">
        <f t="shared" si="44"/>
        <v>5.101214574898786</v>
      </c>
      <c r="AV270" s="5">
        <f t="shared" si="45"/>
        <v>3.9892761394101877</v>
      </c>
      <c r="AW270" s="5">
        <f t="shared" si="46"/>
        <v>1.3462101258413814</v>
      </c>
      <c r="AX270" s="5">
        <f t="shared" si="47"/>
        <v>5.5627530364372468</v>
      </c>
      <c r="AY270" s="5">
        <f t="shared" si="48"/>
        <v>4.3135672986419253</v>
      </c>
      <c r="AZ270">
        <f t="shared" si="49"/>
        <v>10800000</v>
      </c>
      <c r="BA270">
        <v>0</v>
      </c>
      <c r="BB270">
        <v>1310000</v>
      </c>
      <c r="BC270">
        <v>570000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1760000</v>
      </c>
      <c r="BK270">
        <v>0</v>
      </c>
      <c r="BL270">
        <v>0</v>
      </c>
      <c r="BM270">
        <v>1750000</v>
      </c>
      <c r="BN270">
        <v>830000</v>
      </c>
      <c r="BO270">
        <v>50000</v>
      </c>
      <c r="BP270">
        <v>2370000</v>
      </c>
      <c r="BQ270">
        <v>0</v>
      </c>
      <c r="BR270">
        <v>1160000</v>
      </c>
      <c r="BS270">
        <v>1000000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T270">
        <v>7.2222222222222303</v>
      </c>
      <c r="CU270">
        <v>50.74074074074079</v>
      </c>
      <c r="CV270">
        <v>42.037037037037059</v>
      </c>
      <c r="CW270">
        <v>0</v>
      </c>
      <c r="CX270">
        <v>0</v>
      </c>
      <c r="CY270">
        <v>14.444444444444429</v>
      </c>
      <c r="CZ270">
        <v>43.518518518518576</v>
      </c>
      <c r="DA270">
        <v>42.037037037037059</v>
      </c>
      <c r="DB270">
        <v>0</v>
      </c>
      <c r="DC270">
        <v>0</v>
      </c>
      <c r="DD270">
        <v>15.2777777777778</v>
      </c>
      <c r="DE270">
        <v>42.777777777777757</v>
      </c>
      <c r="DF270">
        <v>41.944444444444457</v>
      </c>
      <c r="DG270">
        <v>0</v>
      </c>
      <c r="DH270">
        <v>0</v>
      </c>
      <c r="DI270">
        <v>17.40740740740738</v>
      </c>
      <c r="DJ270">
        <v>40.648148148148152</v>
      </c>
      <c r="DK270">
        <v>41.944444444444457</v>
      </c>
      <c r="DL270">
        <v>0</v>
      </c>
      <c r="DM270">
        <v>0</v>
      </c>
      <c r="DN270">
        <v>17.40740740740738</v>
      </c>
      <c r="DO270">
        <v>40.648148148148152</v>
      </c>
      <c r="DP270">
        <v>41.944444444444457</v>
      </c>
      <c r="DQ270">
        <v>0</v>
      </c>
      <c r="DR270">
        <v>0</v>
      </c>
      <c r="DS270" t="s">
        <v>312</v>
      </c>
      <c r="DT270" t="s">
        <v>313</v>
      </c>
      <c r="DU270">
        <v>2621</v>
      </c>
      <c r="DV270" t="s">
        <v>547</v>
      </c>
      <c r="DW270" t="s">
        <v>548</v>
      </c>
      <c r="DX270">
        <v>86</v>
      </c>
      <c r="DY270">
        <v>130</v>
      </c>
      <c r="DZ270">
        <v>216</v>
      </c>
      <c r="EA270">
        <v>606779</v>
      </c>
      <c r="EB270">
        <v>388178</v>
      </c>
      <c r="EC270">
        <v>994957</v>
      </c>
      <c r="ED270" t="s">
        <v>807</v>
      </c>
      <c r="EE270" t="s">
        <v>808</v>
      </c>
      <c r="EF270" t="s">
        <v>746</v>
      </c>
      <c r="EG270" t="s">
        <v>760</v>
      </c>
    </row>
    <row r="271" spans="1:137" ht="14.55" customHeight="1" x14ac:dyDescent="0.3">
      <c r="A271" t="s">
        <v>915</v>
      </c>
      <c r="B271">
        <v>74018</v>
      </c>
      <c r="C271" t="s">
        <v>916</v>
      </c>
      <c r="D271" t="s">
        <v>543</v>
      </c>
      <c r="E271" t="s">
        <v>879</v>
      </c>
      <c r="F271" t="s">
        <v>742</v>
      </c>
      <c r="G271" t="s">
        <v>917</v>
      </c>
      <c r="H271" s="3">
        <v>11441825.363299999</v>
      </c>
      <c r="I271">
        <v>1144</v>
      </c>
      <c r="J271" s="3">
        <v>1144.1825363299999</v>
      </c>
      <c r="K271">
        <v>421</v>
      </c>
      <c r="L271">
        <v>488</v>
      </c>
      <c r="M271">
        <v>445.43157833700599</v>
      </c>
      <c r="N271">
        <v>13.315454609759</v>
      </c>
      <c r="O271">
        <v>0</v>
      </c>
      <c r="P271">
        <v>19.193517684936499</v>
      </c>
      <c r="Q271">
        <v>3.3281595706939702</v>
      </c>
      <c r="R271">
        <v>1.9835610389709499</v>
      </c>
      <c r="S271" t="s">
        <v>881</v>
      </c>
      <c r="T271" t="s">
        <v>918</v>
      </c>
      <c r="U271" t="s">
        <v>916</v>
      </c>
      <c r="V271" t="s">
        <v>916</v>
      </c>
      <c r="W271" s="3">
        <v>1741</v>
      </c>
      <c r="X271" s="3">
        <v>11440000</v>
      </c>
      <c r="Y271">
        <v>3</v>
      </c>
      <c r="Z271" s="3">
        <v>788</v>
      </c>
      <c r="AA271" s="3">
        <v>952</v>
      </c>
      <c r="AB271" s="3">
        <v>1144</v>
      </c>
      <c r="AC271" s="3">
        <v>1360</v>
      </c>
      <c r="AD271" s="3">
        <v>1391</v>
      </c>
      <c r="AE271" s="3">
        <v>1423</v>
      </c>
      <c r="AF271" s="3">
        <v>1462</v>
      </c>
      <c r="AG271" s="3">
        <v>1526</v>
      </c>
      <c r="AH271" s="3">
        <v>1530</v>
      </c>
      <c r="AI271" s="3">
        <v>1537</v>
      </c>
      <c r="AJ271" s="3">
        <v>1544</v>
      </c>
      <c r="AK271" s="3">
        <v>1545</v>
      </c>
      <c r="AL271" s="3">
        <v>1606</v>
      </c>
      <c r="AM271" s="3">
        <v>1679</v>
      </c>
      <c r="AN271" s="3">
        <v>1741</v>
      </c>
      <c r="AO271" s="3">
        <v>1804</v>
      </c>
      <c r="AP271" s="3">
        <v>1866</v>
      </c>
      <c r="AQ271" s="3">
        <v>1915</v>
      </c>
      <c r="AR271" s="4">
        <v>163.11188811188811</v>
      </c>
      <c r="AS271" s="5">
        <f t="shared" si="42"/>
        <v>2.6015228426395942</v>
      </c>
      <c r="AT271" s="5">
        <f t="shared" si="43"/>
        <v>2.2408963585434174</v>
      </c>
      <c r="AU271" s="5">
        <f t="shared" si="44"/>
        <v>2.7797202797202796</v>
      </c>
      <c r="AV271" s="5">
        <f t="shared" si="45"/>
        <v>2.7633378932968538</v>
      </c>
      <c r="AW271" s="5">
        <f t="shared" si="46"/>
        <v>2.6575097043893701</v>
      </c>
      <c r="AX271" s="5">
        <f t="shared" si="47"/>
        <v>3.1555944055944058</v>
      </c>
      <c r="AY271" s="5">
        <f t="shared" si="48"/>
        <v>3.6973521745095348</v>
      </c>
      <c r="AZ271">
        <f t="shared" si="49"/>
        <v>11470000</v>
      </c>
      <c r="BA271">
        <v>0</v>
      </c>
      <c r="BB271">
        <v>700000</v>
      </c>
      <c r="BC271">
        <v>60000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5370000</v>
      </c>
      <c r="BN271">
        <v>1370000</v>
      </c>
      <c r="BO271">
        <v>720000</v>
      </c>
      <c r="BP271">
        <v>320000</v>
      </c>
      <c r="BQ271">
        <v>310000</v>
      </c>
      <c r="BR271">
        <v>0</v>
      </c>
      <c r="BS271">
        <v>0</v>
      </c>
      <c r="BT271">
        <v>0</v>
      </c>
      <c r="BU271">
        <v>620000</v>
      </c>
      <c r="BV271">
        <v>0</v>
      </c>
      <c r="BW271">
        <v>0</v>
      </c>
      <c r="BX271">
        <v>0</v>
      </c>
      <c r="BY271">
        <v>1070000</v>
      </c>
      <c r="BZ271">
        <v>590000</v>
      </c>
      <c r="CA271">
        <v>340000</v>
      </c>
      <c r="CT271">
        <v>7.4106364428945106</v>
      </c>
      <c r="CU271">
        <v>69.224062772449926</v>
      </c>
      <c r="CV271">
        <v>5.4054054054054097</v>
      </c>
      <c r="CW271">
        <v>9.3286835222319109</v>
      </c>
      <c r="CX271">
        <v>8.6312118570183092</v>
      </c>
      <c r="CY271">
        <v>4.8823016564952013</v>
      </c>
      <c r="CZ271">
        <v>66.695727986050599</v>
      </c>
      <c r="DA271">
        <v>10.897994768962519</v>
      </c>
      <c r="DB271">
        <v>9.3286835222319109</v>
      </c>
      <c r="DC271">
        <v>8.1952920662598103</v>
      </c>
      <c r="DD271">
        <v>5.928509154315611</v>
      </c>
      <c r="DE271">
        <v>65.736704446381907</v>
      </c>
      <c r="DF271">
        <v>10.810810810810819</v>
      </c>
      <c r="DG271">
        <v>9.4158674803836107</v>
      </c>
      <c r="DH271">
        <v>8.1081081081081106</v>
      </c>
      <c r="DI271">
        <v>6.6259808195292109</v>
      </c>
      <c r="DJ271">
        <v>65.039232781168295</v>
      </c>
      <c r="DK271">
        <v>10.897994768962519</v>
      </c>
      <c r="DL271">
        <v>9.3286835222319109</v>
      </c>
      <c r="DM271">
        <v>8.1081081081081106</v>
      </c>
      <c r="DN271">
        <v>6.6259808195292109</v>
      </c>
      <c r="DO271">
        <v>65.039232781168295</v>
      </c>
      <c r="DP271">
        <v>10.897994768962519</v>
      </c>
      <c r="DQ271">
        <v>9.3286835222319109</v>
      </c>
      <c r="DR271">
        <v>8.1081081081081106</v>
      </c>
      <c r="DS271" t="s">
        <v>312</v>
      </c>
      <c r="DT271" t="s">
        <v>313</v>
      </c>
      <c r="DU271">
        <v>1888</v>
      </c>
      <c r="DV271" t="s">
        <v>547</v>
      </c>
      <c r="DW271" t="s">
        <v>548</v>
      </c>
      <c r="DX271">
        <v>86</v>
      </c>
      <c r="DY271">
        <v>130</v>
      </c>
      <c r="DZ271">
        <v>216</v>
      </c>
      <c r="EA271">
        <v>606779</v>
      </c>
      <c r="EB271">
        <v>388178</v>
      </c>
      <c r="EC271">
        <v>994957</v>
      </c>
      <c r="ED271" t="s">
        <v>894</v>
      </c>
      <c r="EE271" t="s">
        <v>895</v>
      </c>
      <c r="EF271" t="s">
        <v>746</v>
      </c>
      <c r="EG271" t="s">
        <v>760</v>
      </c>
    </row>
    <row r="272" spans="1:137" ht="14.55" customHeight="1" x14ac:dyDescent="0.3">
      <c r="A272" t="s">
        <v>919</v>
      </c>
      <c r="B272">
        <v>74020</v>
      </c>
      <c r="C272" t="s">
        <v>920</v>
      </c>
      <c r="D272" t="s">
        <v>886</v>
      </c>
      <c r="E272" t="s">
        <v>879</v>
      </c>
      <c r="F272" t="s">
        <v>742</v>
      </c>
      <c r="G272" t="s">
        <v>887</v>
      </c>
      <c r="H272" s="3">
        <v>4916584.4531699996</v>
      </c>
      <c r="I272">
        <v>489</v>
      </c>
      <c r="J272" s="3">
        <v>491.65844531800002</v>
      </c>
      <c r="K272">
        <v>414</v>
      </c>
      <c r="L272">
        <v>679</v>
      </c>
      <c r="M272">
        <v>584.54004299919404</v>
      </c>
      <c r="N272">
        <v>49.716485319746198</v>
      </c>
      <c r="O272">
        <v>0</v>
      </c>
      <c r="P272">
        <v>53.571231842041001</v>
      </c>
      <c r="Q272">
        <v>10.3296098709106</v>
      </c>
      <c r="R272">
        <v>9.4022455215454102</v>
      </c>
      <c r="S272" t="s">
        <v>881</v>
      </c>
      <c r="T272" t="s">
        <v>921</v>
      </c>
      <c r="U272" t="s">
        <v>920</v>
      </c>
      <c r="V272" t="s">
        <v>920</v>
      </c>
      <c r="W272" s="3">
        <v>1295</v>
      </c>
      <c r="X272" s="3">
        <v>4910000</v>
      </c>
      <c r="Y272">
        <v>2</v>
      </c>
      <c r="Z272" s="3">
        <v>594</v>
      </c>
      <c r="AA272" s="3">
        <v>775</v>
      </c>
      <c r="AB272" s="3">
        <v>940</v>
      </c>
      <c r="AC272" s="3">
        <v>1078</v>
      </c>
      <c r="AD272" s="3">
        <v>1098</v>
      </c>
      <c r="AE272" s="3">
        <v>1117</v>
      </c>
      <c r="AF272" s="3">
        <v>1173</v>
      </c>
      <c r="AG272" s="3">
        <v>1184</v>
      </c>
      <c r="AH272" s="3">
        <v>1216</v>
      </c>
      <c r="AI272" s="3">
        <v>1245</v>
      </c>
      <c r="AJ272" s="3">
        <v>1275</v>
      </c>
      <c r="AK272" s="3">
        <v>1289</v>
      </c>
      <c r="AL272" s="3">
        <v>1310</v>
      </c>
      <c r="AM272" s="3">
        <v>1303</v>
      </c>
      <c r="AN272" s="3">
        <v>1295</v>
      </c>
      <c r="AO272" s="3">
        <v>1287</v>
      </c>
      <c r="AP272" s="3">
        <v>1359</v>
      </c>
      <c r="AQ272" s="3">
        <v>1441</v>
      </c>
      <c r="AR272" s="4">
        <v>276.78207739307538</v>
      </c>
      <c r="AS272" s="5">
        <f t="shared" si="42"/>
        <v>3.8089225589225588</v>
      </c>
      <c r="AT272" s="5">
        <f t="shared" si="43"/>
        <v>2.3655913978494625</v>
      </c>
      <c r="AU272" s="5">
        <f t="shared" si="44"/>
        <v>2.478723404255319</v>
      </c>
      <c r="AV272" s="5">
        <f t="shared" si="45"/>
        <v>1.5856777493606138</v>
      </c>
      <c r="AW272" s="5">
        <f t="shared" si="46"/>
        <v>3.4264210734798968</v>
      </c>
      <c r="AX272" s="5">
        <f t="shared" si="47"/>
        <v>2.2287234042553195</v>
      </c>
      <c r="AY272" s="5">
        <f t="shared" si="48"/>
        <v>3.4807534807534806</v>
      </c>
      <c r="AZ272">
        <f t="shared" si="49"/>
        <v>4880000</v>
      </c>
      <c r="BA272">
        <v>0</v>
      </c>
      <c r="BB272">
        <v>1180000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600000</v>
      </c>
      <c r="BN272">
        <v>80000</v>
      </c>
      <c r="BO272">
        <v>0</v>
      </c>
      <c r="BP272">
        <v>2590000</v>
      </c>
      <c r="BQ272">
        <v>0</v>
      </c>
      <c r="BR272">
        <v>400000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30000</v>
      </c>
      <c r="BZ272">
        <v>0</v>
      </c>
      <c r="CA272">
        <v>0</v>
      </c>
      <c r="CT272">
        <v>11.680327868852499</v>
      </c>
      <c r="CU272">
        <v>29.713114754098402</v>
      </c>
      <c r="CV272">
        <v>57.991803278688501</v>
      </c>
      <c r="CW272">
        <v>0.61475409836065598</v>
      </c>
      <c r="CX272">
        <v>0</v>
      </c>
      <c r="CY272">
        <v>18.6475409836066</v>
      </c>
      <c r="CZ272">
        <v>22.540983606557383</v>
      </c>
      <c r="DA272">
        <v>58.1967213114754</v>
      </c>
      <c r="DB272">
        <v>0.61475409836065598</v>
      </c>
      <c r="DC272">
        <v>0</v>
      </c>
      <c r="DD272">
        <v>19.262295081967199</v>
      </c>
      <c r="DE272">
        <v>22.540983606557361</v>
      </c>
      <c r="DF272">
        <v>57.581967213114801</v>
      </c>
      <c r="DG272">
        <v>0.61475409836065598</v>
      </c>
      <c r="DH272">
        <v>0</v>
      </c>
      <c r="DI272">
        <v>24.180327868852501</v>
      </c>
      <c r="DJ272">
        <v>13.93442622950818</v>
      </c>
      <c r="DK272">
        <v>61.270491803278702</v>
      </c>
      <c r="DL272">
        <v>0.61475409836065598</v>
      </c>
      <c r="DM272">
        <v>0</v>
      </c>
      <c r="DN272">
        <v>24.180327868852501</v>
      </c>
      <c r="DO272">
        <v>13.93442622950818</v>
      </c>
      <c r="DP272">
        <v>61.270491803278702</v>
      </c>
      <c r="DQ272">
        <v>0.61475409836065598</v>
      </c>
      <c r="DR272">
        <v>0</v>
      </c>
      <c r="DS272" t="s">
        <v>768</v>
      </c>
      <c r="DT272" t="s">
        <v>768</v>
      </c>
      <c r="DU272" t="s">
        <v>768</v>
      </c>
      <c r="DV272" t="s">
        <v>768</v>
      </c>
      <c r="DW272" t="s">
        <v>768</v>
      </c>
      <c r="DX272" t="s">
        <v>768</v>
      </c>
      <c r="DY272" t="s">
        <v>768</v>
      </c>
      <c r="DZ272" t="s">
        <v>768</v>
      </c>
      <c r="EA272" t="s">
        <v>768</v>
      </c>
      <c r="EB272" t="s">
        <v>768</v>
      </c>
      <c r="EC272" t="s">
        <v>768</v>
      </c>
      <c r="ED272" t="s">
        <v>889</v>
      </c>
      <c r="EE272" t="s">
        <v>887</v>
      </c>
      <c r="EF272" t="s">
        <v>746</v>
      </c>
      <c r="EG272" t="s">
        <v>760</v>
      </c>
    </row>
    <row r="273" spans="1:137" ht="14.55" customHeight="1" x14ac:dyDescent="0.3">
      <c r="A273" t="s">
        <v>922</v>
      </c>
      <c r="B273">
        <v>74021</v>
      </c>
      <c r="C273" t="s">
        <v>923</v>
      </c>
      <c r="D273" t="s">
        <v>543</v>
      </c>
      <c r="E273" t="s">
        <v>879</v>
      </c>
      <c r="F273" t="s">
        <v>742</v>
      </c>
      <c r="G273" t="s">
        <v>924</v>
      </c>
      <c r="H273" s="3">
        <v>5919211.8340499997</v>
      </c>
      <c r="I273">
        <v>593</v>
      </c>
      <c r="J273" s="3">
        <v>591.92118340499997</v>
      </c>
      <c r="K273">
        <v>403</v>
      </c>
      <c r="L273">
        <v>521</v>
      </c>
      <c r="M273">
        <v>463.870956911024</v>
      </c>
      <c r="N273">
        <v>24.8796728524385</v>
      </c>
      <c r="O273">
        <v>0</v>
      </c>
      <c r="P273">
        <v>34.684902191162102</v>
      </c>
      <c r="Q273">
        <v>6.56329345703125</v>
      </c>
      <c r="R273">
        <v>5.6467261314392099</v>
      </c>
      <c r="S273" t="s">
        <v>881</v>
      </c>
      <c r="T273" t="s">
        <v>925</v>
      </c>
      <c r="U273" t="s">
        <v>923</v>
      </c>
      <c r="V273" t="s">
        <v>923</v>
      </c>
      <c r="W273" s="3">
        <v>1577</v>
      </c>
      <c r="X273" s="3">
        <v>5920000</v>
      </c>
      <c r="Y273">
        <v>2</v>
      </c>
      <c r="Z273" s="3">
        <v>957</v>
      </c>
      <c r="AA273" s="3">
        <v>1139</v>
      </c>
      <c r="AB273" s="3">
        <v>1169</v>
      </c>
      <c r="AC273" s="3">
        <v>1240</v>
      </c>
      <c r="AD273" s="3">
        <v>1257</v>
      </c>
      <c r="AE273" s="3">
        <v>1264</v>
      </c>
      <c r="AF273" s="3">
        <v>1272</v>
      </c>
      <c r="AG273" s="3">
        <v>1279</v>
      </c>
      <c r="AH273" s="3">
        <v>1287</v>
      </c>
      <c r="AI273" s="3">
        <v>1307</v>
      </c>
      <c r="AJ273" s="3">
        <v>1351</v>
      </c>
      <c r="AK273" s="3">
        <v>1396</v>
      </c>
      <c r="AL273" s="3">
        <v>1440</v>
      </c>
      <c r="AM273" s="3">
        <v>1513</v>
      </c>
      <c r="AN273" s="3">
        <v>1577</v>
      </c>
      <c r="AO273" s="3">
        <v>1600</v>
      </c>
      <c r="AP273" s="3">
        <v>1623</v>
      </c>
      <c r="AQ273" s="3">
        <v>1657</v>
      </c>
      <c r="AR273" s="4">
        <v>274.15540540540542</v>
      </c>
      <c r="AS273" s="5">
        <f t="shared" si="42"/>
        <v>2.3772204806687567</v>
      </c>
      <c r="AT273" s="5">
        <f t="shared" si="43"/>
        <v>0.29265437518290899</v>
      </c>
      <c r="AU273" s="5">
        <f t="shared" si="44"/>
        <v>0.8810949529512403</v>
      </c>
      <c r="AV273" s="5">
        <f t="shared" si="45"/>
        <v>2.7594339622641511</v>
      </c>
      <c r="AW273" s="5">
        <f t="shared" si="46"/>
        <v>1.3030917696232098</v>
      </c>
      <c r="AX273" s="5">
        <f t="shared" si="47"/>
        <v>1.9418306244653551</v>
      </c>
      <c r="AY273" s="5">
        <f t="shared" si="48"/>
        <v>1.8808777429467083</v>
      </c>
      <c r="AZ273">
        <f t="shared" si="49"/>
        <v>5920000</v>
      </c>
      <c r="BA273">
        <v>0</v>
      </c>
      <c r="BB273">
        <v>990000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1250000</v>
      </c>
      <c r="BK273">
        <v>0</v>
      </c>
      <c r="BL273">
        <v>0</v>
      </c>
      <c r="BM273">
        <v>600000</v>
      </c>
      <c r="BN273">
        <v>400000</v>
      </c>
      <c r="BO273">
        <v>950000</v>
      </c>
      <c r="BP273">
        <v>1260000</v>
      </c>
      <c r="BQ273">
        <v>0</v>
      </c>
      <c r="BR273">
        <v>470000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T273">
        <v>12.8378378378378</v>
      </c>
      <c r="CU273">
        <v>57.432432432432464</v>
      </c>
      <c r="CV273">
        <v>29.729729729729701</v>
      </c>
      <c r="CW273">
        <v>0</v>
      </c>
      <c r="CX273">
        <v>0</v>
      </c>
      <c r="CY273">
        <v>16.722972972973</v>
      </c>
      <c r="CZ273">
        <v>53.547297297297369</v>
      </c>
      <c r="DA273">
        <v>29.729729729729701</v>
      </c>
      <c r="DB273">
        <v>0</v>
      </c>
      <c r="DC273">
        <v>0</v>
      </c>
      <c r="DD273">
        <v>16.722972972973</v>
      </c>
      <c r="DE273">
        <v>54.054054054054099</v>
      </c>
      <c r="DF273">
        <v>29.222972972973</v>
      </c>
      <c r="DG273">
        <v>0</v>
      </c>
      <c r="DH273">
        <v>0</v>
      </c>
      <c r="DI273">
        <v>16.722972972973</v>
      </c>
      <c r="DJ273">
        <v>54.054054054054099</v>
      </c>
      <c r="DK273">
        <v>29.222972972973</v>
      </c>
      <c r="DL273">
        <v>0</v>
      </c>
      <c r="DM273">
        <v>0</v>
      </c>
      <c r="DN273">
        <v>16.722972972973</v>
      </c>
      <c r="DO273">
        <v>54.054054054054099</v>
      </c>
      <c r="DP273">
        <v>29.222972972973</v>
      </c>
      <c r="DQ273">
        <v>0</v>
      </c>
      <c r="DR273">
        <v>0</v>
      </c>
      <c r="DS273" t="s">
        <v>312</v>
      </c>
      <c r="DT273" t="s">
        <v>313</v>
      </c>
      <c r="DU273">
        <v>1646</v>
      </c>
      <c r="DV273" t="s">
        <v>547</v>
      </c>
      <c r="DW273" t="s">
        <v>548</v>
      </c>
      <c r="DX273">
        <v>86</v>
      </c>
      <c r="DY273">
        <v>130</v>
      </c>
      <c r="DZ273">
        <v>216</v>
      </c>
      <c r="EA273">
        <v>606779</v>
      </c>
      <c r="EB273">
        <v>388178</v>
      </c>
      <c r="EC273">
        <v>994957</v>
      </c>
      <c r="ED273" t="s">
        <v>807</v>
      </c>
      <c r="EE273" t="s">
        <v>808</v>
      </c>
      <c r="EF273" t="s">
        <v>746</v>
      </c>
      <c r="EG273" t="s">
        <v>760</v>
      </c>
    </row>
    <row r="274" spans="1:137" ht="14.55" customHeight="1" x14ac:dyDescent="0.3">
      <c r="A274" t="s">
        <v>926</v>
      </c>
      <c r="B274">
        <v>74024</v>
      </c>
      <c r="C274" t="s">
        <v>927</v>
      </c>
      <c r="D274" t="s">
        <v>543</v>
      </c>
      <c r="E274" t="s">
        <v>879</v>
      </c>
      <c r="F274" t="s">
        <v>742</v>
      </c>
      <c r="G274" t="s">
        <v>917</v>
      </c>
      <c r="H274" s="3">
        <v>10464555.4564</v>
      </c>
      <c r="I274">
        <v>1046</v>
      </c>
      <c r="J274" s="3">
        <v>1046.4555456399999</v>
      </c>
      <c r="K274">
        <v>435</v>
      </c>
      <c r="L274">
        <v>1848</v>
      </c>
      <c r="M274">
        <v>781.17138873042995</v>
      </c>
      <c r="N274">
        <v>363.13062729441299</v>
      </c>
      <c r="O274">
        <v>0</v>
      </c>
      <c r="P274">
        <v>60.899013519287102</v>
      </c>
      <c r="Q274">
        <v>19.2888278961182</v>
      </c>
      <c r="R274">
        <v>12.8366889953613</v>
      </c>
      <c r="S274" t="s">
        <v>881</v>
      </c>
      <c r="T274" t="s">
        <v>928</v>
      </c>
      <c r="U274" t="s">
        <v>927</v>
      </c>
      <c r="V274" t="s">
        <v>927</v>
      </c>
      <c r="W274" s="3">
        <v>2145</v>
      </c>
      <c r="X274" s="3">
        <v>10460000</v>
      </c>
      <c r="Y274">
        <v>2</v>
      </c>
      <c r="Z274" s="3">
        <v>1262</v>
      </c>
      <c r="AA274" s="3">
        <v>1532</v>
      </c>
      <c r="AB274" s="3">
        <v>1817</v>
      </c>
      <c r="AC274" s="3">
        <v>1928</v>
      </c>
      <c r="AD274" s="3">
        <v>1944</v>
      </c>
      <c r="AE274" s="3">
        <v>1970</v>
      </c>
      <c r="AF274" s="3">
        <v>1979</v>
      </c>
      <c r="AG274" s="3">
        <v>1999</v>
      </c>
      <c r="AH274" s="3">
        <v>2019</v>
      </c>
      <c r="AI274" s="3">
        <v>2039</v>
      </c>
      <c r="AJ274" s="3">
        <v>2093</v>
      </c>
      <c r="AK274" s="3">
        <v>2106</v>
      </c>
      <c r="AL274" s="3">
        <v>2119</v>
      </c>
      <c r="AM274" s="3">
        <v>2132</v>
      </c>
      <c r="AN274" s="3">
        <v>2145</v>
      </c>
      <c r="AO274" s="3">
        <v>2220</v>
      </c>
      <c r="AP274" s="3">
        <v>2219</v>
      </c>
      <c r="AQ274" s="3">
        <v>2274</v>
      </c>
      <c r="AR274" s="4">
        <v>212.14149139579351</v>
      </c>
      <c r="AS274" s="5">
        <f t="shared" si="42"/>
        <v>2.6743264659270998</v>
      </c>
      <c r="AT274" s="5">
        <f t="shared" si="43"/>
        <v>2.0670147954743259</v>
      </c>
      <c r="AU274" s="5">
        <f t="shared" si="44"/>
        <v>0.89157952669234997</v>
      </c>
      <c r="AV274" s="5">
        <f t="shared" si="45"/>
        <v>1.2127337038908539</v>
      </c>
      <c r="AW274" s="5">
        <f t="shared" si="46"/>
        <v>2.5869301761909198</v>
      </c>
      <c r="AX274" s="5">
        <f t="shared" si="47"/>
        <v>1.1062190423775455</v>
      </c>
      <c r="AY274" s="5">
        <f t="shared" si="48"/>
        <v>2.0495138561699577</v>
      </c>
      <c r="AZ274">
        <f t="shared" si="49"/>
        <v>10450000</v>
      </c>
      <c r="BA274">
        <v>0</v>
      </c>
      <c r="BB274">
        <v>1820000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2640000</v>
      </c>
      <c r="BO274">
        <v>470000</v>
      </c>
      <c r="BP274">
        <v>2190000</v>
      </c>
      <c r="BQ274">
        <v>240000</v>
      </c>
      <c r="BR274">
        <v>2400000</v>
      </c>
      <c r="BS274">
        <v>690000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T274">
        <v>13.4928229665072</v>
      </c>
      <c r="CU274">
        <v>32.15311004784693</v>
      </c>
      <c r="CV274">
        <v>54.354066985645929</v>
      </c>
      <c r="CW274">
        <v>0</v>
      </c>
      <c r="CX274">
        <v>0</v>
      </c>
      <c r="CY274">
        <v>15.598086124401901</v>
      </c>
      <c r="CZ274">
        <v>31.578947368421101</v>
      </c>
      <c r="DA274">
        <v>52.822966507177028</v>
      </c>
      <c r="DB274">
        <v>0</v>
      </c>
      <c r="DC274">
        <v>0</v>
      </c>
      <c r="DD274">
        <v>15.885167464114801</v>
      </c>
      <c r="DE274">
        <v>31.2918660287081</v>
      </c>
      <c r="DF274">
        <v>52.822966507177036</v>
      </c>
      <c r="DG274">
        <v>0</v>
      </c>
      <c r="DH274">
        <v>0</v>
      </c>
      <c r="DI274">
        <v>17.416267942583701</v>
      </c>
      <c r="DJ274">
        <v>29.760765550239199</v>
      </c>
      <c r="DK274">
        <v>52.822966507177036</v>
      </c>
      <c r="DL274">
        <v>0</v>
      </c>
      <c r="DM274">
        <v>0</v>
      </c>
      <c r="DN274">
        <v>17.416267942583701</v>
      </c>
      <c r="DO274">
        <v>29.760765550239199</v>
      </c>
      <c r="DP274">
        <v>52.822966507177036</v>
      </c>
      <c r="DQ274">
        <v>0</v>
      </c>
      <c r="DR274">
        <v>0</v>
      </c>
      <c r="DS274" t="s">
        <v>768</v>
      </c>
      <c r="DT274" t="s">
        <v>768</v>
      </c>
      <c r="DU274" t="s">
        <v>768</v>
      </c>
      <c r="DV274" t="s">
        <v>768</v>
      </c>
      <c r="DW274" t="s">
        <v>768</v>
      </c>
      <c r="DX274" t="s">
        <v>768</v>
      </c>
      <c r="DY274" t="s">
        <v>768</v>
      </c>
      <c r="DZ274" t="s">
        <v>768</v>
      </c>
      <c r="EA274" t="s">
        <v>768</v>
      </c>
      <c r="EB274" t="s">
        <v>768</v>
      </c>
      <c r="EC274" t="s">
        <v>768</v>
      </c>
      <c r="ED274" t="s">
        <v>894</v>
      </c>
      <c r="EE274" t="s">
        <v>895</v>
      </c>
      <c r="EF274" t="s">
        <v>746</v>
      </c>
      <c r="EG274" t="s">
        <v>760</v>
      </c>
    </row>
    <row r="275" spans="1:137" ht="14.55" customHeight="1" x14ac:dyDescent="0.3">
      <c r="A275" t="s">
        <v>929</v>
      </c>
      <c r="B275">
        <v>74025</v>
      </c>
      <c r="C275" t="s">
        <v>930</v>
      </c>
      <c r="D275" t="s">
        <v>543</v>
      </c>
      <c r="E275" t="s">
        <v>879</v>
      </c>
      <c r="F275" t="s">
        <v>742</v>
      </c>
      <c r="G275" t="s">
        <v>904</v>
      </c>
      <c r="H275" s="3">
        <v>13313651.1108</v>
      </c>
      <c r="I275">
        <v>1335</v>
      </c>
      <c r="J275" s="3">
        <v>1331.3651110799999</v>
      </c>
      <c r="K275">
        <v>490</v>
      </c>
      <c r="L275">
        <v>756</v>
      </c>
      <c r="M275">
        <v>595.623498461233</v>
      </c>
      <c r="N275">
        <v>59.811649350156898</v>
      </c>
      <c r="O275">
        <v>0</v>
      </c>
      <c r="P275">
        <v>32.362010955810597</v>
      </c>
      <c r="Q275">
        <v>6.3278245925903303</v>
      </c>
      <c r="R275">
        <v>3.96195769309998</v>
      </c>
      <c r="S275" t="s">
        <v>881</v>
      </c>
      <c r="T275" t="s">
        <v>931</v>
      </c>
      <c r="U275" t="s">
        <v>930</v>
      </c>
      <c r="V275" t="s">
        <v>930</v>
      </c>
      <c r="W275" s="3">
        <v>1470</v>
      </c>
      <c r="X275" s="3">
        <v>13280000</v>
      </c>
      <c r="Y275">
        <v>3</v>
      </c>
      <c r="Z275" s="3">
        <v>655</v>
      </c>
      <c r="AA275" s="3">
        <v>930</v>
      </c>
      <c r="AB275" s="3">
        <v>1092</v>
      </c>
      <c r="AC275" s="3">
        <v>1231</v>
      </c>
      <c r="AD275" s="3">
        <v>1250</v>
      </c>
      <c r="AE275" s="3">
        <v>1282</v>
      </c>
      <c r="AF275" s="3">
        <v>1295</v>
      </c>
      <c r="AG275" s="3">
        <v>1329</v>
      </c>
      <c r="AH275" s="3">
        <v>1359</v>
      </c>
      <c r="AI275" s="3">
        <v>1388</v>
      </c>
      <c r="AJ275" s="3">
        <v>1460</v>
      </c>
      <c r="AK275" s="3">
        <v>1489</v>
      </c>
      <c r="AL275" s="3">
        <v>1488</v>
      </c>
      <c r="AM275" s="3">
        <v>1479</v>
      </c>
      <c r="AN275" s="3">
        <v>1470</v>
      </c>
      <c r="AO275" s="3">
        <v>1486</v>
      </c>
      <c r="AP275" s="3">
        <v>1492</v>
      </c>
      <c r="AQ275" s="3">
        <v>1477</v>
      </c>
      <c r="AR275" s="4">
        <v>112.34939759036145</v>
      </c>
      <c r="AS275" s="5">
        <f t="shared" si="42"/>
        <v>5.2480916030534353</v>
      </c>
      <c r="AT275" s="5">
        <f t="shared" si="43"/>
        <v>1.935483870967742</v>
      </c>
      <c r="AU275" s="5">
        <f t="shared" si="44"/>
        <v>1.858974358974359</v>
      </c>
      <c r="AV275" s="5">
        <f t="shared" si="45"/>
        <v>1.5212355212355213</v>
      </c>
      <c r="AW275" s="5">
        <f t="shared" si="46"/>
        <v>3.9245621912887296</v>
      </c>
      <c r="AX275" s="5">
        <f t="shared" si="47"/>
        <v>1.8315018315018312</v>
      </c>
      <c r="AY275" s="5">
        <f t="shared" si="48"/>
        <v>3.4536826903239115</v>
      </c>
      <c r="AZ275">
        <f t="shared" si="49"/>
        <v>13320000</v>
      </c>
      <c r="BA275">
        <v>0</v>
      </c>
      <c r="BB275">
        <v>570000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2380000</v>
      </c>
      <c r="BK275">
        <v>230000</v>
      </c>
      <c r="BL275">
        <v>0</v>
      </c>
      <c r="BM275">
        <v>3440000</v>
      </c>
      <c r="BN275">
        <v>1330000</v>
      </c>
      <c r="BO275">
        <v>0</v>
      </c>
      <c r="BP275">
        <v>3290000</v>
      </c>
      <c r="BQ275">
        <v>0</v>
      </c>
      <c r="BR275">
        <v>2080000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T275">
        <v>0</v>
      </c>
      <c r="CU275">
        <v>58.064516129032341</v>
      </c>
      <c r="CV275">
        <v>41.935483870967801</v>
      </c>
      <c r="CW275">
        <v>0</v>
      </c>
      <c r="CX275">
        <v>0</v>
      </c>
      <c r="CY275">
        <v>4.12603150787697</v>
      </c>
      <c r="CZ275">
        <v>55.513878469617389</v>
      </c>
      <c r="DA275">
        <v>40.360090022505602</v>
      </c>
      <c r="DB275">
        <v>0</v>
      </c>
      <c r="DC275">
        <v>0</v>
      </c>
      <c r="DD275">
        <v>4.12603150787697</v>
      </c>
      <c r="DE275">
        <v>55.51387846961736</v>
      </c>
      <c r="DF275">
        <v>40.360090022505602</v>
      </c>
      <c r="DG275">
        <v>0</v>
      </c>
      <c r="DH275">
        <v>0</v>
      </c>
      <c r="DI275">
        <v>4.2760690172543097</v>
      </c>
      <c r="DJ275">
        <v>55.363840960240061</v>
      </c>
      <c r="DK275">
        <v>40.360090022505602</v>
      </c>
      <c r="DL275">
        <v>0</v>
      </c>
      <c r="DM275">
        <v>0</v>
      </c>
      <c r="DN275">
        <v>4.2760690172543097</v>
      </c>
      <c r="DO275">
        <v>55.363840960240061</v>
      </c>
      <c r="DP275">
        <v>40.360090022505602</v>
      </c>
      <c r="DQ275">
        <v>0</v>
      </c>
      <c r="DR275">
        <v>0</v>
      </c>
      <c r="DS275" t="s">
        <v>312</v>
      </c>
      <c r="DT275" t="s">
        <v>313</v>
      </c>
      <c r="DU275">
        <v>1495</v>
      </c>
      <c r="DV275" t="s">
        <v>547</v>
      </c>
      <c r="DW275" t="s">
        <v>548</v>
      </c>
      <c r="DX275">
        <v>86</v>
      </c>
      <c r="DY275">
        <v>130</v>
      </c>
      <c r="DZ275">
        <v>216</v>
      </c>
      <c r="EA275">
        <v>606779</v>
      </c>
      <c r="EB275">
        <v>388178</v>
      </c>
      <c r="EC275">
        <v>994957</v>
      </c>
      <c r="ED275" t="s">
        <v>909</v>
      </c>
      <c r="EE275" t="s">
        <v>910</v>
      </c>
      <c r="EF275" t="s">
        <v>753</v>
      </c>
      <c r="EG275" t="s">
        <v>754</v>
      </c>
    </row>
    <row r="276" spans="1:137" ht="14.55" customHeight="1" x14ac:dyDescent="0.3">
      <c r="A276" t="s">
        <v>932</v>
      </c>
      <c r="B276">
        <v>74030</v>
      </c>
      <c r="C276" t="s">
        <v>933</v>
      </c>
      <c r="D276" t="s">
        <v>878</v>
      </c>
      <c r="E276" t="s">
        <v>879</v>
      </c>
      <c r="F276" t="s">
        <v>742</v>
      </c>
      <c r="G276" t="s">
        <v>880</v>
      </c>
      <c r="H276" s="3">
        <v>16955541.389800001</v>
      </c>
      <c r="I276">
        <v>1693</v>
      </c>
      <c r="J276" s="3">
        <v>1695.5541389800001</v>
      </c>
      <c r="K276">
        <v>624</v>
      </c>
      <c r="L276">
        <v>1867</v>
      </c>
      <c r="M276">
        <v>1177.4407314980899</v>
      </c>
      <c r="N276">
        <v>310.71129849416002</v>
      </c>
      <c r="O276">
        <v>0</v>
      </c>
      <c r="P276">
        <v>65.965721130371094</v>
      </c>
      <c r="Q276">
        <v>24.956386566162099</v>
      </c>
      <c r="R276">
        <v>11.1473436355591</v>
      </c>
      <c r="S276" t="s">
        <v>881</v>
      </c>
      <c r="T276" t="s">
        <v>934</v>
      </c>
      <c r="U276" t="s">
        <v>933</v>
      </c>
      <c r="V276" t="s">
        <v>933</v>
      </c>
      <c r="W276" s="3">
        <v>309</v>
      </c>
      <c r="X276" s="3">
        <v>16960000</v>
      </c>
      <c r="Y276">
        <v>3</v>
      </c>
      <c r="Z276" s="3">
        <v>165</v>
      </c>
      <c r="AA276" s="3">
        <v>191</v>
      </c>
      <c r="AB276" s="3">
        <v>228</v>
      </c>
      <c r="AC276" s="3">
        <v>252</v>
      </c>
      <c r="AD276" s="3">
        <v>251</v>
      </c>
      <c r="AE276" s="3">
        <v>251</v>
      </c>
      <c r="AF276" s="3">
        <v>251</v>
      </c>
      <c r="AG276" s="3">
        <v>251</v>
      </c>
      <c r="AH276" s="3">
        <v>250</v>
      </c>
      <c r="AI276" s="3">
        <v>250</v>
      </c>
      <c r="AJ276" s="3">
        <v>278</v>
      </c>
      <c r="AK276" s="3">
        <v>292</v>
      </c>
      <c r="AL276" s="3">
        <v>307</v>
      </c>
      <c r="AM276" s="3">
        <v>308</v>
      </c>
      <c r="AN276" s="3">
        <v>309</v>
      </c>
      <c r="AO276" s="3">
        <v>321</v>
      </c>
      <c r="AP276" s="3">
        <v>321</v>
      </c>
      <c r="AR276" s="4">
        <v>18.92688679245283</v>
      </c>
      <c r="AS276" s="5">
        <f t="shared" si="42"/>
        <v>1.9696969696969695</v>
      </c>
      <c r="AT276" s="5">
        <f t="shared" si="43"/>
        <v>2.1524141942990114</v>
      </c>
      <c r="AU276" s="5">
        <f t="shared" si="44"/>
        <v>1.0087719298245614</v>
      </c>
      <c r="AV276" s="5">
        <f t="shared" si="45"/>
        <v>2.788844621513944</v>
      </c>
      <c r="AW276" s="5">
        <f t="shared" si="46"/>
        <v>2.2459893048128343</v>
      </c>
      <c r="AX276" s="5">
        <f t="shared" si="47"/>
        <v>2.0394736842105265</v>
      </c>
      <c r="AY276" s="5">
        <f t="shared" si="48"/>
        <v>2.5552825552825555</v>
      </c>
      <c r="AZ276">
        <f t="shared" si="49"/>
        <v>16950000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1010000</v>
      </c>
      <c r="BN276">
        <v>340000</v>
      </c>
      <c r="BO276">
        <v>480000</v>
      </c>
      <c r="BP276">
        <v>6280000</v>
      </c>
      <c r="BQ276">
        <v>3460000</v>
      </c>
      <c r="BR276">
        <v>2220000</v>
      </c>
      <c r="BS276">
        <v>2170000</v>
      </c>
      <c r="BT276">
        <v>0</v>
      </c>
      <c r="BU276">
        <v>0</v>
      </c>
      <c r="BV276">
        <v>0</v>
      </c>
      <c r="BW276">
        <v>0</v>
      </c>
      <c r="BX276">
        <v>760000</v>
      </c>
      <c r="BY276">
        <v>0</v>
      </c>
      <c r="BZ276">
        <v>0</v>
      </c>
      <c r="CA276">
        <v>230000</v>
      </c>
      <c r="CT276">
        <v>0</v>
      </c>
      <c r="CU276">
        <v>0.235988200589971</v>
      </c>
      <c r="CV276">
        <v>98.407079646017749</v>
      </c>
      <c r="CW276">
        <v>0</v>
      </c>
      <c r="CX276">
        <v>1.35693215339233</v>
      </c>
      <c r="CY276">
        <v>0</v>
      </c>
      <c r="CZ276">
        <v>10.737463126843661</v>
      </c>
      <c r="DA276">
        <v>87.905604719764042</v>
      </c>
      <c r="DB276">
        <v>0</v>
      </c>
      <c r="DC276">
        <v>1.35693215339233</v>
      </c>
      <c r="DD276">
        <v>0</v>
      </c>
      <c r="DE276">
        <v>10.796460176991161</v>
      </c>
      <c r="DF276">
        <v>87.846607669616546</v>
      </c>
      <c r="DG276">
        <v>0</v>
      </c>
      <c r="DH276">
        <v>1.35693215339233</v>
      </c>
      <c r="DI276">
        <v>0</v>
      </c>
      <c r="DJ276">
        <v>10.796460176991161</v>
      </c>
      <c r="DK276">
        <v>87.846607669616546</v>
      </c>
      <c r="DL276">
        <v>0</v>
      </c>
      <c r="DM276">
        <v>1.35693215339233</v>
      </c>
      <c r="DN276">
        <v>0</v>
      </c>
      <c r="DO276">
        <v>10.796460176991161</v>
      </c>
      <c r="DP276">
        <v>87.846607669616546</v>
      </c>
      <c r="DQ276">
        <v>0</v>
      </c>
      <c r="DR276">
        <v>1.35693215339233</v>
      </c>
      <c r="DS276" t="s">
        <v>768</v>
      </c>
      <c r="DT276" t="s">
        <v>768</v>
      </c>
      <c r="DU276" t="s">
        <v>768</v>
      </c>
      <c r="DV276" t="s">
        <v>768</v>
      </c>
      <c r="DW276" t="s">
        <v>768</v>
      </c>
      <c r="DX276" t="s">
        <v>768</v>
      </c>
      <c r="DY276" t="s">
        <v>768</v>
      </c>
      <c r="DZ276" t="s">
        <v>768</v>
      </c>
      <c r="EA276" t="s">
        <v>768</v>
      </c>
      <c r="EB276" t="s">
        <v>768</v>
      </c>
      <c r="EC276" t="s">
        <v>768</v>
      </c>
      <c r="ED276" t="s">
        <v>909</v>
      </c>
      <c r="EE276" t="s">
        <v>910</v>
      </c>
      <c r="EF276" t="s">
        <v>753</v>
      </c>
      <c r="EG276" t="s">
        <v>754</v>
      </c>
    </row>
    <row r="277" spans="1:137" ht="14.55" customHeight="1" x14ac:dyDescent="0.3">
      <c r="A277" t="s">
        <v>935</v>
      </c>
      <c r="B277">
        <v>74031</v>
      </c>
      <c r="C277" t="s">
        <v>936</v>
      </c>
      <c r="D277" t="s">
        <v>543</v>
      </c>
      <c r="E277" t="s">
        <v>879</v>
      </c>
      <c r="F277" t="s">
        <v>742</v>
      </c>
      <c r="G277" t="s">
        <v>913</v>
      </c>
      <c r="H277" s="3">
        <v>9756669.85348</v>
      </c>
      <c r="I277">
        <v>966</v>
      </c>
      <c r="J277" s="3">
        <v>975.66698534800003</v>
      </c>
      <c r="K277">
        <v>582</v>
      </c>
      <c r="L277">
        <v>1377</v>
      </c>
      <c r="M277">
        <v>876.77283547575303</v>
      </c>
      <c r="N277">
        <v>227.57101240111299</v>
      </c>
      <c r="O277">
        <v>0</v>
      </c>
      <c r="P277">
        <v>58.347000122070298</v>
      </c>
      <c r="Q277">
        <v>11.7641849517822</v>
      </c>
      <c r="R277">
        <v>9.8822698593139595</v>
      </c>
      <c r="S277" t="s">
        <v>881</v>
      </c>
      <c r="T277" t="s">
        <v>937</v>
      </c>
      <c r="U277" t="s">
        <v>936</v>
      </c>
      <c r="V277" t="s">
        <v>936</v>
      </c>
      <c r="W277" s="3">
        <v>2838</v>
      </c>
      <c r="X277" s="3">
        <v>9750000</v>
      </c>
      <c r="Y277">
        <v>3</v>
      </c>
      <c r="Z277" s="3">
        <v>843</v>
      </c>
      <c r="AA277" s="3">
        <v>1018</v>
      </c>
      <c r="AB277" s="3">
        <v>1293</v>
      </c>
      <c r="AC277" s="3">
        <v>1843</v>
      </c>
      <c r="AD277" s="3">
        <v>1968</v>
      </c>
      <c r="AE277" s="3">
        <v>2027</v>
      </c>
      <c r="AF277" s="3">
        <v>2076</v>
      </c>
      <c r="AG277" s="3">
        <v>2125</v>
      </c>
      <c r="AH277" s="3">
        <v>2173</v>
      </c>
      <c r="AI277" s="3">
        <v>2260</v>
      </c>
      <c r="AJ277" s="3">
        <v>2443</v>
      </c>
      <c r="AK277" s="3">
        <v>2563</v>
      </c>
      <c r="AL277" s="3">
        <v>2685</v>
      </c>
      <c r="AM277" s="3">
        <v>2806</v>
      </c>
      <c r="AN277" s="3">
        <v>2838</v>
      </c>
      <c r="AO277" s="3">
        <v>2842</v>
      </c>
      <c r="AP277" s="3">
        <v>3027</v>
      </c>
      <c r="AQ277" s="3">
        <v>3063</v>
      </c>
      <c r="AR277" s="4">
        <v>310.46153846153845</v>
      </c>
      <c r="AS277" s="5">
        <f t="shared" si="42"/>
        <v>2.5948991696322659</v>
      </c>
      <c r="AT277" s="5">
        <f t="shared" si="43"/>
        <v>3.0015280506439637</v>
      </c>
      <c r="AU277" s="5">
        <f t="shared" si="44"/>
        <v>6.0556844547563804</v>
      </c>
      <c r="AV277" s="5">
        <f t="shared" si="45"/>
        <v>4.5809248554913289</v>
      </c>
      <c r="AW277" s="5">
        <f t="shared" si="46"/>
        <v>3.1400460540087916</v>
      </c>
      <c r="AX277" s="5">
        <f t="shared" si="47"/>
        <v>6.7053364269141529</v>
      </c>
      <c r="AY277" s="5">
        <f t="shared" si="48"/>
        <v>7.0020198134077143</v>
      </c>
      <c r="AZ277">
        <f t="shared" si="49"/>
        <v>9670000</v>
      </c>
      <c r="BA277">
        <v>0</v>
      </c>
      <c r="BB277">
        <v>1340000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820000</v>
      </c>
      <c r="BK277">
        <v>0</v>
      </c>
      <c r="BL277">
        <v>0</v>
      </c>
      <c r="BM277">
        <v>2540000</v>
      </c>
      <c r="BN277">
        <v>470000</v>
      </c>
      <c r="BO277">
        <v>360000</v>
      </c>
      <c r="BP277">
        <v>890000</v>
      </c>
      <c r="BQ277">
        <v>0</v>
      </c>
      <c r="BR277">
        <v>2700000</v>
      </c>
      <c r="BS277">
        <v>550000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T277">
        <v>11.3753877973113</v>
      </c>
      <c r="CU277">
        <v>44.053774560496329</v>
      </c>
      <c r="CV277">
        <v>44.570837642192345</v>
      </c>
      <c r="CW277">
        <v>0</v>
      </c>
      <c r="CX277">
        <v>0</v>
      </c>
      <c r="CY277">
        <v>12.6163391933816</v>
      </c>
      <c r="CZ277">
        <v>43.846949327817981</v>
      </c>
      <c r="DA277">
        <v>43.536711478800441</v>
      </c>
      <c r="DB277">
        <v>0</v>
      </c>
      <c r="DC277">
        <v>0</v>
      </c>
      <c r="DD277">
        <v>12.82316442606</v>
      </c>
      <c r="DE277">
        <v>43.226473629782816</v>
      </c>
      <c r="DF277">
        <v>43.950361944157237</v>
      </c>
      <c r="DG277">
        <v>0</v>
      </c>
      <c r="DH277">
        <v>0</v>
      </c>
      <c r="DI277">
        <v>13.8572905894519</v>
      </c>
      <c r="DJ277">
        <v>43.329886246122008</v>
      </c>
      <c r="DK277">
        <v>42.812823164426035</v>
      </c>
      <c r="DL277">
        <v>0</v>
      </c>
      <c r="DM277">
        <v>0</v>
      </c>
      <c r="DN277">
        <v>13.8572905894519</v>
      </c>
      <c r="DO277">
        <v>43.329886246122008</v>
      </c>
      <c r="DP277">
        <v>42.812823164426035</v>
      </c>
      <c r="DQ277">
        <v>0</v>
      </c>
      <c r="DR277">
        <v>0</v>
      </c>
      <c r="DS277" t="s">
        <v>312</v>
      </c>
      <c r="DT277" t="s">
        <v>313</v>
      </c>
      <c r="DU277">
        <v>3045</v>
      </c>
      <c r="DV277" t="s">
        <v>547</v>
      </c>
      <c r="DW277" t="s">
        <v>548</v>
      </c>
      <c r="DX277">
        <v>86</v>
      </c>
      <c r="DY277">
        <v>130</v>
      </c>
      <c r="DZ277">
        <v>216</v>
      </c>
      <c r="EA277">
        <v>606779</v>
      </c>
      <c r="EB277">
        <v>388178</v>
      </c>
      <c r="EC277">
        <v>994957</v>
      </c>
      <c r="ED277" t="s">
        <v>938</v>
      </c>
      <c r="EE277" t="s">
        <v>936</v>
      </c>
      <c r="EF277" t="s">
        <v>746</v>
      </c>
      <c r="EG277" t="s">
        <v>793</v>
      </c>
    </row>
    <row r="278" spans="1:137" ht="14.55" customHeight="1" x14ac:dyDescent="0.3">
      <c r="A278" t="s">
        <v>939</v>
      </c>
      <c r="B278">
        <v>74032</v>
      </c>
      <c r="C278" t="s">
        <v>940</v>
      </c>
      <c r="D278" t="s">
        <v>878</v>
      </c>
      <c r="E278" t="s">
        <v>879</v>
      </c>
      <c r="F278" t="s">
        <v>742</v>
      </c>
      <c r="G278" t="s">
        <v>887</v>
      </c>
      <c r="H278" s="3">
        <v>48816673.9045</v>
      </c>
      <c r="I278">
        <v>4880</v>
      </c>
      <c r="J278" s="3">
        <v>4881.6673904500003</v>
      </c>
      <c r="K278">
        <v>797</v>
      </c>
      <c r="L278">
        <v>2119</v>
      </c>
      <c r="M278">
        <v>1344.47193798029</v>
      </c>
      <c r="N278">
        <v>261.53255911443802</v>
      </c>
      <c r="O278">
        <v>0</v>
      </c>
      <c r="P278">
        <v>63.852668762207003</v>
      </c>
      <c r="Q278">
        <v>20.7208137512207</v>
      </c>
      <c r="R278">
        <v>10.8487558364868</v>
      </c>
      <c r="S278" t="s">
        <v>881</v>
      </c>
      <c r="T278" t="s">
        <v>941</v>
      </c>
      <c r="U278" t="s">
        <v>940</v>
      </c>
      <c r="V278" t="s">
        <v>940</v>
      </c>
      <c r="W278" s="3">
        <v>1294</v>
      </c>
      <c r="X278" s="3">
        <v>48840000</v>
      </c>
      <c r="Y278">
        <v>3</v>
      </c>
      <c r="Z278" s="3">
        <v>1083</v>
      </c>
      <c r="AA278" s="3">
        <v>1113</v>
      </c>
      <c r="AB278" s="3">
        <v>1158</v>
      </c>
      <c r="AC278" s="3">
        <v>1321</v>
      </c>
      <c r="AD278" s="3">
        <v>1344</v>
      </c>
      <c r="AE278" s="3">
        <v>1327</v>
      </c>
      <c r="AF278" s="3">
        <v>1322</v>
      </c>
      <c r="AG278" s="3">
        <v>1325</v>
      </c>
      <c r="AH278" s="3">
        <v>1321</v>
      </c>
      <c r="AI278" s="3">
        <v>1316</v>
      </c>
      <c r="AJ278" s="3">
        <v>1301</v>
      </c>
      <c r="AK278" s="3">
        <v>1282</v>
      </c>
      <c r="AL278" s="3">
        <v>1282</v>
      </c>
      <c r="AM278" s="3">
        <v>1288</v>
      </c>
      <c r="AN278" s="3">
        <v>1294</v>
      </c>
      <c r="AO278" s="3">
        <v>1286</v>
      </c>
      <c r="AP278" s="3">
        <v>1273</v>
      </c>
      <c r="AR278" s="4">
        <v>26.064701064701065</v>
      </c>
      <c r="AS278" s="5">
        <f t="shared" si="42"/>
        <v>0.34626038781163432</v>
      </c>
      <c r="AT278" s="5">
        <f t="shared" si="43"/>
        <v>0.44923629829290201</v>
      </c>
      <c r="AU278" s="5">
        <f t="shared" si="44"/>
        <v>1.4162348877374784</v>
      </c>
      <c r="AV278" s="5">
        <f t="shared" si="45"/>
        <v>-0.37065052950075644</v>
      </c>
      <c r="AW278" s="5">
        <f t="shared" si="46"/>
        <v>0.40736516213133456</v>
      </c>
      <c r="AX278" s="5">
        <f t="shared" si="47"/>
        <v>0.49654576856649391</v>
      </c>
      <c r="AY278" s="5">
        <f t="shared" si="48"/>
        <v>0.47415836889521096</v>
      </c>
      <c r="AZ278">
        <f t="shared" si="49"/>
        <v>48850000</v>
      </c>
      <c r="BA278">
        <v>0</v>
      </c>
      <c r="BB278">
        <v>1220000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860000</v>
      </c>
      <c r="BN278">
        <v>4630000</v>
      </c>
      <c r="BO278">
        <v>350000</v>
      </c>
      <c r="BP278">
        <v>1660000</v>
      </c>
      <c r="BQ278">
        <v>15130000</v>
      </c>
      <c r="BR278">
        <v>10550000</v>
      </c>
      <c r="BS278">
        <v>10830000</v>
      </c>
      <c r="BT278">
        <v>10000</v>
      </c>
      <c r="BU278">
        <v>0</v>
      </c>
      <c r="BV278">
        <v>0</v>
      </c>
      <c r="BW278">
        <v>1850000</v>
      </c>
      <c r="BX278">
        <v>1500000</v>
      </c>
      <c r="BY278">
        <v>0</v>
      </c>
      <c r="BZ278">
        <v>0</v>
      </c>
      <c r="CA278">
        <v>260000</v>
      </c>
      <c r="CT278">
        <v>0</v>
      </c>
      <c r="CU278">
        <v>15.29170931422718</v>
      </c>
      <c r="CV278">
        <v>84.176049129989735</v>
      </c>
      <c r="CW278">
        <v>0</v>
      </c>
      <c r="CX278">
        <v>0.53224155578300902</v>
      </c>
      <c r="CY278">
        <v>0</v>
      </c>
      <c r="CZ278">
        <v>14.49334698055273</v>
      </c>
      <c r="DA278">
        <v>84.974411463664381</v>
      </c>
      <c r="DB278">
        <v>0</v>
      </c>
      <c r="DC278">
        <v>0.53224155578300902</v>
      </c>
      <c r="DD278">
        <v>2.4974411463664299</v>
      </c>
      <c r="DE278">
        <v>11.95496417604914</v>
      </c>
      <c r="DF278">
        <v>85.015353121801482</v>
      </c>
      <c r="DG278">
        <v>0</v>
      </c>
      <c r="DH278">
        <v>0.53224155578300902</v>
      </c>
      <c r="DI278">
        <v>2.4974411463664299</v>
      </c>
      <c r="DJ278">
        <v>11.954964176049151</v>
      </c>
      <c r="DK278">
        <v>85.015353121801496</v>
      </c>
      <c r="DL278">
        <v>0</v>
      </c>
      <c r="DM278">
        <v>0.53224155578300902</v>
      </c>
      <c r="DN278">
        <v>2.4974411463664299</v>
      </c>
      <c r="DO278">
        <v>11.954964176049151</v>
      </c>
      <c r="DP278">
        <v>85.015353121801496</v>
      </c>
      <c r="DQ278">
        <v>0</v>
      </c>
      <c r="DR278">
        <v>0.53224155578300902</v>
      </c>
      <c r="DS278" t="s">
        <v>768</v>
      </c>
      <c r="DT278" t="s">
        <v>768</v>
      </c>
      <c r="DU278" t="s">
        <v>768</v>
      </c>
      <c r="DV278" t="s">
        <v>768</v>
      </c>
      <c r="DW278" t="s">
        <v>768</v>
      </c>
      <c r="DX278" t="s">
        <v>768</v>
      </c>
      <c r="DY278" t="s">
        <v>768</v>
      </c>
      <c r="DZ278" t="s">
        <v>768</v>
      </c>
      <c r="EA278" t="s">
        <v>768</v>
      </c>
      <c r="EB278" t="s">
        <v>768</v>
      </c>
      <c r="EC278" t="s">
        <v>768</v>
      </c>
      <c r="ED278" t="s">
        <v>909</v>
      </c>
      <c r="EE278" t="s">
        <v>910</v>
      </c>
      <c r="EF278" t="s">
        <v>753</v>
      </c>
      <c r="EG278" t="s">
        <v>754</v>
      </c>
    </row>
    <row r="279" spans="1:137" ht="14.55" customHeight="1" x14ac:dyDescent="0.3">
      <c r="A279" t="s">
        <v>942</v>
      </c>
      <c r="B279">
        <v>74033</v>
      </c>
      <c r="C279" t="s">
        <v>659</v>
      </c>
      <c r="D279" t="s">
        <v>878</v>
      </c>
      <c r="E279" t="s">
        <v>879</v>
      </c>
      <c r="F279" t="s">
        <v>742</v>
      </c>
      <c r="G279" t="s">
        <v>880</v>
      </c>
      <c r="H279" s="3">
        <v>22303658.363899998</v>
      </c>
      <c r="I279">
        <v>2231</v>
      </c>
      <c r="J279" s="3">
        <v>2230.3658363899999</v>
      </c>
      <c r="K279">
        <v>831</v>
      </c>
      <c r="L279">
        <v>2178</v>
      </c>
      <c r="M279">
        <v>1336.2118691727101</v>
      </c>
      <c r="N279">
        <v>296.04559191940001</v>
      </c>
      <c r="O279">
        <v>0</v>
      </c>
      <c r="P279">
        <v>64.200622558593807</v>
      </c>
      <c r="Q279">
        <v>21.522188186645501</v>
      </c>
      <c r="R279">
        <v>11.4528894424438</v>
      </c>
      <c r="S279" t="s">
        <v>881</v>
      </c>
      <c r="T279" t="s">
        <v>943</v>
      </c>
      <c r="U279" t="s">
        <v>659</v>
      </c>
      <c r="V279" t="s">
        <v>659</v>
      </c>
      <c r="W279" s="3">
        <v>1352</v>
      </c>
      <c r="X279" s="3">
        <v>22300000</v>
      </c>
      <c r="Y279">
        <v>3</v>
      </c>
      <c r="Z279" s="3">
        <v>638</v>
      </c>
      <c r="AA279" s="3">
        <v>737</v>
      </c>
      <c r="AB279" s="3">
        <v>854</v>
      </c>
      <c r="AC279" s="3">
        <v>1137</v>
      </c>
      <c r="AD279" s="3">
        <v>1178</v>
      </c>
      <c r="AE279" s="3">
        <v>1191</v>
      </c>
      <c r="AF279" s="3">
        <v>1236</v>
      </c>
      <c r="AG279" s="3">
        <v>1241</v>
      </c>
      <c r="AH279" s="3">
        <v>1245</v>
      </c>
      <c r="AI279" s="3">
        <v>1248</v>
      </c>
      <c r="AJ279" s="3">
        <v>1236</v>
      </c>
      <c r="AK279" s="3">
        <v>1227</v>
      </c>
      <c r="AL279" s="3">
        <v>1266</v>
      </c>
      <c r="AM279" s="3">
        <v>1309</v>
      </c>
      <c r="AN279" s="3">
        <v>1352</v>
      </c>
      <c r="AO279" s="3">
        <v>1364</v>
      </c>
      <c r="AP279" s="3">
        <v>1384</v>
      </c>
      <c r="AR279" s="4">
        <v>62.062780269058294</v>
      </c>
      <c r="AS279" s="5">
        <f t="shared" si="42"/>
        <v>1.9396551724137931</v>
      </c>
      <c r="AT279" s="5">
        <f t="shared" si="43"/>
        <v>1.7639077340569878</v>
      </c>
      <c r="AU279" s="5">
        <f t="shared" si="44"/>
        <v>4.4730679156908666</v>
      </c>
      <c r="AV279" s="5">
        <f t="shared" si="45"/>
        <v>1.1974110032362459</v>
      </c>
      <c r="AW279" s="5">
        <f t="shared" si="46"/>
        <v>1.9915176101788679</v>
      </c>
      <c r="AX279" s="5">
        <f t="shared" si="47"/>
        <v>3.1030444964871196</v>
      </c>
      <c r="AY279" s="5">
        <f t="shared" si="48"/>
        <v>3.1602135050410913</v>
      </c>
      <c r="AZ279">
        <f t="shared" si="49"/>
        <v>22300000</v>
      </c>
      <c r="BA279">
        <v>0</v>
      </c>
      <c r="BB279">
        <v>1510000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1980000</v>
      </c>
      <c r="BN279">
        <v>1170000</v>
      </c>
      <c r="BO279">
        <v>630000</v>
      </c>
      <c r="BP279">
        <v>0</v>
      </c>
      <c r="BQ279">
        <v>10090000</v>
      </c>
      <c r="BR279">
        <v>550000</v>
      </c>
      <c r="BS279">
        <v>4890000</v>
      </c>
      <c r="BT279">
        <v>0</v>
      </c>
      <c r="BU279">
        <v>0</v>
      </c>
      <c r="BV279">
        <v>0</v>
      </c>
      <c r="BW279">
        <v>0</v>
      </c>
      <c r="BX279">
        <v>1480000</v>
      </c>
      <c r="BY279">
        <v>0</v>
      </c>
      <c r="BZ279">
        <v>0</v>
      </c>
      <c r="CA279">
        <v>0</v>
      </c>
      <c r="CT279">
        <v>5.3811659192825099</v>
      </c>
      <c r="CU279">
        <v>13.991031390134488</v>
      </c>
      <c r="CV279">
        <v>80.627802690582939</v>
      </c>
      <c r="CW279">
        <v>0</v>
      </c>
      <c r="CX279">
        <v>0</v>
      </c>
      <c r="CY279">
        <v>6.36771300448431</v>
      </c>
      <c r="CZ279">
        <v>17.309417040358753</v>
      </c>
      <c r="DA279">
        <v>76.322869955156975</v>
      </c>
      <c r="DB279">
        <v>0</v>
      </c>
      <c r="DC279">
        <v>0</v>
      </c>
      <c r="DD279">
        <v>6.7713004484304902</v>
      </c>
      <c r="DE279">
        <v>16.95067264573991</v>
      </c>
      <c r="DF279">
        <v>76.278026905829535</v>
      </c>
      <c r="DG279">
        <v>0</v>
      </c>
      <c r="DH279">
        <v>0</v>
      </c>
      <c r="DI279">
        <v>6.7713004484304902</v>
      </c>
      <c r="DJ279">
        <v>16.95067264573991</v>
      </c>
      <c r="DK279">
        <v>76.278026905829535</v>
      </c>
      <c r="DL279">
        <v>0</v>
      </c>
      <c r="DM279">
        <v>0</v>
      </c>
      <c r="DN279">
        <v>6.7713004484304902</v>
      </c>
      <c r="DO279">
        <v>16.95067264573991</v>
      </c>
      <c r="DP279">
        <v>76.278026905829535</v>
      </c>
      <c r="DQ279">
        <v>0</v>
      </c>
      <c r="DR279">
        <v>0</v>
      </c>
      <c r="DS279" t="s">
        <v>768</v>
      </c>
      <c r="DT279" t="s">
        <v>768</v>
      </c>
      <c r="DU279" t="s">
        <v>768</v>
      </c>
      <c r="DV279" t="s">
        <v>768</v>
      </c>
      <c r="DW279" t="s">
        <v>768</v>
      </c>
      <c r="DX279" t="s">
        <v>768</v>
      </c>
      <c r="DY279" t="s">
        <v>768</v>
      </c>
      <c r="DZ279" t="s">
        <v>768</v>
      </c>
      <c r="EA279" t="s">
        <v>768</v>
      </c>
      <c r="EB279" t="s">
        <v>768</v>
      </c>
      <c r="EC279" t="s">
        <v>768</v>
      </c>
      <c r="ED279" t="s">
        <v>944</v>
      </c>
      <c r="EE279" t="s">
        <v>945</v>
      </c>
      <c r="EF279" t="s">
        <v>746</v>
      </c>
      <c r="EG279" t="s">
        <v>760</v>
      </c>
    </row>
    <row r="280" spans="1:137" ht="14.55" customHeight="1" x14ac:dyDescent="0.3">
      <c r="A280" t="s">
        <v>946</v>
      </c>
      <c r="B280">
        <v>74034</v>
      </c>
      <c r="C280" t="s">
        <v>947</v>
      </c>
      <c r="D280" t="s">
        <v>878</v>
      </c>
      <c r="E280" t="s">
        <v>879</v>
      </c>
      <c r="F280" t="s">
        <v>742</v>
      </c>
      <c r="G280" t="s">
        <v>880</v>
      </c>
      <c r="H280" s="3">
        <v>13133278.1303</v>
      </c>
      <c r="I280">
        <v>1315</v>
      </c>
      <c r="J280" s="3">
        <v>1313.32781303</v>
      </c>
      <c r="K280">
        <v>658</v>
      </c>
      <c r="L280">
        <v>1854</v>
      </c>
      <c r="M280">
        <v>1162.79848004429</v>
      </c>
      <c r="N280">
        <v>283.84094750848601</v>
      </c>
      <c r="O280">
        <v>0</v>
      </c>
      <c r="P280">
        <v>60.352298736572301</v>
      </c>
      <c r="Q280">
        <v>20.622440338134801</v>
      </c>
      <c r="R280">
        <v>10.137850761413601</v>
      </c>
      <c r="S280" t="s">
        <v>881</v>
      </c>
      <c r="T280" t="s">
        <v>948</v>
      </c>
      <c r="U280" t="s">
        <v>947</v>
      </c>
      <c r="V280" t="s">
        <v>947</v>
      </c>
      <c r="W280" s="3">
        <v>572</v>
      </c>
      <c r="X280" s="3">
        <v>13130000</v>
      </c>
      <c r="Y280">
        <v>3</v>
      </c>
      <c r="Z280" s="3">
        <v>286</v>
      </c>
      <c r="AA280" s="3">
        <v>333</v>
      </c>
      <c r="AB280" s="3">
        <v>340</v>
      </c>
      <c r="AC280" s="3">
        <v>430</v>
      </c>
      <c r="AD280" s="3">
        <v>444</v>
      </c>
      <c r="AE280" s="3">
        <v>448</v>
      </c>
      <c r="AF280" s="3">
        <v>456</v>
      </c>
      <c r="AG280" s="3">
        <v>463</v>
      </c>
      <c r="AH280" s="3">
        <v>468</v>
      </c>
      <c r="AI280" s="3">
        <v>487</v>
      </c>
      <c r="AJ280" s="3">
        <v>517</v>
      </c>
      <c r="AK280" s="3">
        <v>546</v>
      </c>
      <c r="AL280" s="3">
        <v>576</v>
      </c>
      <c r="AM280" s="3">
        <v>570</v>
      </c>
      <c r="AN280" s="3">
        <v>572</v>
      </c>
      <c r="AO280" s="3">
        <v>594</v>
      </c>
      <c r="AP280" s="3">
        <v>615</v>
      </c>
      <c r="AR280" s="4">
        <v>46.839299314546842</v>
      </c>
      <c r="AS280" s="5">
        <f t="shared" si="42"/>
        <v>2.0541958041958042</v>
      </c>
      <c r="AT280" s="5">
        <f t="shared" si="43"/>
        <v>0.23356690023356694</v>
      </c>
      <c r="AU280" s="5">
        <f t="shared" si="44"/>
        <v>3.4117647058823533</v>
      </c>
      <c r="AV280" s="5">
        <f t="shared" si="45"/>
        <v>3.4868421052631575</v>
      </c>
      <c r="AW280" s="5">
        <f t="shared" si="46"/>
        <v>1.1106540518305223</v>
      </c>
      <c r="AX280" s="5">
        <f t="shared" si="47"/>
        <v>4.0441176470588234</v>
      </c>
      <c r="AY280" s="5">
        <f t="shared" si="48"/>
        <v>3.1090531090531095</v>
      </c>
      <c r="AZ280">
        <f t="shared" si="49"/>
        <v>13190000</v>
      </c>
      <c r="BA280">
        <v>0</v>
      </c>
      <c r="BB280">
        <v>270000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290000</v>
      </c>
      <c r="BJ280">
        <v>0</v>
      </c>
      <c r="BK280">
        <v>0</v>
      </c>
      <c r="BL280">
        <v>0</v>
      </c>
      <c r="BM280">
        <v>590000</v>
      </c>
      <c r="BN280">
        <v>760000</v>
      </c>
      <c r="BO280">
        <v>0</v>
      </c>
      <c r="BP280">
        <v>60000</v>
      </c>
      <c r="BQ280">
        <v>5260000</v>
      </c>
      <c r="BR280">
        <v>4460000</v>
      </c>
      <c r="BS280">
        <v>1280000</v>
      </c>
      <c r="BT280">
        <v>0</v>
      </c>
      <c r="BU280">
        <v>220000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T280">
        <v>2.1228203184230501</v>
      </c>
      <c r="CU280">
        <v>11.6755117513268</v>
      </c>
      <c r="CV280">
        <v>86.201667930250295</v>
      </c>
      <c r="CW280">
        <v>0</v>
      </c>
      <c r="CX280">
        <v>0</v>
      </c>
      <c r="CY280">
        <v>4.1698256254738499</v>
      </c>
      <c r="CZ280">
        <v>9.7043214556482198</v>
      </c>
      <c r="DA280">
        <v>86.125852918877996</v>
      </c>
      <c r="DB280">
        <v>0</v>
      </c>
      <c r="DC280">
        <v>0</v>
      </c>
      <c r="DD280">
        <v>4.2456406368460993</v>
      </c>
      <c r="DE280">
        <v>10.235026535253979</v>
      </c>
      <c r="DF280">
        <v>85.519332827900001</v>
      </c>
      <c r="DG280">
        <v>0</v>
      </c>
      <c r="DH280">
        <v>0</v>
      </c>
      <c r="DI280">
        <v>4.2456406368460993</v>
      </c>
      <c r="DJ280">
        <v>10.235026535253979</v>
      </c>
      <c r="DK280">
        <v>85.519332827900001</v>
      </c>
      <c r="DL280">
        <v>0</v>
      </c>
      <c r="DM280">
        <v>0</v>
      </c>
      <c r="DN280">
        <v>4.2456406368460993</v>
      </c>
      <c r="DO280">
        <v>10.235026535253979</v>
      </c>
      <c r="DP280">
        <v>85.519332827900001</v>
      </c>
      <c r="DQ280">
        <v>0</v>
      </c>
      <c r="DR280">
        <v>0</v>
      </c>
      <c r="DS280" t="s">
        <v>768</v>
      </c>
      <c r="DT280" t="s">
        <v>768</v>
      </c>
      <c r="DU280" t="s">
        <v>768</v>
      </c>
      <c r="DV280" t="s">
        <v>768</v>
      </c>
      <c r="DW280" t="s">
        <v>768</v>
      </c>
      <c r="DX280" t="s">
        <v>768</v>
      </c>
      <c r="DY280" t="s">
        <v>768</v>
      </c>
      <c r="DZ280" t="s">
        <v>768</v>
      </c>
      <c r="EA280" t="s">
        <v>768</v>
      </c>
      <c r="EB280" t="s">
        <v>768</v>
      </c>
      <c r="EC280" t="s">
        <v>768</v>
      </c>
      <c r="ED280" t="s">
        <v>909</v>
      </c>
      <c r="EE280" t="s">
        <v>910</v>
      </c>
      <c r="EF280" t="s">
        <v>753</v>
      </c>
      <c r="EG280" t="s">
        <v>754</v>
      </c>
    </row>
    <row r="281" spans="1:137" ht="14.55" customHeight="1" x14ac:dyDescent="0.3">
      <c r="A281" t="s">
        <v>949</v>
      </c>
      <c r="B281">
        <v>74040</v>
      </c>
      <c r="C281" t="s">
        <v>950</v>
      </c>
      <c r="D281" t="s">
        <v>543</v>
      </c>
      <c r="E281" t="s">
        <v>879</v>
      </c>
      <c r="F281" t="s">
        <v>742</v>
      </c>
      <c r="G281" t="s">
        <v>924</v>
      </c>
      <c r="H281" s="3">
        <v>8570431.4201400001</v>
      </c>
      <c r="I281">
        <v>859</v>
      </c>
      <c r="J281" s="3">
        <v>857.04314201399995</v>
      </c>
      <c r="K281">
        <v>460</v>
      </c>
      <c r="L281">
        <v>1292</v>
      </c>
      <c r="M281">
        <v>602.70740568954898</v>
      </c>
      <c r="N281">
        <v>157.10749098549701</v>
      </c>
      <c r="O281">
        <v>0</v>
      </c>
      <c r="P281">
        <v>42.428256988525398</v>
      </c>
      <c r="Q281">
        <v>8.9767904281616193</v>
      </c>
      <c r="R281">
        <v>6.9324512481689498</v>
      </c>
      <c r="S281" t="s">
        <v>881</v>
      </c>
      <c r="T281" t="s">
        <v>951</v>
      </c>
      <c r="U281" t="s">
        <v>950</v>
      </c>
      <c r="V281" t="s">
        <v>950</v>
      </c>
      <c r="W281" s="3">
        <v>3218</v>
      </c>
      <c r="X281" s="3">
        <v>8580000</v>
      </c>
      <c r="Y281">
        <v>2</v>
      </c>
      <c r="Z281" s="3">
        <v>1598</v>
      </c>
      <c r="AA281" s="3">
        <v>1815</v>
      </c>
      <c r="AB281" s="3">
        <v>2098</v>
      </c>
      <c r="AC281" s="3">
        <v>2538</v>
      </c>
      <c r="AD281" s="3">
        <v>2599</v>
      </c>
      <c r="AE281" s="3">
        <v>2610</v>
      </c>
      <c r="AF281" s="3">
        <v>2630</v>
      </c>
      <c r="AG281" s="3">
        <v>2776</v>
      </c>
      <c r="AH281" s="3">
        <v>2907</v>
      </c>
      <c r="AI281" s="3">
        <v>3038</v>
      </c>
      <c r="AJ281" s="3">
        <v>3135</v>
      </c>
      <c r="AK281" s="3">
        <v>3263</v>
      </c>
      <c r="AL281" s="3">
        <v>3245</v>
      </c>
      <c r="AM281" s="3">
        <v>3231</v>
      </c>
      <c r="AN281" s="3">
        <v>3218</v>
      </c>
      <c r="AO281" s="3">
        <v>3184</v>
      </c>
      <c r="AP281" s="3">
        <v>3181</v>
      </c>
      <c r="AQ281" s="3">
        <v>3269</v>
      </c>
      <c r="AR281" s="4">
        <v>370.74592074592073</v>
      </c>
      <c r="AS281" s="5">
        <f t="shared" si="42"/>
        <v>1.6974342928660826</v>
      </c>
      <c r="AT281" s="5">
        <f t="shared" si="43"/>
        <v>1.7324762779308236</v>
      </c>
      <c r="AU281" s="5">
        <f t="shared" si="44"/>
        <v>2.5357483317445184</v>
      </c>
      <c r="AV281" s="5">
        <f t="shared" si="45"/>
        <v>2.0950570342205324</v>
      </c>
      <c r="AW281" s="5">
        <f t="shared" si="46"/>
        <v>1.8405359640727381</v>
      </c>
      <c r="AX281" s="5">
        <f t="shared" si="47"/>
        <v>2.5810295519542419</v>
      </c>
      <c r="AY281" s="5">
        <f t="shared" si="48"/>
        <v>2.6773331529276461</v>
      </c>
      <c r="AZ281">
        <f t="shared" si="49"/>
        <v>8600000</v>
      </c>
      <c r="BA281">
        <v>0</v>
      </c>
      <c r="BB281">
        <v>2310000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1520000</v>
      </c>
      <c r="BK281">
        <v>0</v>
      </c>
      <c r="BL281">
        <v>0</v>
      </c>
      <c r="BM281">
        <v>740000</v>
      </c>
      <c r="BN281">
        <v>970000</v>
      </c>
      <c r="BO281">
        <v>390000</v>
      </c>
      <c r="BP281">
        <v>210000</v>
      </c>
      <c r="BQ281">
        <v>300000</v>
      </c>
      <c r="BR281">
        <v>2160000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T281">
        <v>15.4651162790698</v>
      </c>
      <c r="CU281">
        <v>53.3720930232558</v>
      </c>
      <c r="CV281">
        <v>31.162790697674399</v>
      </c>
      <c r="CW281">
        <v>0</v>
      </c>
      <c r="CX281">
        <v>0</v>
      </c>
      <c r="CY281">
        <v>24.418604651162799</v>
      </c>
      <c r="CZ281">
        <v>44.418604651162795</v>
      </c>
      <c r="DA281">
        <v>31.162790697674399</v>
      </c>
      <c r="DB281">
        <v>0</v>
      </c>
      <c r="DC281">
        <v>0</v>
      </c>
      <c r="DD281">
        <v>26.860465116279101</v>
      </c>
      <c r="DE281">
        <v>42.093023255814003</v>
      </c>
      <c r="DF281">
        <v>31.046511627907002</v>
      </c>
      <c r="DG281">
        <v>0</v>
      </c>
      <c r="DH281">
        <v>0</v>
      </c>
      <c r="DI281">
        <v>26.860465116279101</v>
      </c>
      <c r="DJ281">
        <v>42.093023255814003</v>
      </c>
      <c r="DK281">
        <v>31.046511627907002</v>
      </c>
      <c r="DL281">
        <v>0</v>
      </c>
      <c r="DM281">
        <v>0</v>
      </c>
      <c r="DN281">
        <v>26.860465116279101</v>
      </c>
      <c r="DO281">
        <v>42.093023255814003</v>
      </c>
      <c r="DP281">
        <v>31.046511627907002</v>
      </c>
      <c r="DQ281">
        <v>0</v>
      </c>
      <c r="DR281">
        <v>0</v>
      </c>
      <c r="DS281" t="s">
        <v>312</v>
      </c>
      <c r="DT281" t="s">
        <v>313</v>
      </c>
      <c r="DU281">
        <v>3246</v>
      </c>
      <c r="DV281" t="s">
        <v>547</v>
      </c>
      <c r="DW281" t="s">
        <v>548</v>
      </c>
      <c r="DX281">
        <v>86</v>
      </c>
      <c r="DY281">
        <v>130</v>
      </c>
      <c r="DZ281">
        <v>216</v>
      </c>
      <c r="EA281">
        <v>606779</v>
      </c>
      <c r="EB281">
        <v>388178</v>
      </c>
      <c r="EC281">
        <v>994957</v>
      </c>
      <c r="ED281" t="s">
        <v>807</v>
      </c>
      <c r="EE281" t="s">
        <v>808</v>
      </c>
      <c r="EF281" t="s">
        <v>746</v>
      </c>
      <c r="EG281" t="s">
        <v>760</v>
      </c>
    </row>
    <row r="282" spans="1:137" ht="14.55" customHeight="1" x14ac:dyDescent="0.3">
      <c r="A282" t="s">
        <v>952</v>
      </c>
      <c r="B282">
        <v>74041</v>
      </c>
      <c r="C282" t="s">
        <v>953</v>
      </c>
      <c r="D282" t="s">
        <v>878</v>
      </c>
      <c r="E282" t="s">
        <v>879</v>
      </c>
      <c r="F282" t="s">
        <v>742</v>
      </c>
      <c r="G282" t="s">
        <v>880</v>
      </c>
      <c r="H282" s="3">
        <v>7838386.4665900003</v>
      </c>
      <c r="I282">
        <v>777</v>
      </c>
      <c r="J282" s="3">
        <v>783.83864665999999</v>
      </c>
      <c r="K282">
        <v>799</v>
      </c>
      <c r="L282">
        <v>1845</v>
      </c>
      <c r="M282">
        <v>1174.19804235929</v>
      </c>
      <c r="N282">
        <v>235.46213931922799</v>
      </c>
      <c r="O282">
        <v>0</v>
      </c>
      <c r="P282">
        <v>64.112731933593807</v>
      </c>
      <c r="Q282">
        <v>22.476514816284201</v>
      </c>
      <c r="R282">
        <v>11.643313407897899</v>
      </c>
      <c r="S282" t="s">
        <v>881</v>
      </c>
      <c r="T282" t="s">
        <v>954</v>
      </c>
      <c r="U282" t="s">
        <v>953</v>
      </c>
      <c r="V282" t="s">
        <v>953</v>
      </c>
      <c r="W282" s="3">
        <v>277</v>
      </c>
      <c r="X282" s="3">
        <v>7840000</v>
      </c>
      <c r="Y282">
        <v>3</v>
      </c>
      <c r="Z282" s="3">
        <v>209</v>
      </c>
      <c r="AA282" s="3">
        <v>254</v>
      </c>
      <c r="AB282" s="3">
        <v>240</v>
      </c>
      <c r="AC282" s="3">
        <v>279</v>
      </c>
      <c r="AD282" s="3">
        <v>283</v>
      </c>
      <c r="AE282" s="3">
        <v>272</v>
      </c>
      <c r="AF282" s="3">
        <v>261</v>
      </c>
      <c r="AG282" s="3">
        <v>250</v>
      </c>
      <c r="AH282" s="3">
        <v>244</v>
      </c>
      <c r="AI282" s="3">
        <v>249</v>
      </c>
      <c r="AJ282" s="3">
        <v>254</v>
      </c>
      <c r="AK282" s="3">
        <v>260</v>
      </c>
      <c r="AL282" s="3">
        <v>265</v>
      </c>
      <c r="AM282" s="3">
        <v>271</v>
      </c>
      <c r="AN282" s="3">
        <v>277</v>
      </c>
      <c r="AO282" s="3">
        <v>279</v>
      </c>
      <c r="AP282" s="3">
        <v>281</v>
      </c>
      <c r="AR282" s="4">
        <v>35.841836734693878</v>
      </c>
      <c r="AS282" s="5">
        <f t="shared" si="42"/>
        <v>2.6913875598086126</v>
      </c>
      <c r="AT282" s="5">
        <f t="shared" si="43"/>
        <v>-0.61242344706911633</v>
      </c>
      <c r="AU282" s="5">
        <f t="shared" si="44"/>
        <v>0.87499999999999989</v>
      </c>
      <c r="AV282" s="5">
        <f t="shared" si="45"/>
        <v>0.76628352490421447</v>
      </c>
      <c r="AW282" s="5">
        <f t="shared" si="46"/>
        <v>0.87250211089220375</v>
      </c>
      <c r="AX282" s="5">
        <f t="shared" si="47"/>
        <v>0.85416666666666663</v>
      </c>
      <c r="AY282" s="5">
        <f t="shared" si="48"/>
        <v>0.93107461528514168</v>
      </c>
      <c r="AZ282">
        <f t="shared" si="49"/>
        <v>7770000</v>
      </c>
      <c r="BA282">
        <v>0</v>
      </c>
      <c r="BB282">
        <v>270000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1110000</v>
      </c>
      <c r="BN282">
        <v>320000</v>
      </c>
      <c r="BO282">
        <v>0</v>
      </c>
      <c r="BP282">
        <v>720000</v>
      </c>
      <c r="BQ282">
        <v>3550000</v>
      </c>
      <c r="BR282">
        <v>1420000</v>
      </c>
      <c r="BS282">
        <v>380000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T282">
        <v>3.6036036036036001</v>
      </c>
      <c r="CU282">
        <v>18.275418275418318</v>
      </c>
      <c r="CV282">
        <v>78.120978120978094</v>
      </c>
      <c r="CW282">
        <v>0</v>
      </c>
      <c r="CX282">
        <v>0</v>
      </c>
      <c r="CY282">
        <v>3.4749034749034799</v>
      </c>
      <c r="CZ282">
        <v>18.404118404118421</v>
      </c>
      <c r="DA282">
        <v>78.120978120978094</v>
      </c>
      <c r="DB282">
        <v>0</v>
      </c>
      <c r="DC282">
        <v>0</v>
      </c>
      <c r="DD282">
        <v>3.4749034749034799</v>
      </c>
      <c r="DE282">
        <v>18.404118404118421</v>
      </c>
      <c r="DF282">
        <v>78.120978120978094</v>
      </c>
      <c r="DG282">
        <v>0</v>
      </c>
      <c r="DH282">
        <v>0</v>
      </c>
      <c r="DI282">
        <v>3.4749034749034799</v>
      </c>
      <c r="DJ282">
        <v>18.404118404118421</v>
      </c>
      <c r="DK282">
        <v>78.120978120978094</v>
      </c>
      <c r="DL282">
        <v>0</v>
      </c>
      <c r="DM282">
        <v>0</v>
      </c>
      <c r="DN282">
        <v>3.4749034749034799</v>
      </c>
      <c r="DO282">
        <v>18.404118404118421</v>
      </c>
      <c r="DP282">
        <v>78.120978120978094</v>
      </c>
      <c r="DQ282">
        <v>0</v>
      </c>
      <c r="DR282">
        <v>0</v>
      </c>
      <c r="DS282" t="s">
        <v>768</v>
      </c>
      <c r="DT282" t="s">
        <v>768</v>
      </c>
      <c r="DU282" t="s">
        <v>768</v>
      </c>
      <c r="DV282" t="s">
        <v>768</v>
      </c>
      <c r="DW282" t="s">
        <v>768</v>
      </c>
      <c r="DX282" t="s">
        <v>768</v>
      </c>
      <c r="DY282" t="s">
        <v>768</v>
      </c>
      <c r="DZ282" t="s">
        <v>768</v>
      </c>
      <c r="EA282" t="s">
        <v>768</v>
      </c>
      <c r="EB282" t="s">
        <v>768</v>
      </c>
      <c r="EC282" t="s">
        <v>768</v>
      </c>
      <c r="ED282" t="s">
        <v>909</v>
      </c>
      <c r="EE282" t="s">
        <v>910</v>
      </c>
      <c r="EF282" t="s">
        <v>753</v>
      </c>
      <c r="EG282" t="s">
        <v>754</v>
      </c>
    </row>
    <row r="283" spans="1:137" ht="14.55" customHeight="1" x14ac:dyDescent="0.3">
      <c r="A283" t="s">
        <v>955</v>
      </c>
      <c r="B283">
        <v>74042</v>
      </c>
      <c r="C283" t="s">
        <v>917</v>
      </c>
      <c r="D283" t="s">
        <v>543</v>
      </c>
      <c r="E283" t="s">
        <v>879</v>
      </c>
      <c r="F283" t="s">
        <v>742</v>
      </c>
      <c r="G283" t="s">
        <v>917</v>
      </c>
      <c r="H283" s="3">
        <v>27249553.3686</v>
      </c>
      <c r="I283">
        <v>2734</v>
      </c>
      <c r="J283" s="3">
        <v>2724.95533686</v>
      </c>
      <c r="K283">
        <v>425</v>
      </c>
      <c r="L283">
        <v>1853</v>
      </c>
      <c r="M283">
        <v>644.99953719491396</v>
      </c>
      <c r="N283">
        <v>266.65726379815402</v>
      </c>
      <c r="O283">
        <v>0</v>
      </c>
      <c r="P283">
        <v>70.646530151367202</v>
      </c>
      <c r="Q283">
        <v>16.278779983520501</v>
      </c>
      <c r="R283">
        <v>14.7820177078247</v>
      </c>
      <c r="S283" t="s">
        <v>881</v>
      </c>
      <c r="T283" t="s">
        <v>956</v>
      </c>
      <c r="U283" t="s">
        <v>917</v>
      </c>
      <c r="V283" t="s">
        <v>917</v>
      </c>
      <c r="W283" s="3">
        <v>12608</v>
      </c>
      <c r="X283" s="3">
        <v>27240000</v>
      </c>
      <c r="Y283">
        <v>2</v>
      </c>
      <c r="Z283" s="3">
        <v>8814</v>
      </c>
      <c r="AA283" s="3">
        <v>9998</v>
      </c>
      <c r="AB283" s="3">
        <v>10463</v>
      </c>
      <c r="AC283" s="3">
        <v>10691</v>
      </c>
      <c r="AD283" s="3">
        <v>11380</v>
      </c>
      <c r="AE283" s="3">
        <v>11831</v>
      </c>
      <c r="AF283" s="3">
        <v>11874</v>
      </c>
      <c r="AG283" s="3">
        <v>11908</v>
      </c>
      <c r="AH283" s="3">
        <v>12201</v>
      </c>
      <c r="AI283" s="3">
        <v>12479</v>
      </c>
      <c r="AJ283" s="3">
        <v>12648</v>
      </c>
      <c r="AK283" s="3">
        <v>12575</v>
      </c>
      <c r="AL283" s="3">
        <v>12619</v>
      </c>
      <c r="AM283" s="3">
        <v>12735</v>
      </c>
      <c r="AN283" s="3">
        <v>12608</v>
      </c>
      <c r="AO283" s="3">
        <v>12557</v>
      </c>
      <c r="AP283" s="3">
        <v>12509</v>
      </c>
      <c r="AQ283" s="3">
        <v>12895</v>
      </c>
      <c r="AR283" s="4">
        <v>459.2143906020558</v>
      </c>
      <c r="AS283" s="5">
        <f t="shared" si="42"/>
        <v>1.6791468118901747</v>
      </c>
      <c r="AT283" s="5">
        <f t="shared" si="43"/>
        <v>0.5167700206708008</v>
      </c>
      <c r="AU283" s="5">
        <f t="shared" si="44"/>
        <v>1.3485615980120425</v>
      </c>
      <c r="AV283" s="5">
        <f t="shared" si="45"/>
        <v>0.53478187636853636</v>
      </c>
      <c r="AW283" s="5">
        <f t="shared" si="46"/>
        <v>1.100521896982074</v>
      </c>
      <c r="AX283" s="5">
        <f t="shared" si="47"/>
        <v>0.97773105227946089</v>
      </c>
      <c r="AY283" s="5">
        <f t="shared" si="48"/>
        <v>1.1330254693086552</v>
      </c>
      <c r="AZ283">
        <f t="shared" si="49"/>
        <v>27310000</v>
      </c>
      <c r="BA283">
        <v>260000</v>
      </c>
      <c r="BB283">
        <v>3720000</v>
      </c>
      <c r="BC283">
        <v>1840000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1380000</v>
      </c>
      <c r="BK283">
        <v>0</v>
      </c>
      <c r="BL283">
        <v>0</v>
      </c>
      <c r="BM283">
        <v>1310000</v>
      </c>
      <c r="BN283">
        <v>4230000</v>
      </c>
      <c r="BO283">
        <v>520000</v>
      </c>
      <c r="BP283">
        <v>2630000</v>
      </c>
      <c r="BQ283">
        <v>5080000</v>
      </c>
      <c r="BR283">
        <v>4550000</v>
      </c>
      <c r="BS283">
        <v>490000</v>
      </c>
      <c r="BT283">
        <v>440000</v>
      </c>
      <c r="BU283">
        <v>0</v>
      </c>
      <c r="BV283">
        <v>0</v>
      </c>
      <c r="BW283">
        <v>400000</v>
      </c>
      <c r="BX283">
        <v>80000</v>
      </c>
      <c r="BY283">
        <v>120000</v>
      </c>
      <c r="BZ283">
        <v>200000</v>
      </c>
      <c r="CA283">
        <v>60000</v>
      </c>
      <c r="CT283">
        <v>19.9926766752105</v>
      </c>
      <c r="CU283">
        <v>27.682167704137715</v>
      </c>
      <c r="CV283">
        <v>50.640790919077325</v>
      </c>
      <c r="CW283">
        <v>0.69571585499816901</v>
      </c>
      <c r="CX283">
        <v>0.988648846576346</v>
      </c>
      <c r="CY283">
        <v>20.139143170999589</v>
      </c>
      <c r="CZ283">
        <v>28.744049798608529</v>
      </c>
      <c r="DA283">
        <v>49.725375320395493</v>
      </c>
      <c r="DB283">
        <v>0.43939948736726497</v>
      </c>
      <c r="DC283">
        <v>0.95203222262907405</v>
      </c>
      <c r="DD283">
        <v>22.299523983888712</v>
      </c>
      <c r="DE283">
        <v>27.865250823874089</v>
      </c>
      <c r="DF283">
        <v>48.443793482240956</v>
      </c>
      <c r="DG283">
        <v>0.43939948736726497</v>
      </c>
      <c r="DH283">
        <v>0.95203222262907405</v>
      </c>
      <c r="DI283">
        <v>20.578542658366921</v>
      </c>
      <c r="DJ283">
        <v>27.975100695715888</v>
      </c>
      <c r="DK283">
        <v>50.054924935920923</v>
      </c>
      <c r="DL283">
        <v>0.43939948736726497</v>
      </c>
      <c r="DM283">
        <v>0.95203222262907405</v>
      </c>
      <c r="DN283">
        <v>21.310875137312358</v>
      </c>
      <c r="DO283">
        <v>27.24276821677039</v>
      </c>
      <c r="DP283">
        <v>50.054924935920958</v>
      </c>
      <c r="DQ283">
        <v>0.43939948736726497</v>
      </c>
      <c r="DR283">
        <v>0.95203222262907405</v>
      </c>
      <c r="DS283" t="s">
        <v>768</v>
      </c>
      <c r="DT283" t="s">
        <v>768</v>
      </c>
      <c r="DU283" t="s">
        <v>768</v>
      </c>
      <c r="DV283" t="s">
        <v>768</v>
      </c>
      <c r="DW283" t="s">
        <v>768</v>
      </c>
      <c r="DX283" t="s">
        <v>768</v>
      </c>
      <c r="DY283" t="s">
        <v>768</v>
      </c>
      <c r="DZ283" t="s">
        <v>768</v>
      </c>
      <c r="EA283" t="s">
        <v>768</v>
      </c>
      <c r="EB283" t="s">
        <v>768</v>
      </c>
      <c r="EC283" t="s">
        <v>768</v>
      </c>
      <c r="ED283" t="s">
        <v>894</v>
      </c>
      <c r="EE283" t="s">
        <v>895</v>
      </c>
      <c r="EF283" t="s">
        <v>746</v>
      </c>
      <c r="EG283" t="s">
        <v>747</v>
      </c>
    </row>
    <row r="284" spans="1:137" ht="14.55" customHeight="1" x14ac:dyDescent="0.3">
      <c r="A284" t="s">
        <v>957</v>
      </c>
      <c r="B284">
        <v>74043</v>
      </c>
      <c r="C284" t="s">
        <v>958</v>
      </c>
      <c r="D284" t="s">
        <v>543</v>
      </c>
      <c r="E284" t="s">
        <v>879</v>
      </c>
      <c r="F284" t="s">
        <v>742</v>
      </c>
      <c r="G284" t="s">
        <v>904</v>
      </c>
      <c r="H284" s="3">
        <v>19035125.6206</v>
      </c>
      <c r="I284">
        <v>1904</v>
      </c>
      <c r="J284" s="3">
        <v>1903.5125620599999</v>
      </c>
      <c r="K284">
        <v>479</v>
      </c>
      <c r="L284">
        <v>1468</v>
      </c>
      <c r="M284">
        <v>667.34567686803098</v>
      </c>
      <c r="N284">
        <v>189.27606580986301</v>
      </c>
      <c r="O284">
        <v>0</v>
      </c>
      <c r="P284">
        <v>48.197589874267599</v>
      </c>
      <c r="Q284">
        <v>8.8127717971801793</v>
      </c>
      <c r="R284">
        <v>7.7468814849853498</v>
      </c>
      <c r="S284" t="s">
        <v>881</v>
      </c>
      <c r="T284" t="s">
        <v>959</v>
      </c>
      <c r="U284" t="s">
        <v>958</v>
      </c>
      <c r="V284" t="s">
        <v>958</v>
      </c>
      <c r="W284" s="3">
        <v>5631</v>
      </c>
      <c r="X284" s="3">
        <v>19050000</v>
      </c>
      <c r="Y284">
        <v>2</v>
      </c>
      <c r="Z284" s="3">
        <v>2781</v>
      </c>
      <c r="AA284" s="3">
        <v>3275</v>
      </c>
      <c r="AB284" s="3">
        <v>3980</v>
      </c>
      <c r="AC284" s="3">
        <v>4531</v>
      </c>
      <c r="AD284" s="3">
        <v>4609</v>
      </c>
      <c r="AE284" s="3">
        <v>4688</v>
      </c>
      <c r="AF284" s="3">
        <v>4793</v>
      </c>
      <c r="AG284" s="3">
        <v>4805</v>
      </c>
      <c r="AH284" s="3">
        <v>4946</v>
      </c>
      <c r="AI284" s="3">
        <v>5091</v>
      </c>
      <c r="AJ284" s="3">
        <v>5235</v>
      </c>
      <c r="AK284" s="3">
        <v>5337</v>
      </c>
      <c r="AL284" s="3">
        <v>5456</v>
      </c>
      <c r="AM284" s="3">
        <v>5563</v>
      </c>
      <c r="AN284" s="3">
        <v>5631</v>
      </c>
      <c r="AO284" s="3">
        <v>5700</v>
      </c>
      <c r="AP284" s="3">
        <v>5739</v>
      </c>
      <c r="AQ284" s="3">
        <v>5907</v>
      </c>
      <c r="AR284" s="4">
        <v>301.25984251968504</v>
      </c>
      <c r="AS284" s="5">
        <f t="shared" si="42"/>
        <v>2.2204243078029484</v>
      </c>
      <c r="AT284" s="5">
        <f t="shared" si="43"/>
        <v>2.3918575063613234</v>
      </c>
      <c r="AU284" s="5">
        <f t="shared" si="44"/>
        <v>2.0427135678391961</v>
      </c>
      <c r="AV284" s="5">
        <f t="shared" si="45"/>
        <v>1.973711662841644</v>
      </c>
      <c r="AW284" s="5">
        <f t="shared" si="46"/>
        <v>2.536116927893056</v>
      </c>
      <c r="AX284" s="5">
        <f t="shared" si="47"/>
        <v>2.2097989949748742</v>
      </c>
      <c r="AY284" s="5">
        <f t="shared" si="48"/>
        <v>2.8747193795737487</v>
      </c>
      <c r="AZ284">
        <f t="shared" si="49"/>
        <v>19040000</v>
      </c>
      <c r="BA284">
        <v>0</v>
      </c>
      <c r="BB284">
        <v>3570000</v>
      </c>
      <c r="BC284">
        <v>490000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2810000</v>
      </c>
      <c r="BK284">
        <v>0</v>
      </c>
      <c r="BL284">
        <v>0</v>
      </c>
      <c r="BM284">
        <v>2930000</v>
      </c>
      <c r="BN284">
        <v>720000</v>
      </c>
      <c r="BO284">
        <v>690000</v>
      </c>
      <c r="BP284">
        <v>850000</v>
      </c>
      <c r="BQ284">
        <v>1180000</v>
      </c>
      <c r="BR284">
        <v>5220000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580000</v>
      </c>
      <c r="BZ284">
        <v>0</v>
      </c>
      <c r="CA284">
        <v>0</v>
      </c>
      <c r="CT284">
        <v>16.176470588235272</v>
      </c>
      <c r="CU284">
        <v>41.859243697479002</v>
      </c>
      <c r="CV284">
        <v>38.970588235294102</v>
      </c>
      <c r="CW284">
        <v>2.9936974789916002</v>
      </c>
      <c r="CX284">
        <v>0</v>
      </c>
      <c r="CY284">
        <v>19.747899159663831</v>
      </c>
      <c r="CZ284">
        <v>38.392857142857139</v>
      </c>
      <c r="DA284">
        <v>38.813025210084</v>
      </c>
      <c r="DB284">
        <v>3.04621848739496</v>
      </c>
      <c r="DC284">
        <v>0</v>
      </c>
      <c r="DD284">
        <v>20.640756302521051</v>
      </c>
      <c r="DE284">
        <v>37.762605042016823</v>
      </c>
      <c r="DF284">
        <v>38.550420168067198</v>
      </c>
      <c r="DG284">
        <v>3.04621848739496</v>
      </c>
      <c r="DH284">
        <v>0</v>
      </c>
      <c r="DI284">
        <v>21.32352941176471</v>
      </c>
      <c r="DJ284">
        <v>37.552521008403346</v>
      </c>
      <c r="DK284">
        <v>38.077731092436998</v>
      </c>
      <c r="DL284">
        <v>3.04621848739496</v>
      </c>
      <c r="DM284">
        <v>0</v>
      </c>
      <c r="DN284">
        <v>21.32352941176471</v>
      </c>
      <c r="DO284">
        <v>37.552521008403346</v>
      </c>
      <c r="DP284">
        <v>38.077731092436998</v>
      </c>
      <c r="DQ284">
        <v>3.04621848739496</v>
      </c>
      <c r="DR284">
        <v>0</v>
      </c>
      <c r="DS284" t="s">
        <v>312</v>
      </c>
      <c r="DT284" t="s">
        <v>313</v>
      </c>
      <c r="DU284">
        <v>5806</v>
      </c>
      <c r="DV284" t="s">
        <v>547</v>
      </c>
      <c r="DW284" t="s">
        <v>548</v>
      </c>
      <c r="DX284">
        <v>86</v>
      </c>
      <c r="DY284">
        <v>130</v>
      </c>
      <c r="DZ284">
        <v>216</v>
      </c>
      <c r="EA284">
        <v>606779</v>
      </c>
      <c r="EB284">
        <v>388178</v>
      </c>
      <c r="EC284">
        <v>994957</v>
      </c>
      <c r="ED284" t="s">
        <v>960</v>
      </c>
      <c r="EE284" t="s">
        <v>958</v>
      </c>
      <c r="EF284" t="s">
        <v>746</v>
      </c>
      <c r="EG284" t="s">
        <v>747</v>
      </c>
    </row>
    <row r="285" spans="1:137" ht="14.55" customHeight="1" x14ac:dyDescent="0.3">
      <c r="A285" t="s">
        <v>961</v>
      </c>
      <c r="B285">
        <v>74044</v>
      </c>
      <c r="C285" t="s">
        <v>962</v>
      </c>
      <c r="D285" t="s">
        <v>543</v>
      </c>
      <c r="E285" t="s">
        <v>879</v>
      </c>
      <c r="F285" t="s">
        <v>742</v>
      </c>
      <c r="G285" t="s">
        <v>913</v>
      </c>
      <c r="H285" s="3">
        <v>3854679.83947</v>
      </c>
      <c r="I285">
        <v>385</v>
      </c>
      <c r="J285" s="3">
        <v>385.46798394699999</v>
      </c>
      <c r="K285">
        <v>421</v>
      </c>
      <c r="L285">
        <v>1257</v>
      </c>
      <c r="M285">
        <v>627.89165950128995</v>
      </c>
      <c r="N285">
        <v>229.35195846225199</v>
      </c>
      <c r="O285">
        <v>0</v>
      </c>
      <c r="P285">
        <v>66.607490539550795</v>
      </c>
      <c r="Q285">
        <v>16.8214511871338</v>
      </c>
      <c r="R285">
        <v>14.7908477783203</v>
      </c>
      <c r="S285" t="s">
        <v>881</v>
      </c>
      <c r="T285" t="s">
        <v>963</v>
      </c>
      <c r="U285" t="s">
        <v>962</v>
      </c>
      <c r="V285" t="s">
        <v>962</v>
      </c>
      <c r="W285" s="3">
        <v>1018</v>
      </c>
      <c r="X285" s="3">
        <v>3860000</v>
      </c>
      <c r="Y285">
        <v>2</v>
      </c>
      <c r="Z285" s="3">
        <v>450</v>
      </c>
      <c r="AA285" s="3">
        <v>486</v>
      </c>
      <c r="AB285" s="3">
        <v>545</v>
      </c>
      <c r="AC285" s="3">
        <v>664</v>
      </c>
      <c r="AD285" s="3">
        <v>675</v>
      </c>
      <c r="AE285" s="3">
        <v>680</v>
      </c>
      <c r="AF285" s="3">
        <v>707</v>
      </c>
      <c r="AG285" s="3">
        <v>736</v>
      </c>
      <c r="AH285" s="3">
        <v>765</v>
      </c>
      <c r="AI285" s="3">
        <v>876</v>
      </c>
      <c r="AJ285" s="3">
        <v>868</v>
      </c>
      <c r="AK285" s="3">
        <v>912</v>
      </c>
      <c r="AL285" s="3">
        <v>957</v>
      </c>
      <c r="AM285" s="3">
        <v>1001</v>
      </c>
      <c r="AN285" s="3">
        <v>1018</v>
      </c>
      <c r="AO285" s="3">
        <v>1031</v>
      </c>
      <c r="AP285" s="3">
        <v>1042</v>
      </c>
      <c r="AQ285" s="3">
        <v>979</v>
      </c>
      <c r="AR285" s="4">
        <v>269.94818652849739</v>
      </c>
      <c r="AS285" s="5">
        <f t="shared" si="42"/>
        <v>1</v>
      </c>
      <c r="AT285" s="5">
        <f t="shared" si="43"/>
        <v>1.3488797439414724</v>
      </c>
      <c r="AU285" s="5">
        <f t="shared" si="44"/>
        <v>2.9724770642201839</v>
      </c>
      <c r="AV285" s="5">
        <f t="shared" si="45"/>
        <v>4.7383309759547378</v>
      </c>
      <c r="AW285" s="5">
        <f t="shared" si="46"/>
        <v>1.2418300653594772</v>
      </c>
      <c r="AX285" s="5">
        <f t="shared" si="47"/>
        <v>4.5596330275229358</v>
      </c>
      <c r="AY285" s="5">
        <f t="shared" si="48"/>
        <v>3.5555555555555554</v>
      </c>
      <c r="AZ285">
        <f t="shared" si="49"/>
        <v>3850000</v>
      </c>
      <c r="BA285">
        <v>0</v>
      </c>
      <c r="BB285">
        <v>560000</v>
      </c>
      <c r="BC285">
        <v>0</v>
      </c>
      <c r="BD285">
        <v>0</v>
      </c>
      <c r="BE285">
        <v>0</v>
      </c>
      <c r="BF285">
        <v>0</v>
      </c>
      <c r="BG285">
        <v>150000</v>
      </c>
      <c r="BH285">
        <v>0</v>
      </c>
      <c r="BI285">
        <v>810000</v>
      </c>
      <c r="BJ285">
        <v>640000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1660000</v>
      </c>
      <c r="BQ285">
        <v>0</v>
      </c>
      <c r="BR285">
        <v>0</v>
      </c>
      <c r="BS285">
        <v>30000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T285">
        <v>35.844155844155878</v>
      </c>
      <c r="CU285">
        <v>18.181818181818201</v>
      </c>
      <c r="CV285">
        <v>45.974025974025942</v>
      </c>
      <c r="CW285">
        <v>0</v>
      </c>
      <c r="CX285">
        <v>0</v>
      </c>
      <c r="CY285">
        <v>38.44155844155847</v>
      </c>
      <c r="CZ285">
        <v>18.181818181818201</v>
      </c>
      <c r="DA285">
        <v>43.376623376623343</v>
      </c>
      <c r="DB285">
        <v>0</v>
      </c>
      <c r="DC285">
        <v>0</v>
      </c>
      <c r="DD285">
        <v>39.740259740259674</v>
      </c>
      <c r="DE285">
        <v>16.6233766233766</v>
      </c>
      <c r="DF285">
        <v>43.636363636363676</v>
      </c>
      <c r="DG285">
        <v>0</v>
      </c>
      <c r="DH285">
        <v>0</v>
      </c>
      <c r="DI285">
        <v>39.480519480519398</v>
      </c>
      <c r="DJ285">
        <v>16.6233766233766</v>
      </c>
      <c r="DK285">
        <v>43.896103896103881</v>
      </c>
      <c r="DL285">
        <v>0</v>
      </c>
      <c r="DM285">
        <v>0</v>
      </c>
      <c r="DN285">
        <v>39.480519480519398</v>
      </c>
      <c r="DO285">
        <v>16.6233766233766</v>
      </c>
      <c r="DP285">
        <v>43.896103896103881</v>
      </c>
      <c r="DQ285">
        <v>0</v>
      </c>
      <c r="DR285">
        <v>0</v>
      </c>
      <c r="DS285" t="s">
        <v>312</v>
      </c>
      <c r="DT285" t="s">
        <v>313</v>
      </c>
      <c r="DU285">
        <v>1010</v>
      </c>
      <c r="DV285" t="s">
        <v>547</v>
      </c>
      <c r="DW285" t="s">
        <v>548</v>
      </c>
      <c r="DX285">
        <v>86</v>
      </c>
      <c r="DY285">
        <v>130</v>
      </c>
      <c r="DZ285">
        <v>216</v>
      </c>
      <c r="EA285">
        <v>606779</v>
      </c>
      <c r="EB285">
        <v>388178</v>
      </c>
      <c r="EC285">
        <v>994957</v>
      </c>
      <c r="ED285" t="s">
        <v>807</v>
      </c>
      <c r="EE285" t="s">
        <v>808</v>
      </c>
      <c r="EF285" t="s">
        <v>746</v>
      </c>
      <c r="EG285" t="s">
        <v>760</v>
      </c>
    </row>
    <row r="286" spans="1:137" ht="14.55" customHeight="1" x14ac:dyDescent="0.3">
      <c r="A286" t="s">
        <v>964</v>
      </c>
      <c r="B286">
        <v>74048</v>
      </c>
      <c r="C286" t="s">
        <v>965</v>
      </c>
      <c r="D286" t="s">
        <v>543</v>
      </c>
      <c r="E286" t="s">
        <v>879</v>
      </c>
      <c r="F286" t="s">
        <v>742</v>
      </c>
      <c r="G286" t="s">
        <v>904</v>
      </c>
      <c r="H286" s="3">
        <v>8384904.7226999998</v>
      </c>
      <c r="I286">
        <v>838</v>
      </c>
      <c r="J286" s="3">
        <v>838.49047226999994</v>
      </c>
      <c r="K286">
        <v>488</v>
      </c>
      <c r="L286">
        <v>1011</v>
      </c>
      <c r="M286">
        <v>621.98596767836</v>
      </c>
      <c r="N286">
        <v>119.78700894916599</v>
      </c>
      <c r="O286">
        <v>0</v>
      </c>
      <c r="P286">
        <v>41.712375640869098</v>
      </c>
      <c r="Q286">
        <v>8.7207288742065394</v>
      </c>
      <c r="R286">
        <v>7.4885935783386204</v>
      </c>
      <c r="S286" t="s">
        <v>881</v>
      </c>
      <c r="T286" t="s">
        <v>966</v>
      </c>
      <c r="U286" t="s">
        <v>965</v>
      </c>
      <c r="V286" t="s">
        <v>965</v>
      </c>
      <c r="W286" s="3">
        <v>1037</v>
      </c>
      <c r="X286" s="3">
        <v>8390000</v>
      </c>
      <c r="Y286">
        <v>3</v>
      </c>
      <c r="Z286" s="3">
        <v>533</v>
      </c>
      <c r="AA286" s="3">
        <v>654</v>
      </c>
      <c r="AB286" s="3">
        <v>670</v>
      </c>
      <c r="AC286" s="3">
        <v>818</v>
      </c>
      <c r="AD286" s="3">
        <v>853</v>
      </c>
      <c r="AE286" s="3">
        <v>844</v>
      </c>
      <c r="AF286" s="3">
        <v>872</v>
      </c>
      <c r="AG286" s="3">
        <v>899</v>
      </c>
      <c r="AH286" s="3">
        <v>927</v>
      </c>
      <c r="AI286" s="3">
        <v>918</v>
      </c>
      <c r="AJ286" s="3">
        <v>940</v>
      </c>
      <c r="AK286" s="3">
        <v>965</v>
      </c>
      <c r="AL286" s="3">
        <v>991</v>
      </c>
      <c r="AM286" s="3">
        <v>1017</v>
      </c>
      <c r="AN286" s="3">
        <v>1037</v>
      </c>
      <c r="AO286" s="3">
        <v>1070</v>
      </c>
      <c r="AP286" s="3">
        <v>1096</v>
      </c>
      <c r="AQ286" s="3">
        <v>1109</v>
      </c>
      <c r="AR286" s="4">
        <v>130.63170441001191</v>
      </c>
      <c r="AS286" s="5">
        <f t="shared" si="42"/>
        <v>2.8377110694183862</v>
      </c>
      <c r="AT286" s="5">
        <f t="shared" si="43"/>
        <v>0.27183146449201495</v>
      </c>
      <c r="AU286" s="5">
        <f t="shared" si="44"/>
        <v>3.0149253731343286</v>
      </c>
      <c r="AV286" s="5">
        <f t="shared" si="45"/>
        <v>2.5688073394495414</v>
      </c>
      <c r="AW286" s="5">
        <f t="shared" si="46"/>
        <v>1.5119743957620571</v>
      </c>
      <c r="AX286" s="5">
        <f t="shared" si="47"/>
        <v>3.1791044776119404</v>
      </c>
      <c r="AY286" s="5">
        <f t="shared" si="48"/>
        <v>2.8548248060443182</v>
      </c>
      <c r="AZ286">
        <f t="shared" si="49"/>
        <v>8410000</v>
      </c>
      <c r="BA286">
        <v>0</v>
      </c>
      <c r="BB286">
        <v>930000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650000</v>
      </c>
      <c r="BK286">
        <v>0</v>
      </c>
      <c r="BL286">
        <v>150000</v>
      </c>
      <c r="BM286">
        <v>1870000</v>
      </c>
      <c r="BN286">
        <v>1480000</v>
      </c>
      <c r="BO286">
        <v>0</v>
      </c>
      <c r="BP286">
        <v>230000</v>
      </c>
      <c r="BQ286">
        <v>80000</v>
      </c>
      <c r="BR286">
        <v>3020000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T286">
        <v>5.3507728894173603</v>
      </c>
      <c r="CU286">
        <v>55.529131985731283</v>
      </c>
      <c r="CV286">
        <v>39.120095124851403</v>
      </c>
      <c r="CW286">
        <v>0</v>
      </c>
      <c r="CX286">
        <v>0</v>
      </c>
      <c r="CY286">
        <v>10.820451843043999</v>
      </c>
      <c r="CZ286">
        <v>50.059453032104571</v>
      </c>
      <c r="DA286">
        <v>39.120095124851403</v>
      </c>
      <c r="DB286">
        <v>0</v>
      </c>
      <c r="DC286">
        <v>0</v>
      </c>
      <c r="DD286">
        <v>11.0582639714625</v>
      </c>
      <c r="DE286">
        <v>49.821640903686166</v>
      </c>
      <c r="DF286">
        <v>39.120095124851403</v>
      </c>
      <c r="DG286">
        <v>0</v>
      </c>
      <c r="DH286">
        <v>0</v>
      </c>
      <c r="DI286">
        <v>11.0582639714625</v>
      </c>
      <c r="DJ286">
        <v>49.346016646849073</v>
      </c>
      <c r="DK286">
        <v>39.595719381688497</v>
      </c>
      <c r="DL286">
        <v>0</v>
      </c>
      <c r="DM286">
        <v>0</v>
      </c>
      <c r="DN286">
        <v>11.0582639714625</v>
      </c>
      <c r="DO286">
        <v>49.346016646849073</v>
      </c>
      <c r="DP286">
        <v>39.595719381688497</v>
      </c>
      <c r="DQ286">
        <v>0</v>
      </c>
      <c r="DR286">
        <v>0</v>
      </c>
      <c r="DS286" t="s">
        <v>312</v>
      </c>
      <c r="DT286" t="s">
        <v>313</v>
      </c>
      <c r="DU286">
        <v>1103</v>
      </c>
      <c r="DV286" t="s">
        <v>547</v>
      </c>
      <c r="DW286" t="s">
        <v>548</v>
      </c>
      <c r="DX286">
        <v>86</v>
      </c>
      <c r="DY286">
        <v>130</v>
      </c>
      <c r="DZ286">
        <v>216</v>
      </c>
      <c r="EA286">
        <v>606779</v>
      </c>
      <c r="EB286">
        <v>388178</v>
      </c>
      <c r="EC286">
        <v>994957</v>
      </c>
      <c r="ED286" t="s">
        <v>960</v>
      </c>
      <c r="EE286" t="s">
        <v>958</v>
      </c>
      <c r="EF286" t="s">
        <v>746</v>
      </c>
      <c r="EG286" t="s">
        <v>760</v>
      </c>
    </row>
    <row r="287" spans="1:137" ht="14.55" customHeight="1" x14ac:dyDescent="0.3">
      <c r="A287" t="s">
        <v>967</v>
      </c>
      <c r="B287">
        <v>74049</v>
      </c>
      <c r="C287" t="s">
        <v>968</v>
      </c>
      <c r="D287" t="s">
        <v>543</v>
      </c>
      <c r="E287" t="s">
        <v>879</v>
      </c>
      <c r="F287" t="s">
        <v>742</v>
      </c>
      <c r="G287" t="s">
        <v>917</v>
      </c>
      <c r="H287" s="3">
        <v>10425835.2622</v>
      </c>
      <c r="I287">
        <v>1046</v>
      </c>
      <c r="J287" s="3">
        <v>1042.5835262200001</v>
      </c>
      <c r="K287">
        <v>726</v>
      </c>
      <c r="L287">
        <v>1930</v>
      </c>
      <c r="M287">
        <v>1430.0671851096399</v>
      </c>
      <c r="N287">
        <v>240.986545514478</v>
      </c>
      <c r="O287">
        <v>0</v>
      </c>
      <c r="P287">
        <v>61.6278686523438</v>
      </c>
      <c r="Q287">
        <v>18.581392288208001</v>
      </c>
      <c r="R287">
        <v>9.7924356460571307</v>
      </c>
      <c r="S287" t="s">
        <v>881</v>
      </c>
      <c r="T287" t="s">
        <v>969</v>
      </c>
      <c r="U287" t="s">
        <v>968</v>
      </c>
      <c r="V287" t="s">
        <v>968</v>
      </c>
      <c r="W287" s="3">
        <v>485</v>
      </c>
      <c r="X287" s="3">
        <v>10420000</v>
      </c>
      <c r="Y287">
        <v>3</v>
      </c>
      <c r="Z287" s="3">
        <v>301</v>
      </c>
      <c r="AA287" s="3">
        <v>337</v>
      </c>
      <c r="AB287" s="3">
        <v>383</v>
      </c>
      <c r="AC287" s="3">
        <v>441</v>
      </c>
      <c r="AD287" s="3">
        <v>449</v>
      </c>
      <c r="AE287" s="3">
        <v>449</v>
      </c>
      <c r="AF287" s="3">
        <v>443</v>
      </c>
      <c r="AG287" s="3">
        <v>450</v>
      </c>
      <c r="AH287" s="3">
        <v>457</v>
      </c>
      <c r="AI287" s="3">
        <v>464</v>
      </c>
      <c r="AJ287" s="3">
        <v>462</v>
      </c>
      <c r="AK287" s="3">
        <v>466</v>
      </c>
      <c r="AL287" s="3">
        <v>472</v>
      </c>
      <c r="AM287" s="3">
        <v>479</v>
      </c>
      <c r="AN287" s="3">
        <v>485</v>
      </c>
      <c r="AO287" s="3">
        <v>484</v>
      </c>
      <c r="AP287" s="3">
        <v>482</v>
      </c>
      <c r="AQ287" s="3">
        <v>473</v>
      </c>
      <c r="AR287" s="4">
        <v>46.257197696737045</v>
      </c>
      <c r="AS287" s="5">
        <f t="shared" si="42"/>
        <v>1.4950166112956811</v>
      </c>
      <c r="AT287" s="5">
        <f t="shared" si="43"/>
        <v>1.5166501813386086</v>
      </c>
      <c r="AU287" s="5">
        <f t="shared" si="44"/>
        <v>1.5665796344647522</v>
      </c>
      <c r="AV287" s="5">
        <f t="shared" si="45"/>
        <v>0.88036117381489842</v>
      </c>
      <c r="AW287" s="5">
        <f t="shared" si="46"/>
        <v>1.60250146570256</v>
      </c>
      <c r="AX287" s="5">
        <f t="shared" si="47"/>
        <v>1.2924281984334203</v>
      </c>
      <c r="AY287" s="5">
        <f t="shared" si="48"/>
        <v>1.6252132531202299</v>
      </c>
      <c r="AZ287">
        <f t="shared" si="49"/>
        <v>10480000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310000</v>
      </c>
      <c r="BQ287">
        <v>2360000</v>
      </c>
      <c r="BR287">
        <v>340000</v>
      </c>
      <c r="BS287">
        <v>5210000</v>
      </c>
      <c r="BT287">
        <v>0</v>
      </c>
      <c r="BU287">
        <v>0</v>
      </c>
      <c r="BV287">
        <v>0</v>
      </c>
      <c r="BW287">
        <v>2100000</v>
      </c>
      <c r="BX287">
        <v>160000</v>
      </c>
      <c r="BY287">
        <v>0</v>
      </c>
      <c r="BZ287">
        <v>0</v>
      </c>
      <c r="CA287">
        <v>0</v>
      </c>
      <c r="CT287">
        <v>0</v>
      </c>
      <c r="CU287">
        <v>0</v>
      </c>
      <c r="CV287">
        <v>100</v>
      </c>
      <c r="CW287">
        <v>0</v>
      </c>
      <c r="CX287">
        <v>0</v>
      </c>
      <c r="CY287">
        <v>0</v>
      </c>
      <c r="CZ287">
        <v>0</v>
      </c>
      <c r="DA287">
        <v>100</v>
      </c>
      <c r="DB287">
        <v>0</v>
      </c>
      <c r="DC287">
        <v>0</v>
      </c>
      <c r="DD287">
        <v>0</v>
      </c>
      <c r="DE287">
        <v>0</v>
      </c>
      <c r="DF287">
        <v>100</v>
      </c>
      <c r="DG287">
        <v>0</v>
      </c>
      <c r="DH287">
        <v>0</v>
      </c>
      <c r="DI287">
        <v>0</v>
      </c>
      <c r="DJ287">
        <v>0</v>
      </c>
      <c r="DK287">
        <v>100</v>
      </c>
      <c r="DL287">
        <v>0</v>
      </c>
      <c r="DM287">
        <v>0</v>
      </c>
      <c r="DN287">
        <v>0</v>
      </c>
      <c r="DO287">
        <v>0</v>
      </c>
      <c r="DP287">
        <v>100</v>
      </c>
      <c r="DQ287">
        <v>0</v>
      </c>
      <c r="DR287">
        <v>0</v>
      </c>
      <c r="DS287" t="s">
        <v>768</v>
      </c>
      <c r="DT287" t="s">
        <v>768</v>
      </c>
      <c r="DU287" t="s">
        <v>768</v>
      </c>
      <c r="DV287" t="s">
        <v>768</v>
      </c>
      <c r="DW287" t="s">
        <v>768</v>
      </c>
      <c r="DX287" t="s">
        <v>768</v>
      </c>
      <c r="DY287" t="s">
        <v>768</v>
      </c>
      <c r="DZ287" t="s">
        <v>768</v>
      </c>
      <c r="EA287" t="s">
        <v>768</v>
      </c>
      <c r="EB287" t="s">
        <v>768</v>
      </c>
      <c r="EC287" t="s">
        <v>768</v>
      </c>
      <c r="ED287" t="s">
        <v>909</v>
      </c>
      <c r="EE287" t="s">
        <v>910</v>
      </c>
      <c r="EF287" t="s">
        <v>753</v>
      </c>
      <c r="EG287" t="s">
        <v>754</v>
      </c>
    </row>
    <row r="288" spans="1:137" ht="14.55" customHeight="1" x14ac:dyDescent="0.3">
      <c r="A288" t="s">
        <v>970</v>
      </c>
      <c r="B288">
        <v>74053</v>
      </c>
      <c r="C288" t="s">
        <v>971</v>
      </c>
      <c r="D288" t="s">
        <v>886</v>
      </c>
      <c r="E288" t="s">
        <v>879</v>
      </c>
      <c r="F288" t="s">
        <v>742</v>
      </c>
      <c r="G288" t="s">
        <v>887</v>
      </c>
      <c r="H288" s="3">
        <v>6372938.1097299997</v>
      </c>
      <c r="I288">
        <v>638</v>
      </c>
      <c r="J288" s="3">
        <v>637.29381097299995</v>
      </c>
      <c r="K288">
        <v>558</v>
      </c>
      <c r="L288">
        <v>1223</v>
      </c>
      <c r="M288">
        <v>787.59767490139097</v>
      </c>
      <c r="N288">
        <v>194.239327097776</v>
      </c>
      <c r="O288">
        <v>0</v>
      </c>
      <c r="P288">
        <v>51.701694488525398</v>
      </c>
      <c r="Q288">
        <v>12.3009996414185</v>
      </c>
      <c r="R288">
        <v>9.1594142913818395</v>
      </c>
      <c r="S288" t="s">
        <v>881</v>
      </c>
      <c r="T288" t="s">
        <v>972</v>
      </c>
      <c r="U288" t="s">
        <v>971</v>
      </c>
      <c r="V288" t="s">
        <v>971</v>
      </c>
      <c r="W288" s="3">
        <v>1205</v>
      </c>
      <c r="X288" s="3">
        <v>6360000</v>
      </c>
      <c r="Y288">
        <v>3</v>
      </c>
      <c r="Z288" s="3">
        <v>410</v>
      </c>
      <c r="AA288" s="3">
        <v>593</v>
      </c>
      <c r="AB288" s="3">
        <v>729</v>
      </c>
      <c r="AC288" s="3">
        <v>897</v>
      </c>
      <c r="AD288" s="3">
        <v>971</v>
      </c>
      <c r="AE288" s="3">
        <v>1032</v>
      </c>
      <c r="AF288" s="3">
        <v>1065</v>
      </c>
      <c r="AG288" s="3">
        <v>1092</v>
      </c>
      <c r="AH288" s="3">
        <v>1119</v>
      </c>
      <c r="AI288" s="3">
        <v>1117</v>
      </c>
      <c r="AJ288" s="3">
        <v>1132</v>
      </c>
      <c r="AK288" s="3">
        <v>1149</v>
      </c>
      <c r="AL288" s="3">
        <v>1165</v>
      </c>
      <c r="AM288" s="3">
        <v>1181</v>
      </c>
      <c r="AN288" s="3">
        <v>1205</v>
      </c>
      <c r="AO288" s="3">
        <v>1225</v>
      </c>
      <c r="AP288" s="3">
        <v>1233</v>
      </c>
      <c r="AQ288" s="3">
        <v>1248</v>
      </c>
      <c r="AR288" s="4">
        <v>193.8679245283019</v>
      </c>
      <c r="AS288" s="5">
        <f t="shared" si="42"/>
        <v>5.5792682926829267</v>
      </c>
      <c r="AT288" s="5">
        <f t="shared" si="43"/>
        <v>2.5482480794453815</v>
      </c>
      <c r="AU288" s="5">
        <f t="shared" si="44"/>
        <v>4.6090534979423872</v>
      </c>
      <c r="AV288" s="5">
        <f t="shared" si="45"/>
        <v>1.5774647887323947</v>
      </c>
      <c r="AW288" s="5">
        <f t="shared" si="46"/>
        <v>4.5767575322812055</v>
      </c>
      <c r="AX288" s="5">
        <f t="shared" si="47"/>
        <v>3.4567901234567899</v>
      </c>
      <c r="AY288" s="5">
        <f t="shared" si="48"/>
        <v>5.4251812788398155</v>
      </c>
      <c r="AZ288">
        <f t="shared" si="49"/>
        <v>6370000</v>
      </c>
      <c r="BA288">
        <v>0</v>
      </c>
      <c r="BB288">
        <v>600000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930000</v>
      </c>
      <c r="BN288">
        <v>1320000</v>
      </c>
      <c r="BO288">
        <v>60000</v>
      </c>
      <c r="BP288">
        <v>10000</v>
      </c>
      <c r="BQ288">
        <v>0</v>
      </c>
      <c r="BR288">
        <v>3450000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T288">
        <v>4.0816326530612201</v>
      </c>
      <c r="CU288">
        <v>41.601255886970115</v>
      </c>
      <c r="CV288">
        <v>54.317111459968601</v>
      </c>
      <c r="CW288">
        <v>0</v>
      </c>
      <c r="CX288">
        <v>0</v>
      </c>
      <c r="CY288">
        <v>8.6342229199372102</v>
      </c>
      <c r="CZ288">
        <v>37.048665620094198</v>
      </c>
      <c r="DA288">
        <v>54.317111459968601</v>
      </c>
      <c r="DB288">
        <v>0</v>
      </c>
      <c r="DC288">
        <v>0</v>
      </c>
      <c r="DD288">
        <v>9.4191522762951294</v>
      </c>
      <c r="DE288">
        <v>36.263736263736298</v>
      </c>
      <c r="DF288">
        <v>54.317111459968601</v>
      </c>
      <c r="DG288">
        <v>0</v>
      </c>
      <c r="DH288">
        <v>0</v>
      </c>
      <c r="DI288">
        <v>9.4191522762951294</v>
      </c>
      <c r="DJ288">
        <v>36.263736263736298</v>
      </c>
      <c r="DK288">
        <v>54.317111459968601</v>
      </c>
      <c r="DL288">
        <v>0</v>
      </c>
      <c r="DM288">
        <v>0</v>
      </c>
      <c r="DN288">
        <v>9.4191522762951294</v>
      </c>
      <c r="DO288">
        <v>36.263736263736298</v>
      </c>
      <c r="DP288">
        <v>54.317111459968601</v>
      </c>
      <c r="DQ288">
        <v>0</v>
      </c>
      <c r="DR288">
        <v>0</v>
      </c>
      <c r="DS288" t="s">
        <v>768</v>
      </c>
      <c r="DT288" t="s">
        <v>768</v>
      </c>
      <c r="DU288" t="s">
        <v>768</v>
      </c>
      <c r="DV288" t="s">
        <v>768</v>
      </c>
      <c r="DW288" t="s">
        <v>768</v>
      </c>
      <c r="DX288" t="s">
        <v>768</v>
      </c>
      <c r="DY288" t="s">
        <v>768</v>
      </c>
      <c r="DZ288" t="s">
        <v>768</v>
      </c>
      <c r="EA288" t="s">
        <v>768</v>
      </c>
      <c r="EB288" t="s">
        <v>768</v>
      </c>
      <c r="EC288" t="s">
        <v>768</v>
      </c>
      <c r="ED288" t="s">
        <v>973</v>
      </c>
      <c r="EE288" t="s">
        <v>974</v>
      </c>
      <c r="EF288" t="s">
        <v>746</v>
      </c>
      <c r="EG288" t="s">
        <v>747</v>
      </c>
    </row>
    <row r="289" spans="1:137" ht="14.55" customHeight="1" x14ac:dyDescent="0.3">
      <c r="A289" t="s">
        <v>975</v>
      </c>
      <c r="B289">
        <v>74057</v>
      </c>
      <c r="C289" t="s">
        <v>976</v>
      </c>
      <c r="D289" t="s">
        <v>878</v>
      </c>
      <c r="E289" t="s">
        <v>879</v>
      </c>
      <c r="F289" t="s">
        <v>742</v>
      </c>
      <c r="G289" t="s">
        <v>880</v>
      </c>
      <c r="H289" s="3">
        <v>3704977.4130600002</v>
      </c>
      <c r="I289">
        <v>369</v>
      </c>
      <c r="J289" s="3">
        <v>370.49774130600002</v>
      </c>
      <c r="K289">
        <v>630</v>
      </c>
      <c r="L289">
        <v>785</v>
      </c>
      <c r="M289">
        <v>702.70861516553896</v>
      </c>
      <c r="N289">
        <v>33.843397864817199</v>
      </c>
      <c r="O289">
        <v>0</v>
      </c>
      <c r="P289">
        <v>25.067573547363299</v>
      </c>
      <c r="Q289">
        <v>5.77443599700928</v>
      </c>
      <c r="R289">
        <v>3.1595766544342001</v>
      </c>
      <c r="S289" t="s">
        <v>881</v>
      </c>
      <c r="T289" t="s">
        <v>977</v>
      </c>
      <c r="U289" t="s">
        <v>976</v>
      </c>
      <c r="V289" t="s">
        <v>976</v>
      </c>
      <c r="W289" s="3">
        <v>1015</v>
      </c>
      <c r="X289" s="3">
        <v>3700000</v>
      </c>
      <c r="Y289">
        <v>2</v>
      </c>
      <c r="Z289" s="3">
        <v>587</v>
      </c>
      <c r="AA289" s="3">
        <v>706</v>
      </c>
      <c r="AB289" s="3">
        <v>753</v>
      </c>
      <c r="AC289" s="3">
        <v>824</v>
      </c>
      <c r="AD289" s="3">
        <v>835</v>
      </c>
      <c r="AE289" s="3">
        <v>855</v>
      </c>
      <c r="AF289" s="3">
        <v>853</v>
      </c>
      <c r="AG289" s="3">
        <v>858</v>
      </c>
      <c r="AH289" s="3">
        <v>863</v>
      </c>
      <c r="AI289" s="3">
        <v>868</v>
      </c>
      <c r="AJ289" s="3">
        <v>880</v>
      </c>
      <c r="AK289" s="3">
        <v>905</v>
      </c>
      <c r="AL289" s="3">
        <v>942</v>
      </c>
      <c r="AM289" s="3">
        <v>979</v>
      </c>
      <c r="AN289" s="3">
        <v>1015</v>
      </c>
      <c r="AO289" s="3">
        <v>1080</v>
      </c>
      <c r="AP289" s="3">
        <v>1111</v>
      </c>
      <c r="AR289" s="4">
        <v>300.27027027027026</v>
      </c>
      <c r="AS289" s="5">
        <f t="shared" si="42"/>
        <v>2.5340715502555367</v>
      </c>
      <c r="AT289" s="5">
        <f t="shared" si="43"/>
        <v>0.73969153289266598</v>
      </c>
      <c r="AU289" s="5">
        <f t="shared" si="44"/>
        <v>1.3280212483399734</v>
      </c>
      <c r="AV289" s="5">
        <f t="shared" si="45"/>
        <v>3.0246189917936697</v>
      </c>
      <c r="AW289" s="5">
        <f t="shared" si="46"/>
        <v>1.6634933360056119</v>
      </c>
      <c r="AX289" s="5">
        <f t="shared" si="47"/>
        <v>2.3771580345285526</v>
      </c>
      <c r="AY289" s="5">
        <f t="shared" si="48"/>
        <v>2.412634099175837</v>
      </c>
      <c r="AZ289">
        <f t="shared" si="49"/>
        <v>3680000</v>
      </c>
      <c r="BA289">
        <v>0</v>
      </c>
      <c r="BB289">
        <v>870000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220000</v>
      </c>
      <c r="BK289">
        <v>0</v>
      </c>
      <c r="BL289">
        <v>0</v>
      </c>
      <c r="BM289">
        <v>680000</v>
      </c>
      <c r="BN289">
        <v>330000</v>
      </c>
      <c r="BO289">
        <v>570000</v>
      </c>
      <c r="BP289">
        <v>1010000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T289">
        <v>21.4673913043478</v>
      </c>
      <c r="CU289">
        <v>50.271739130434796</v>
      </c>
      <c r="CV289">
        <v>28.260869565217401</v>
      </c>
      <c r="CW289">
        <v>0</v>
      </c>
      <c r="CX289">
        <v>0</v>
      </c>
      <c r="CY289">
        <v>21.4673913043478</v>
      </c>
      <c r="CZ289">
        <v>50.271739130434725</v>
      </c>
      <c r="DA289">
        <v>28.260869565217401</v>
      </c>
      <c r="DB289">
        <v>0</v>
      </c>
      <c r="DC289">
        <v>0</v>
      </c>
      <c r="DD289">
        <v>23.6413043478261</v>
      </c>
      <c r="DE289">
        <v>48.913043478260825</v>
      </c>
      <c r="DF289">
        <v>27.445652173913</v>
      </c>
      <c r="DG289">
        <v>0</v>
      </c>
      <c r="DH289">
        <v>0</v>
      </c>
      <c r="DI289">
        <v>23.6413043478261</v>
      </c>
      <c r="DJ289">
        <v>48.913043478260825</v>
      </c>
      <c r="DK289">
        <v>27.445652173913</v>
      </c>
      <c r="DL289">
        <v>0</v>
      </c>
      <c r="DM289">
        <v>0</v>
      </c>
      <c r="DN289">
        <v>23.6413043478261</v>
      </c>
      <c r="DO289">
        <v>48.913043478260825</v>
      </c>
      <c r="DP289">
        <v>27.445652173913</v>
      </c>
      <c r="DQ289">
        <v>0</v>
      </c>
      <c r="DR289">
        <v>0</v>
      </c>
      <c r="DS289" t="s">
        <v>768</v>
      </c>
      <c r="DT289" t="s">
        <v>768</v>
      </c>
      <c r="DU289" t="s">
        <v>768</v>
      </c>
      <c r="DV289" t="s">
        <v>768</v>
      </c>
      <c r="DW289" t="s">
        <v>768</v>
      </c>
      <c r="DX289" t="s">
        <v>768</v>
      </c>
      <c r="DY289" t="s">
        <v>768</v>
      </c>
      <c r="DZ289" t="s">
        <v>768</v>
      </c>
      <c r="EA289" t="s">
        <v>768</v>
      </c>
      <c r="EB289" t="s">
        <v>768</v>
      </c>
      <c r="EC289" t="s">
        <v>768</v>
      </c>
      <c r="ED289" t="s">
        <v>909</v>
      </c>
      <c r="EE289" t="s">
        <v>910</v>
      </c>
      <c r="EF289" t="s">
        <v>753</v>
      </c>
      <c r="EG289" t="s">
        <v>754</v>
      </c>
    </row>
    <row r="290" spans="1:137" ht="14.55" customHeight="1" x14ac:dyDescent="0.3">
      <c r="A290" t="s">
        <v>978</v>
      </c>
      <c r="B290">
        <v>74058</v>
      </c>
      <c r="C290" t="s">
        <v>979</v>
      </c>
      <c r="D290" t="s">
        <v>878</v>
      </c>
      <c r="E290" t="s">
        <v>879</v>
      </c>
      <c r="F290" t="s">
        <v>742</v>
      </c>
      <c r="G290" t="s">
        <v>880</v>
      </c>
      <c r="H290" s="3">
        <v>37777662.187100001</v>
      </c>
      <c r="I290">
        <v>3775</v>
      </c>
      <c r="J290" s="3">
        <v>3777.76621875</v>
      </c>
      <c r="K290">
        <v>969</v>
      </c>
      <c r="L290">
        <v>2406</v>
      </c>
      <c r="M290">
        <v>1521.12200328982</v>
      </c>
      <c r="N290">
        <v>304.93163671995302</v>
      </c>
      <c r="O290">
        <v>0</v>
      </c>
      <c r="P290">
        <v>70.058540344238295</v>
      </c>
      <c r="Q290">
        <v>24.370651245117202</v>
      </c>
      <c r="R290">
        <v>11.2451686859131</v>
      </c>
      <c r="S290" t="s">
        <v>881</v>
      </c>
      <c r="T290" t="s">
        <v>980</v>
      </c>
      <c r="U290" t="s">
        <v>979</v>
      </c>
      <c r="V290" t="s">
        <v>979</v>
      </c>
      <c r="W290" s="3">
        <v>911</v>
      </c>
      <c r="X290" s="3">
        <v>37770000</v>
      </c>
      <c r="Y290">
        <v>3</v>
      </c>
      <c r="Z290" s="3">
        <v>552</v>
      </c>
      <c r="AA290" s="3">
        <v>727</v>
      </c>
      <c r="AB290" s="3">
        <v>719</v>
      </c>
      <c r="AC290" s="3">
        <v>781</v>
      </c>
      <c r="AD290" s="3">
        <v>779</v>
      </c>
      <c r="AE290" s="3">
        <v>812</v>
      </c>
      <c r="AF290" s="3">
        <v>832</v>
      </c>
      <c r="AG290" s="3">
        <v>840</v>
      </c>
      <c r="AH290" s="3">
        <v>849</v>
      </c>
      <c r="AI290" s="3">
        <v>858</v>
      </c>
      <c r="AJ290" s="3">
        <v>866</v>
      </c>
      <c r="AK290" s="3">
        <v>871</v>
      </c>
      <c r="AL290" s="3">
        <v>886</v>
      </c>
      <c r="AM290" s="3">
        <v>901</v>
      </c>
      <c r="AN290" s="3">
        <v>911</v>
      </c>
      <c r="AO290" s="3">
        <v>931</v>
      </c>
      <c r="AP290" s="3">
        <v>932</v>
      </c>
      <c r="AR290" s="4">
        <v>24.675668519989408</v>
      </c>
      <c r="AS290" s="5">
        <f t="shared" si="42"/>
        <v>3.96286231884058</v>
      </c>
      <c r="AT290" s="5">
        <f t="shared" si="43"/>
        <v>-0.12226807274950328</v>
      </c>
      <c r="AU290" s="5">
        <f t="shared" si="44"/>
        <v>1.5716272600834489</v>
      </c>
      <c r="AV290" s="5">
        <f t="shared" si="45"/>
        <v>1.2019230769230771</v>
      </c>
      <c r="AW290" s="5">
        <f t="shared" si="46"/>
        <v>1.7796248934356353</v>
      </c>
      <c r="AX290" s="5">
        <f t="shared" si="47"/>
        <v>1.4812239221140473</v>
      </c>
      <c r="AY290" s="5">
        <f t="shared" si="48"/>
        <v>1.8605562083822951</v>
      </c>
      <c r="AZ290">
        <f t="shared" si="49"/>
        <v>37760000</v>
      </c>
      <c r="BA290">
        <v>0</v>
      </c>
      <c r="BB290">
        <v>1330000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3260000</v>
      </c>
      <c r="BN290">
        <v>0</v>
      </c>
      <c r="BO290">
        <v>340000</v>
      </c>
      <c r="BP290">
        <v>0</v>
      </c>
      <c r="BQ290">
        <v>14880000</v>
      </c>
      <c r="BR290">
        <v>490000</v>
      </c>
      <c r="BS290">
        <v>14550000</v>
      </c>
      <c r="BT290">
        <v>20000</v>
      </c>
      <c r="BU290">
        <v>0</v>
      </c>
      <c r="BV290">
        <v>0</v>
      </c>
      <c r="BW290">
        <v>1450000</v>
      </c>
      <c r="BX290">
        <v>1440000</v>
      </c>
      <c r="BY290">
        <v>0</v>
      </c>
      <c r="BZ290">
        <v>0</v>
      </c>
      <c r="CA290">
        <v>0</v>
      </c>
      <c r="CT290">
        <v>3.3633474576271198</v>
      </c>
      <c r="CU290">
        <v>8.7923728813559308</v>
      </c>
      <c r="CV290">
        <v>87.844279661016998</v>
      </c>
      <c r="CW290">
        <v>0</v>
      </c>
      <c r="CX290">
        <v>0</v>
      </c>
      <c r="CY290">
        <v>3.5222457627118602</v>
      </c>
      <c r="CZ290">
        <v>9.5603813559322095</v>
      </c>
      <c r="DA290">
        <v>86.917372881355959</v>
      </c>
      <c r="DB290">
        <v>0</v>
      </c>
      <c r="DC290">
        <v>0</v>
      </c>
      <c r="DD290">
        <v>3.5222457627118602</v>
      </c>
      <c r="DE290">
        <v>9.5338983050847492</v>
      </c>
      <c r="DF290">
        <v>86.943855932203363</v>
      </c>
      <c r="DG290">
        <v>0</v>
      </c>
      <c r="DH290">
        <v>0</v>
      </c>
      <c r="DI290">
        <v>3.5222457627118602</v>
      </c>
      <c r="DJ290">
        <v>9.5338983050847492</v>
      </c>
      <c r="DK290">
        <v>86.943855932203448</v>
      </c>
      <c r="DL290">
        <v>0</v>
      </c>
      <c r="DM290">
        <v>0</v>
      </c>
      <c r="DN290">
        <v>3.5222457627118602</v>
      </c>
      <c r="DO290">
        <v>9.5338983050847492</v>
      </c>
      <c r="DP290">
        <v>86.943855932203448</v>
      </c>
      <c r="DQ290">
        <v>0</v>
      </c>
      <c r="DR290">
        <v>0</v>
      </c>
      <c r="DS290" t="s">
        <v>768</v>
      </c>
      <c r="DT290" t="s">
        <v>768</v>
      </c>
      <c r="DU290" t="s">
        <v>768</v>
      </c>
      <c r="DV290" t="s">
        <v>768</v>
      </c>
      <c r="DW290" t="s">
        <v>768</v>
      </c>
      <c r="DX290" t="s">
        <v>768</v>
      </c>
      <c r="DY290" t="s">
        <v>768</v>
      </c>
      <c r="DZ290" t="s">
        <v>768</v>
      </c>
      <c r="EA290" t="s">
        <v>768</v>
      </c>
      <c r="EB290" t="s">
        <v>768</v>
      </c>
      <c r="EC290" t="s">
        <v>768</v>
      </c>
      <c r="ED290" t="s">
        <v>883</v>
      </c>
      <c r="EE290" t="s">
        <v>877</v>
      </c>
      <c r="EF290" t="s">
        <v>746</v>
      </c>
      <c r="EG290" t="s">
        <v>747</v>
      </c>
    </row>
    <row r="291" spans="1:137" ht="14.55" customHeight="1" x14ac:dyDescent="0.3">
      <c r="A291" t="s">
        <v>981</v>
      </c>
      <c r="B291">
        <v>74059</v>
      </c>
      <c r="C291" t="s">
        <v>982</v>
      </c>
      <c r="D291" t="s">
        <v>543</v>
      </c>
      <c r="E291" t="s">
        <v>879</v>
      </c>
      <c r="F291" t="s">
        <v>742</v>
      </c>
      <c r="G291" t="s">
        <v>892</v>
      </c>
      <c r="H291" s="3">
        <v>4304263.20438</v>
      </c>
      <c r="I291">
        <v>434</v>
      </c>
      <c r="J291" s="3">
        <v>430.426320438</v>
      </c>
      <c r="K291">
        <v>805</v>
      </c>
      <c r="L291">
        <v>953</v>
      </c>
      <c r="M291">
        <v>908.63222821896704</v>
      </c>
      <c r="N291">
        <v>28.991381656936301</v>
      </c>
      <c r="O291">
        <v>0</v>
      </c>
      <c r="P291">
        <v>23.6303310394287</v>
      </c>
      <c r="Q291">
        <v>6.4219846725463903</v>
      </c>
      <c r="R291">
        <v>3.8577508926391602</v>
      </c>
      <c r="S291" t="s">
        <v>881</v>
      </c>
      <c r="T291" t="s">
        <v>983</v>
      </c>
      <c r="U291" t="s">
        <v>982</v>
      </c>
      <c r="V291" t="s">
        <v>982</v>
      </c>
      <c r="W291" s="3">
        <v>256</v>
      </c>
      <c r="X291" s="3">
        <v>4300000</v>
      </c>
      <c r="Y291">
        <v>3</v>
      </c>
      <c r="Z291" s="3">
        <v>173</v>
      </c>
      <c r="AA291" s="3">
        <v>177</v>
      </c>
      <c r="AB291" s="3">
        <v>177</v>
      </c>
      <c r="AC291" s="3">
        <v>210</v>
      </c>
      <c r="AD291" s="3">
        <v>215</v>
      </c>
      <c r="AE291" s="3">
        <v>215</v>
      </c>
      <c r="AF291" s="3">
        <v>219</v>
      </c>
      <c r="AG291" s="3">
        <v>224</v>
      </c>
      <c r="AH291" s="3">
        <v>228</v>
      </c>
      <c r="AI291" s="3">
        <v>238</v>
      </c>
      <c r="AJ291" s="3">
        <v>243</v>
      </c>
      <c r="AK291" s="3">
        <v>247</v>
      </c>
      <c r="AL291" s="3">
        <v>252</v>
      </c>
      <c r="AM291" s="3">
        <v>256</v>
      </c>
      <c r="AN291" s="3">
        <v>256</v>
      </c>
      <c r="AO291" s="3">
        <v>260</v>
      </c>
      <c r="AP291" s="3">
        <v>261</v>
      </c>
      <c r="AQ291" s="3">
        <v>254</v>
      </c>
      <c r="AR291" s="4">
        <v>60.697674418604649</v>
      </c>
      <c r="AS291" s="5">
        <f t="shared" si="42"/>
        <v>0.28901734104046239</v>
      </c>
      <c r="AT291" s="5">
        <f t="shared" si="43"/>
        <v>0</v>
      </c>
      <c r="AU291" s="5">
        <f t="shared" si="44"/>
        <v>2.3728813559322033</v>
      </c>
      <c r="AV291" s="5">
        <f t="shared" si="45"/>
        <v>1.9178082191780819</v>
      </c>
      <c r="AW291" s="5">
        <f t="shared" si="46"/>
        <v>0.13600816048962935</v>
      </c>
      <c r="AX291" s="5">
        <f t="shared" si="47"/>
        <v>2.3728813559322033</v>
      </c>
      <c r="AY291" s="5">
        <f t="shared" si="48"/>
        <v>1.3747851898140915</v>
      </c>
      <c r="AZ291">
        <f t="shared" si="49"/>
        <v>4350000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300000</v>
      </c>
      <c r="BN291">
        <v>2080000</v>
      </c>
      <c r="BO291">
        <v>1050000</v>
      </c>
      <c r="BP291">
        <v>0</v>
      </c>
      <c r="BQ291">
        <v>0</v>
      </c>
      <c r="BR291">
        <v>920000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T291">
        <v>5.5172413793103496</v>
      </c>
      <c r="CU291">
        <v>73.103448275862021</v>
      </c>
      <c r="CV291">
        <v>21.379310344827601</v>
      </c>
      <c r="CW291">
        <v>0</v>
      </c>
      <c r="CX291">
        <v>0</v>
      </c>
      <c r="CY291">
        <v>0</v>
      </c>
      <c r="CZ291">
        <v>78.62068965517247</v>
      </c>
      <c r="DA291">
        <v>21.379310344827601</v>
      </c>
      <c r="DB291">
        <v>0</v>
      </c>
      <c r="DC291">
        <v>0</v>
      </c>
      <c r="DD291">
        <v>0</v>
      </c>
      <c r="DE291">
        <v>78.850574712643734</v>
      </c>
      <c r="DF291">
        <v>21.149425287356301</v>
      </c>
      <c r="DG291">
        <v>0</v>
      </c>
      <c r="DH291">
        <v>0</v>
      </c>
      <c r="DI291">
        <v>0</v>
      </c>
      <c r="DJ291">
        <v>78.850574712643734</v>
      </c>
      <c r="DK291">
        <v>21.149425287356301</v>
      </c>
      <c r="DL291">
        <v>0</v>
      </c>
      <c r="DM291">
        <v>0</v>
      </c>
      <c r="DN291">
        <v>0</v>
      </c>
      <c r="DO291">
        <v>78.850574712643734</v>
      </c>
      <c r="DP291">
        <v>21.149425287356301</v>
      </c>
      <c r="DQ291">
        <v>0</v>
      </c>
      <c r="DR291">
        <v>0</v>
      </c>
      <c r="DS291" t="s">
        <v>312</v>
      </c>
      <c r="DT291" t="s">
        <v>313</v>
      </c>
      <c r="DU291">
        <v>258</v>
      </c>
      <c r="DV291" t="s">
        <v>547</v>
      </c>
      <c r="DW291" t="s">
        <v>548</v>
      </c>
      <c r="DX291">
        <v>86</v>
      </c>
      <c r="DY291">
        <v>130</v>
      </c>
      <c r="DZ291">
        <v>216</v>
      </c>
      <c r="EA291">
        <v>606779</v>
      </c>
      <c r="EB291">
        <v>388178</v>
      </c>
      <c r="EC291">
        <v>994957</v>
      </c>
      <c r="ED291" t="s">
        <v>909</v>
      </c>
      <c r="EE291" t="s">
        <v>910</v>
      </c>
      <c r="EF291" t="s">
        <v>753</v>
      </c>
      <c r="EG291" t="s">
        <v>754</v>
      </c>
    </row>
    <row r="292" spans="1:137" ht="14.55" customHeight="1" x14ac:dyDescent="0.3">
      <c r="A292" t="s">
        <v>984</v>
      </c>
      <c r="B292">
        <v>74063</v>
      </c>
      <c r="C292" t="s">
        <v>985</v>
      </c>
      <c r="D292" t="s">
        <v>878</v>
      </c>
      <c r="E292" t="s">
        <v>879</v>
      </c>
      <c r="F292" t="s">
        <v>742</v>
      </c>
      <c r="G292" t="s">
        <v>880</v>
      </c>
      <c r="H292" s="3">
        <v>32173842.712400001</v>
      </c>
      <c r="I292">
        <v>3221</v>
      </c>
      <c r="J292" s="3">
        <v>3217.3842712400001</v>
      </c>
      <c r="K292">
        <v>1049</v>
      </c>
      <c r="L292">
        <v>2417</v>
      </c>
      <c r="M292">
        <v>1582.7721357646501</v>
      </c>
      <c r="N292">
        <v>272.27315862902998</v>
      </c>
      <c r="O292">
        <v>0</v>
      </c>
      <c r="P292">
        <v>64.721031188964801</v>
      </c>
      <c r="Q292">
        <v>21.9237461090088</v>
      </c>
      <c r="R292">
        <v>9.6807565689086896</v>
      </c>
      <c r="S292" t="s">
        <v>881</v>
      </c>
      <c r="T292" t="s">
        <v>986</v>
      </c>
      <c r="U292" t="s">
        <v>985</v>
      </c>
      <c r="V292" t="s">
        <v>985</v>
      </c>
      <c r="W292" s="3">
        <v>1246</v>
      </c>
      <c r="X292" s="3">
        <v>32160000</v>
      </c>
      <c r="Y292">
        <v>3</v>
      </c>
      <c r="Z292" s="3">
        <v>1024</v>
      </c>
      <c r="AA292" s="3">
        <v>1255</v>
      </c>
      <c r="AB292" s="3">
        <v>1190</v>
      </c>
      <c r="AC292" s="3">
        <v>1254</v>
      </c>
      <c r="AD292" s="3">
        <v>1247</v>
      </c>
      <c r="AE292" s="3">
        <v>1243</v>
      </c>
      <c r="AF292" s="3">
        <v>1213</v>
      </c>
      <c r="AG292" s="3">
        <v>1198</v>
      </c>
      <c r="AH292" s="3">
        <v>1183</v>
      </c>
      <c r="AI292" s="3">
        <v>1179</v>
      </c>
      <c r="AJ292" s="3">
        <v>1171</v>
      </c>
      <c r="AK292" s="3">
        <v>1201</v>
      </c>
      <c r="AL292" s="3">
        <v>1224</v>
      </c>
      <c r="AM292" s="3">
        <v>1246</v>
      </c>
      <c r="AN292" s="3">
        <v>1246</v>
      </c>
      <c r="AO292" s="3">
        <v>1250</v>
      </c>
      <c r="AP292" s="3">
        <v>1246</v>
      </c>
      <c r="AR292" s="4">
        <v>38.743781094527364</v>
      </c>
      <c r="AS292" s="5">
        <f t="shared" si="42"/>
        <v>2.81982421875</v>
      </c>
      <c r="AT292" s="5">
        <f t="shared" si="43"/>
        <v>-0.57547587428065516</v>
      </c>
      <c r="AU292" s="5">
        <f t="shared" si="44"/>
        <v>0.19327731092436976</v>
      </c>
      <c r="AV292" s="5">
        <f t="shared" si="45"/>
        <v>0.27205276174773291</v>
      </c>
      <c r="AW292" s="5">
        <f t="shared" si="46"/>
        <v>0.95358455882352944</v>
      </c>
      <c r="AX292" s="5">
        <f t="shared" si="47"/>
        <v>0.23529411764705879</v>
      </c>
      <c r="AY292" s="5">
        <f t="shared" si="48"/>
        <v>0.5859375</v>
      </c>
      <c r="AZ292">
        <f t="shared" si="49"/>
        <v>32210000</v>
      </c>
      <c r="BA292">
        <v>0</v>
      </c>
      <c r="BB292">
        <v>2110000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1230000</v>
      </c>
      <c r="BN292">
        <v>0</v>
      </c>
      <c r="BO292">
        <v>0</v>
      </c>
      <c r="BP292">
        <v>410000</v>
      </c>
      <c r="BQ292">
        <v>13440000</v>
      </c>
      <c r="BR292">
        <v>70000</v>
      </c>
      <c r="BS292">
        <v>9880000</v>
      </c>
      <c r="BT292">
        <v>2080000</v>
      </c>
      <c r="BU292">
        <v>0</v>
      </c>
      <c r="BV292">
        <v>0</v>
      </c>
      <c r="BW292">
        <v>340000</v>
      </c>
      <c r="BX292">
        <v>2650000</v>
      </c>
      <c r="BY292">
        <v>0</v>
      </c>
      <c r="BZ292">
        <v>0</v>
      </c>
      <c r="CA292">
        <v>0</v>
      </c>
      <c r="CT292">
        <v>4.5017075442409196</v>
      </c>
      <c r="CU292">
        <v>4.5017075442409196</v>
      </c>
      <c r="CV292">
        <v>90.996584911518099</v>
      </c>
      <c r="CW292">
        <v>0</v>
      </c>
      <c r="CX292">
        <v>0</v>
      </c>
      <c r="CY292">
        <v>5.1536789816827104</v>
      </c>
      <c r="CZ292">
        <v>3.84973610679913</v>
      </c>
      <c r="DA292">
        <v>90.996584911518269</v>
      </c>
      <c r="DB292">
        <v>0</v>
      </c>
      <c r="DC292">
        <v>0</v>
      </c>
      <c r="DD292">
        <v>5.6193728655696997</v>
      </c>
      <c r="DE292">
        <v>3.8186898478733302</v>
      </c>
      <c r="DF292">
        <v>90.561937286556898</v>
      </c>
      <c r="DG292">
        <v>0</v>
      </c>
      <c r="DH292">
        <v>0</v>
      </c>
      <c r="DI292">
        <v>6.5507606333436801</v>
      </c>
      <c r="DJ292">
        <v>3.8186898478733302</v>
      </c>
      <c r="DK292">
        <v>89.630549518782928</v>
      </c>
      <c r="DL292">
        <v>0</v>
      </c>
      <c r="DM292">
        <v>0</v>
      </c>
      <c r="DN292">
        <v>6.5507606333436801</v>
      </c>
      <c r="DO292">
        <v>3.8186898478733302</v>
      </c>
      <c r="DP292">
        <v>89.630549518782928</v>
      </c>
      <c r="DQ292">
        <v>0</v>
      </c>
      <c r="DR292">
        <v>0</v>
      </c>
      <c r="DS292" t="s">
        <v>768</v>
      </c>
      <c r="DT292" t="s">
        <v>768</v>
      </c>
      <c r="DU292" t="s">
        <v>768</v>
      </c>
      <c r="DV292" t="s">
        <v>768</v>
      </c>
      <c r="DW292" t="s">
        <v>768</v>
      </c>
      <c r="DX292" t="s">
        <v>768</v>
      </c>
      <c r="DY292" t="s">
        <v>768</v>
      </c>
      <c r="DZ292" t="s">
        <v>768</v>
      </c>
      <c r="EA292" t="s">
        <v>768</v>
      </c>
      <c r="EB292" t="s">
        <v>768</v>
      </c>
      <c r="EC292" t="s">
        <v>768</v>
      </c>
      <c r="ED292" t="s">
        <v>883</v>
      </c>
      <c r="EE292" t="s">
        <v>877</v>
      </c>
      <c r="EF292" t="s">
        <v>746</v>
      </c>
      <c r="EG292" t="s">
        <v>747</v>
      </c>
    </row>
    <row r="293" spans="1:137" ht="14.55" customHeight="1" x14ac:dyDescent="0.3">
      <c r="A293" t="s">
        <v>987</v>
      </c>
      <c r="B293">
        <v>74069</v>
      </c>
      <c r="C293" t="s">
        <v>988</v>
      </c>
      <c r="D293" t="s">
        <v>543</v>
      </c>
      <c r="E293" t="s">
        <v>879</v>
      </c>
      <c r="F293" t="s">
        <v>742</v>
      </c>
      <c r="G293" t="s">
        <v>913</v>
      </c>
      <c r="H293" s="3">
        <v>5385264.1543199997</v>
      </c>
      <c r="I293">
        <v>538</v>
      </c>
      <c r="J293" s="3">
        <v>538.52641543200002</v>
      </c>
      <c r="K293">
        <v>441</v>
      </c>
      <c r="L293">
        <v>733</v>
      </c>
      <c r="M293">
        <v>536.89828627789404</v>
      </c>
      <c r="N293">
        <v>69.356814970024701</v>
      </c>
      <c r="O293">
        <v>0</v>
      </c>
      <c r="P293">
        <v>22.0734157562256</v>
      </c>
      <c r="Q293">
        <v>6.1128349304199201</v>
      </c>
      <c r="R293">
        <v>3.8163821697235099</v>
      </c>
      <c r="S293" t="s">
        <v>881</v>
      </c>
      <c r="T293" t="s">
        <v>989</v>
      </c>
      <c r="U293" t="s">
        <v>988</v>
      </c>
      <c r="V293" t="s">
        <v>988</v>
      </c>
      <c r="W293" s="3">
        <v>828</v>
      </c>
      <c r="X293" s="3">
        <v>5380000</v>
      </c>
      <c r="Y293">
        <v>3</v>
      </c>
      <c r="Z293" s="3">
        <v>327</v>
      </c>
      <c r="AA293" s="3">
        <v>364</v>
      </c>
      <c r="AB293" s="3">
        <v>365</v>
      </c>
      <c r="AC293" s="3">
        <v>456</v>
      </c>
      <c r="AD293" s="3">
        <v>458</v>
      </c>
      <c r="AE293" s="3">
        <v>520</v>
      </c>
      <c r="AF293" s="3">
        <v>568</v>
      </c>
      <c r="AG293" s="3">
        <v>616</v>
      </c>
      <c r="AH293" s="3">
        <v>677</v>
      </c>
      <c r="AI293" s="3">
        <v>687</v>
      </c>
      <c r="AJ293" s="3">
        <v>730</v>
      </c>
      <c r="AK293" s="3">
        <v>768</v>
      </c>
      <c r="AL293" s="3">
        <v>806</v>
      </c>
      <c r="AM293" s="3">
        <v>812</v>
      </c>
      <c r="AN293" s="3">
        <v>828</v>
      </c>
      <c r="AO293" s="3">
        <v>813</v>
      </c>
      <c r="AP293" s="3">
        <v>810</v>
      </c>
      <c r="AQ293" s="3">
        <v>799</v>
      </c>
      <c r="AR293" s="4">
        <v>150.55762081784385</v>
      </c>
      <c r="AS293" s="5">
        <f t="shared" si="42"/>
        <v>1.4143730886850152</v>
      </c>
      <c r="AT293" s="5">
        <f t="shared" si="43"/>
        <v>3.0525030525030524E-2</v>
      </c>
      <c r="AU293" s="5">
        <f t="shared" si="44"/>
        <v>5.5616438356164384</v>
      </c>
      <c r="AV293" s="5">
        <f t="shared" si="45"/>
        <v>4.26056338028169</v>
      </c>
      <c r="AW293" s="5">
        <f t="shared" si="46"/>
        <v>0.68357618276668464</v>
      </c>
      <c r="AX293" s="5">
        <f t="shared" si="47"/>
        <v>6.095890410958904</v>
      </c>
      <c r="AY293" s="5">
        <f t="shared" si="48"/>
        <v>3.9920654599553682</v>
      </c>
      <c r="AZ293">
        <f t="shared" si="49"/>
        <v>5360000</v>
      </c>
      <c r="BA293">
        <v>0</v>
      </c>
      <c r="BB293">
        <v>410000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2790000</v>
      </c>
      <c r="BK293">
        <v>0</v>
      </c>
      <c r="BL293">
        <v>0</v>
      </c>
      <c r="BM293">
        <v>0</v>
      </c>
      <c r="BN293">
        <v>350000</v>
      </c>
      <c r="BO293">
        <v>430000</v>
      </c>
      <c r="BP293">
        <v>1380000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T293">
        <v>0</v>
      </c>
      <c r="CU293">
        <v>73.507462686567095</v>
      </c>
      <c r="CV293">
        <v>26.492537313432798</v>
      </c>
      <c r="CW293">
        <v>0</v>
      </c>
      <c r="CX293">
        <v>0</v>
      </c>
      <c r="CY293">
        <v>5.9701492537313401</v>
      </c>
      <c r="CZ293">
        <v>67.53731343283583</v>
      </c>
      <c r="DA293">
        <v>26.492537313432798</v>
      </c>
      <c r="DB293">
        <v>0</v>
      </c>
      <c r="DC293">
        <v>0</v>
      </c>
      <c r="DD293">
        <v>7.64925373134328</v>
      </c>
      <c r="DE293">
        <v>66.604477611940396</v>
      </c>
      <c r="DF293">
        <v>25.746268656716399</v>
      </c>
      <c r="DG293">
        <v>0</v>
      </c>
      <c r="DH293">
        <v>0</v>
      </c>
      <c r="DI293">
        <v>7.64925373134328</v>
      </c>
      <c r="DJ293">
        <v>66.604477611940396</v>
      </c>
      <c r="DK293">
        <v>25.746268656716399</v>
      </c>
      <c r="DL293">
        <v>0</v>
      </c>
      <c r="DM293">
        <v>0</v>
      </c>
      <c r="DN293">
        <v>7.64925373134328</v>
      </c>
      <c r="DO293">
        <v>66.604477611940396</v>
      </c>
      <c r="DP293">
        <v>25.746268656716399</v>
      </c>
      <c r="DQ293">
        <v>0</v>
      </c>
      <c r="DR293">
        <v>0</v>
      </c>
      <c r="DS293" t="s">
        <v>312</v>
      </c>
      <c r="DT293" t="s">
        <v>313</v>
      </c>
      <c r="DU293">
        <v>807</v>
      </c>
      <c r="DV293" t="s">
        <v>547</v>
      </c>
      <c r="DW293" t="s">
        <v>548</v>
      </c>
      <c r="DX293">
        <v>86</v>
      </c>
      <c r="DY293">
        <v>130</v>
      </c>
      <c r="DZ293">
        <v>216</v>
      </c>
      <c r="EA293">
        <v>606779</v>
      </c>
      <c r="EB293">
        <v>388178</v>
      </c>
      <c r="EC293">
        <v>994957</v>
      </c>
      <c r="ED293" t="s">
        <v>909</v>
      </c>
      <c r="EE293" t="s">
        <v>910</v>
      </c>
      <c r="EF293" t="s">
        <v>753</v>
      </c>
      <c r="EG293" t="s">
        <v>754</v>
      </c>
    </row>
    <row r="294" spans="1:137" ht="14.55" customHeight="1" x14ac:dyDescent="0.3">
      <c r="A294" t="s">
        <v>990</v>
      </c>
      <c r="B294">
        <v>74070</v>
      </c>
      <c r="C294" t="s">
        <v>991</v>
      </c>
      <c r="D294" t="s">
        <v>543</v>
      </c>
      <c r="E294" t="s">
        <v>879</v>
      </c>
      <c r="F294" t="s">
        <v>742</v>
      </c>
      <c r="G294" t="s">
        <v>904</v>
      </c>
      <c r="H294" s="3">
        <v>10894044.577099999</v>
      </c>
      <c r="I294">
        <v>1090</v>
      </c>
      <c r="J294" s="3">
        <v>1089.40445763</v>
      </c>
      <c r="K294">
        <v>369</v>
      </c>
      <c r="L294">
        <v>457</v>
      </c>
      <c r="M294">
        <v>418.89611885991502</v>
      </c>
      <c r="N294">
        <v>15.036976965628099</v>
      </c>
      <c r="O294">
        <v>0</v>
      </c>
      <c r="P294">
        <v>21.719730377197301</v>
      </c>
      <c r="Q294">
        <v>4.1891837120056197</v>
      </c>
      <c r="R294">
        <v>2.6067430973053001</v>
      </c>
      <c r="S294" t="s">
        <v>881</v>
      </c>
      <c r="T294" t="s">
        <v>992</v>
      </c>
      <c r="U294" t="s">
        <v>991</v>
      </c>
      <c r="V294" t="s">
        <v>991</v>
      </c>
      <c r="W294" s="3">
        <v>2776</v>
      </c>
      <c r="X294" s="3">
        <v>10880000</v>
      </c>
      <c r="Y294">
        <v>3</v>
      </c>
      <c r="Z294" s="3">
        <v>856</v>
      </c>
      <c r="AA294" s="3">
        <v>1063</v>
      </c>
      <c r="AB294" s="3">
        <v>1274</v>
      </c>
      <c r="AC294" s="3">
        <v>1656</v>
      </c>
      <c r="AD294" s="3">
        <v>1708</v>
      </c>
      <c r="AE294" s="3">
        <v>1740</v>
      </c>
      <c r="AF294" s="3">
        <v>1822</v>
      </c>
      <c r="AG294" s="3">
        <v>1893</v>
      </c>
      <c r="AH294" s="3">
        <v>1971</v>
      </c>
      <c r="AI294" s="3">
        <v>2050</v>
      </c>
      <c r="AJ294" s="3">
        <v>2122</v>
      </c>
      <c r="AK294" s="3">
        <v>2405</v>
      </c>
      <c r="AL294" s="3">
        <v>2531</v>
      </c>
      <c r="AM294" s="3">
        <v>2653</v>
      </c>
      <c r="AN294" s="3">
        <v>2776</v>
      </c>
      <c r="AO294" s="3">
        <v>2771</v>
      </c>
      <c r="AP294" s="3">
        <v>2792</v>
      </c>
      <c r="AQ294" s="3">
        <v>2941</v>
      </c>
      <c r="AR294" s="4">
        <v>256.61764705882354</v>
      </c>
      <c r="AS294" s="5">
        <f t="shared" si="42"/>
        <v>3.0227803738317758</v>
      </c>
      <c r="AT294" s="5">
        <f t="shared" si="43"/>
        <v>2.2054980662694676</v>
      </c>
      <c r="AU294" s="5">
        <f t="shared" si="44"/>
        <v>4.3014128728414436</v>
      </c>
      <c r="AV294" s="5">
        <f t="shared" si="45"/>
        <v>5.3238199780461031</v>
      </c>
      <c r="AW294" s="5">
        <f t="shared" si="46"/>
        <v>2.8724573941726224</v>
      </c>
      <c r="AX294" s="5">
        <f t="shared" si="47"/>
        <v>5.9576138147566713</v>
      </c>
      <c r="AY294" s="5">
        <f t="shared" si="48"/>
        <v>6.1126547107855522</v>
      </c>
      <c r="AZ294">
        <f t="shared" si="49"/>
        <v>10890000</v>
      </c>
      <c r="BA294">
        <v>0</v>
      </c>
      <c r="BB294">
        <v>1830000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3470000</v>
      </c>
      <c r="BK294">
        <v>0</v>
      </c>
      <c r="BL294">
        <v>0</v>
      </c>
      <c r="BM294">
        <v>730000</v>
      </c>
      <c r="BN294">
        <v>320000</v>
      </c>
      <c r="BO294">
        <v>110000</v>
      </c>
      <c r="BP294">
        <v>4280000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150000</v>
      </c>
      <c r="CT294">
        <v>13.774104683195601</v>
      </c>
      <c r="CU294">
        <v>45.730027548209371</v>
      </c>
      <c r="CV294">
        <v>39.118457300275502</v>
      </c>
      <c r="CW294">
        <v>0</v>
      </c>
      <c r="CX294">
        <v>1.37741046831956</v>
      </c>
      <c r="CY294">
        <v>13.774104683195601</v>
      </c>
      <c r="CZ294">
        <v>45.730027548209364</v>
      </c>
      <c r="DA294">
        <v>39.118457300275502</v>
      </c>
      <c r="DB294">
        <v>0</v>
      </c>
      <c r="DC294">
        <v>1.37741046831956</v>
      </c>
      <c r="DD294">
        <v>16.620752984389298</v>
      </c>
      <c r="DE294">
        <v>42.699724517906326</v>
      </c>
      <c r="DF294">
        <v>39.302112029384801</v>
      </c>
      <c r="DG294">
        <v>0</v>
      </c>
      <c r="DH294">
        <v>1.37741046831956</v>
      </c>
      <c r="DI294">
        <v>16.804407713498598</v>
      </c>
      <c r="DJ294">
        <v>42.516069788797026</v>
      </c>
      <c r="DK294">
        <v>39.302112029384801</v>
      </c>
      <c r="DL294">
        <v>0</v>
      </c>
      <c r="DM294">
        <v>1.37741046831956</v>
      </c>
      <c r="DN294">
        <v>16.804407713498598</v>
      </c>
      <c r="DO294">
        <v>42.516069788797026</v>
      </c>
      <c r="DP294">
        <v>39.302112029384801</v>
      </c>
      <c r="DQ294">
        <v>0</v>
      </c>
      <c r="DR294">
        <v>1.37741046831956</v>
      </c>
      <c r="DS294" t="s">
        <v>312</v>
      </c>
      <c r="DT294" t="s">
        <v>313</v>
      </c>
      <c r="DU294">
        <v>2877</v>
      </c>
      <c r="DV294" t="s">
        <v>547</v>
      </c>
      <c r="DW294" t="s">
        <v>548</v>
      </c>
      <c r="DX294">
        <v>86</v>
      </c>
      <c r="DY294">
        <v>130</v>
      </c>
      <c r="DZ294">
        <v>216</v>
      </c>
      <c r="EA294">
        <v>606779</v>
      </c>
      <c r="EB294">
        <v>388178</v>
      </c>
      <c r="EC294">
        <v>994957</v>
      </c>
      <c r="ED294" t="s">
        <v>993</v>
      </c>
      <c r="EE294" t="s">
        <v>994</v>
      </c>
      <c r="EF294" t="s">
        <v>746</v>
      </c>
      <c r="EG294" t="s">
        <v>747</v>
      </c>
    </row>
    <row r="295" spans="1:137" ht="14.55" customHeight="1" x14ac:dyDescent="0.3">
      <c r="A295" t="s">
        <v>995</v>
      </c>
      <c r="B295">
        <v>74073</v>
      </c>
      <c r="C295" t="s">
        <v>996</v>
      </c>
      <c r="D295" t="s">
        <v>878</v>
      </c>
      <c r="E295" t="s">
        <v>879</v>
      </c>
      <c r="F295" t="s">
        <v>742</v>
      </c>
      <c r="G295" t="s">
        <v>880</v>
      </c>
      <c r="H295" s="3">
        <v>10484409.4103</v>
      </c>
      <c r="I295">
        <v>1050</v>
      </c>
      <c r="J295" s="3">
        <v>1048.44094103</v>
      </c>
      <c r="K295">
        <v>588</v>
      </c>
      <c r="L295">
        <v>1604</v>
      </c>
      <c r="M295">
        <v>963.29991182768595</v>
      </c>
      <c r="N295">
        <v>207.509956148459</v>
      </c>
      <c r="O295">
        <v>0</v>
      </c>
      <c r="P295">
        <v>61.096431732177699</v>
      </c>
      <c r="Q295">
        <v>21.505731582641602</v>
      </c>
      <c r="R295">
        <v>11.1798763275146</v>
      </c>
      <c r="S295" t="s">
        <v>881</v>
      </c>
      <c r="T295" t="s">
        <v>997</v>
      </c>
      <c r="U295" t="s">
        <v>996</v>
      </c>
      <c r="V295" t="s">
        <v>996</v>
      </c>
      <c r="W295" s="3">
        <v>607</v>
      </c>
      <c r="X295" s="3">
        <v>10490000</v>
      </c>
      <c r="Y295">
        <v>3</v>
      </c>
      <c r="Z295" s="3">
        <v>359</v>
      </c>
      <c r="AA295" s="3">
        <v>425</v>
      </c>
      <c r="AB295" s="3">
        <v>502</v>
      </c>
      <c r="AC295" s="3">
        <v>539</v>
      </c>
      <c r="AD295" s="3">
        <v>544</v>
      </c>
      <c r="AE295" s="3">
        <v>549</v>
      </c>
      <c r="AF295" s="3">
        <v>554</v>
      </c>
      <c r="AG295" s="3">
        <v>557</v>
      </c>
      <c r="AH295" s="3">
        <v>561</v>
      </c>
      <c r="AI295" s="3">
        <v>569</v>
      </c>
      <c r="AJ295" s="3">
        <v>578</v>
      </c>
      <c r="AK295" s="3">
        <v>586</v>
      </c>
      <c r="AL295" s="3">
        <v>582</v>
      </c>
      <c r="AM295" s="3">
        <v>579</v>
      </c>
      <c r="AN295" s="3">
        <v>607</v>
      </c>
      <c r="AO295" s="3">
        <v>634</v>
      </c>
      <c r="AP295" s="3">
        <v>662</v>
      </c>
      <c r="AR295" s="4">
        <v>63.107721639656816</v>
      </c>
      <c r="AS295" s="5">
        <f t="shared" si="42"/>
        <v>2.298050139275766</v>
      </c>
      <c r="AT295" s="5">
        <f t="shared" si="43"/>
        <v>2.0130718954248366</v>
      </c>
      <c r="AU295" s="5">
        <f t="shared" si="44"/>
        <v>1.0358565737051793</v>
      </c>
      <c r="AV295" s="5">
        <f t="shared" si="45"/>
        <v>1.9494584837545126</v>
      </c>
      <c r="AW295" s="5">
        <f t="shared" si="46"/>
        <v>2.3431099459282319</v>
      </c>
      <c r="AX295" s="5">
        <f t="shared" si="47"/>
        <v>1.593625498007968</v>
      </c>
      <c r="AY295" s="5">
        <f t="shared" si="48"/>
        <v>2.2811111947602201</v>
      </c>
      <c r="AZ295">
        <f t="shared" si="49"/>
        <v>10480000</v>
      </c>
      <c r="BA295">
        <v>0</v>
      </c>
      <c r="BB295">
        <v>320000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1290000</v>
      </c>
      <c r="BN295">
        <v>1980000</v>
      </c>
      <c r="BO295">
        <v>0</v>
      </c>
      <c r="BP295">
        <v>10000</v>
      </c>
      <c r="BQ295">
        <v>1270000</v>
      </c>
      <c r="BR295">
        <v>5040000</v>
      </c>
      <c r="BS295">
        <v>570000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T295">
        <v>2.86259541984733</v>
      </c>
      <c r="CU295">
        <v>30.343511450381719</v>
      </c>
      <c r="CV295">
        <v>66.793893129770979</v>
      </c>
      <c r="CW295">
        <v>0</v>
      </c>
      <c r="CX295">
        <v>0</v>
      </c>
      <c r="CY295">
        <v>2.86259541984733</v>
      </c>
      <c r="CZ295">
        <v>31.202290076335899</v>
      </c>
      <c r="DA295">
        <v>65.935114503816777</v>
      </c>
      <c r="DB295">
        <v>0</v>
      </c>
      <c r="DC295">
        <v>0</v>
      </c>
      <c r="DD295">
        <v>3.0534351145038201</v>
      </c>
      <c r="DE295">
        <v>31.202290076335899</v>
      </c>
      <c r="DF295">
        <v>65.744274809160316</v>
      </c>
      <c r="DG295">
        <v>0</v>
      </c>
      <c r="DH295">
        <v>0</v>
      </c>
      <c r="DI295">
        <v>3.0534351145038201</v>
      </c>
      <c r="DJ295">
        <v>31.202290076335899</v>
      </c>
      <c r="DK295">
        <v>65.744274809160316</v>
      </c>
      <c r="DL295">
        <v>0</v>
      </c>
      <c r="DM295">
        <v>0</v>
      </c>
      <c r="DN295">
        <v>3.0534351145038201</v>
      </c>
      <c r="DO295">
        <v>31.202290076335899</v>
      </c>
      <c r="DP295">
        <v>65.744274809160316</v>
      </c>
      <c r="DQ295">
        <v>0</v>
      </c>
      <c r="DR295">
        <v>0</v>
      </c>
      <c r="DS295" t="s">
        <v>768</v>
      </c>
      <c r="DT295" t="s">
        <v>768</v>
      </c>
      <c r="DU295" t="s">
        <v>768</v>
      </c>
      <c r="DV295" t="s">
        <v>768</v>
      </c>
      <c r="DW295" t="s">
        <v>768</v>
      </c>
      <c r="DX295" t="s">
        <v>768</v>
      </c>
      <c r="DY295" t="s">
        <v>768</v>
      </c>
      <c r="DZ295" t="s">
        <v>768</v>
      </c>
      <c r="EA295" t="s">
        <v>768</v>
      </c>
      <c r="EB295" t="s">
        <v>768</v>
      </c>
      <c r="EC295" t="s">
        <v>768</v>
      </c>
      <c r="ED295" t="s">
        <v>909</v>
      </c>
      <c r="EE295" t="s">
        <v>910</v>
      </c>
      <c r="EF295" t="s">
        <v>753</v>
      </c>
      <c r="EG295" t="s">
        <v>754</v>
      </c>
    </row>
    <row r="296" spans="1:137" ht="14.55" customHeight="1" x14ac:dyDescent="0.3">
      <c r="A296" t="s">
        <v>998</v>
      </c>
      <c r="B296">
        <v>74074</v>
      </c>
      <c r="C296" t="s">
        <v>999</v>
      </c>
      <c r="D296" t="s">
        <v>543</v>
      </c>
      <c r="E296" t="s">
        <v>879</v>
      </c>
      <c r="F296" t="s">
        <v>742</v>
      </c>
      <c r="G296" t="s">
        <v>913</v>
      </c>
      <c r="H296" s="3">
        <v>5383623.4493000004</v>
      </c>
      <c r="I296">
        <v>538</v>
      </c>
      <c r="J296" s="3">
        <v>538.36234493000006</v>
      </c>
      <c r="K296">
        <v>333</v>
      </c>
      <c r="L296">
        <v>928</v>
      </c>
      <c r="M296">
        <v>529.93063085263702</v>
      </c>
      <c r="N296">
        <v>155.48936641664901</v>
      </c>
      <c r="O296">
        <v>0</v>
      </c>
      <c r="P296">
        <v>49.815235137939503</v>
      </c>
      <c r="Q296">
        <v>13.1204509735107</v>
      </c>
      <c r="R296">
        <v>10.3225145339966</v>
      </c>
      <c r="S296" t="s">
        <v>881</v>
      </c>
      <c r="T296" t="s">
        <v>1000</v>
      </c>
      <c r="U296" t="s">
        <v>999</v>
      </c>
      <c r="V296" t="s">
        <v>999</v>
      </c>
      <c r="W296" s="3">
        <v>545</v>
      </c>
      <c r="X296" s="3">
        <v>5380000</v>
      </c>
      <c r="Y296">
        <v>3</v>
      </c>
      <c r="Z296" s="3">
        <v>203</v>
      </c>
      <c r="AA296" s="3">
        <v>221</v>
      </c>
      <c r="AB296" s="3">
        <v>306</v>
      </c>
      <c r="AC296" s="3">
        <v>350</v>
      </c>
      <c r="AD296" s="3">
        <v>356</v>
      </c>
      <c r="AE296" s="3">
        <v>385</v>
      </c>
      <c r="AF296" s="3">
        <v>395</v>
      </c>
      <c r="AG296" s="3">
        <v>411</v>
      </c>
      <c r="AH296" s="3">
        <v>425</v>
      </c>
      <c r="AI296" s="3">
        <v>439</v>
      </c>
      <c r="AJ296" s="3">
        <v>442</v>
      </c>
      <c r="AK296" s="3">
        <v>464</v>
      </c>
      <c r="AL296" s="3">
        <v>489</v>
      </c>
      <c r="AM296" s="3">
        <v>517</v>
      </c>
      <c r="AN296" s="3">
        <v>545</v>
      </c>
      <c r="AO296" s="3">
        <v>600</v>
      </c>
      <c r="AP296" s="3">
        <v>626</v>
      </c>
      <c r="AQ296" s="3">
        <v>677</v>
      </c>
      <c r="AR296" s="4">
        <v>116.35687732342008</v>
      </c>
      <c r="AS296" s="5">
        <f t="shared" si="42"/>
        <v>1.1083743842364533</v>
      </c>
      <c r="AT296" s="5">
        <f t="shared" si="43"/>
        <v>4.2735042735042734</v>
      </c>
      <c r="AU296" s="5">
        <f t="shared" si="44"/>
        <v>2.9084967320261437</v>
      </c>
      <c r="AV296" s="5">
        <f t="shared" si="45"/>
        <v>5.8481012658227849</v>
      </c>
      <c r="AW296" s="5">
        <f t="shared" si="46"/>
        <v>2.9846421327151553</v>
      </c>
      <c r="AX296" s="5">
        <f t="shared" si="47"/>
        <v>5.2287581699346406</v>
      </c>
      <c r="AY296" s="5">
        <f t="shared" si="48"/>
        <v>5.6317401144987356</v>
      </c>
      <c r="AZ296">
        <f t="shared" si="49"/>
        <v>5390000</v>
      </c>
      <c r="BA296">
        <v>0</v>
      </c>
      <c r="BB296">
        <v>260000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1440000</v>
      </c>
      <c r="BK296">
        <v>0</v>
      </c>
      <c r="BL296">
        <v>0</v>
      </c>
      <c r="BM296">
        <v>0</v>
      </c>
      <c r="BN296">
        <v>0</v>
      </c>
      <c r="BO296">
        <v>1210000</v>
      </c>
      <c r="BP296">
        <v>2370000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110000</v>
      </c>
      <c r="CA296">
        <v>0</v>
      </c>
      <c r="CT296">
        <v>0</v>
      </c>
      <c r="CU296">
        <v>53.9888682745826</v>
      </c>
      <c r="CV296">
        <v>45.6400742115028</v>
      </c>
      <c r="CW296">
        <v>0</v>
      </c>
      <c r="CX296">
        <v>0.37105751391465702</v>
      </c>
      <c r="CY296">
        <v>4.8237476808905404</v>
      </c>
      <c r="CZ296">
        <v>49.165120593692102</v>
      </c>
      <c r="DA296">
        <v>43.970315398886797</v>
      </c>
      <c r="DB296">
        <v>0</v>
      </c>
      <c r="DC296">
        <v>2.0408163265306101</v>
      </c>
      <c r="DD296">
        <v>4.8237476808905404</v>
      </c>
      <c r="DE296">
        <v>49.165120593691995</v>
      </c>
      <c r="DF296">
        <v>43.970315398886797</v>
      </c>
      <c r="DG296">
        <v>0</v>
      </c>
      <c r="DH296">
        <v>2.0408163265306101</v>
      </c>
      <c r="DI296">
        <v>4.8237476808905404</v>
      </c>
      <c r="DJ296">
        <v>49.165120593691995</v>
      </c>
      <c r="DK296">
        <v>43.970315398886797</v>
      </c>
      <c r="DL296">
        <v>0</v>
      </c>
      <c r="DM296">
        <v>2.0408163265306101</v>
      </c>
      <c r="DN296">
        <v>4.8237476808905404</v>
      </c>
      <c r="DO296">
        <v>49.165120593691995</v>
      </c>
      <c r="DP296">
        <v>43.970315398886797</v>
      </c>
      <c r="DQ296">
        <v>0</v>
      </c>
      <c r="DR296">
        <v>2.0408163265306101</v>
      </c>
      <c r="DS296" t="s">
        <v>312</v>
      </c>
      <c r="DT296" t="s">
        <v>313</v>
      </c>
      <c r="DU296">
        <v>638</v>
      </c>
      <c r="DV296" t="s">
        <v>547</v>
      </c>
      <c r="DW296" t="s">
        <v>548</v>
      </c>
      <c r="DX296">
        <v>86</v>
      </c>
      <c r="DY296">
        <v>130</v>
      </c>
      <c r="DZ296">
        <v>216</v>
      </c>
      <c r="EA296">
        <v>606779</v>
      </c>
      <c r="EB296">
        <v>388178</v>
      </c>
      <c r="EC296">
        <v>994957</v>
      </c>
      <c r="ED296" t="s">
        <v>1001</v>
      </c>
      <c r="EE296" t="s">
        <v>1002</v>
      </c>
      <c r="EF296" t="s">
        <v>746</v>
      </c>
      <c r="EG296" t="s">
        <v>760</v>
      </c>
    </row>
    <row r="297" spans="1:137" ht="14.55" customHeight="1" x14ac:dyDescent="0.3">
      <c r="A297" t="s">
        <v>1003</v>
      </c>
      <c r="B297">
        <v>74082</v>
      </c>
      <c r="C297" t="s">
        <v>1004</v>
      </c>
      <c r="D297" t="s">
        <v>543</v>
      </c>
      <c r="E297" t="s">
        <v>879</v>
      </c>
      <c r="F297" t="s">
        <v>742</v>
      </c>
      <c r="G297" t="s">
        <v>913</v>
      </c>
      <c r="H297" s="3">
        <v>6113307.5861799996</v>
      </c>
      <c r="I297">
        <v>612</v>
      </c>
      <c r="J297" s="3">
        <v>611.330758618</v>
      </c>
      <c r="K297">
        <v>458</v>
      </c>
      <c r="L297">
        <v>1299</v>
      </c>
      <c r="M297">
        <v>769.795770065076</v>
      </c>
      <c r="N297">
        <v>259.855960525672</v>
      </c>
      <c r="O297">
        <v>0</v>
      </c>
      <c r="P297">
        <v>67.366447448730497</v>
      </c>
      <c r="Q297">
        <v>15.355160713195801</v>
      </c>
      <c r="R297">
        <v>13.4151201248169</v>
      </c>
      <c r="S297" t="s">
        <v>881</v>
      </c>
      <c r="T297" t="s">
        <v>1005</v>
      </c>
      <c r="U297" t="s">
        <v>1004</v>
      </c>
      <c r="V297" t="s">
        <v>1004</v>
      </c>
      <c r="W297" s="3">
        <v>3979</v>
      </c>
      <c r="X297" s="3">
        <v>6120000</v>
      </c>
      <c r="Y297">
        <v>2</v>
      </c>
      <c r="Z297" s="3">
        <v>2519</v>
      </c>
      <c r="AA297" s="3">
        <v>2696</v>
      </c>
      <c r="AB297" s="3">
        <v>3120</v>
      </c>
      <c r="AC297" s="3">
        <v>3514</v>
      </c>
      <c r="AD297" s="3">
        <v>3569</v>
      </c>
      <c r="AE297" s="3">
        <v>3568</v>
      </c>
      <c r="AF297" s="3">
        <v>3572</v>
      </c>
      <c r="AG297" s="3">
        <v>3667</v>
      </c>
      <c r="AH297" s="3">
        <v>3777</v>
      </c>
      <c r="AI297" s="3">
        <v>3887</v>
      </c>
      <c r="AJ297" s="3">
        <v>3884</v>
      </c>
      <c r="AK297" s="3">
        <v>3906</v>
      </c>
      <c r="AL297" s="3">
        <v>3938</v>
      </c>
      <c r="AM297" s="3">
        <v>3958</v>
      </c>
      <c r="AN297" s="3">
        <v>3979</v>
      </c>
      <c r="AO297" s="3">
        <v>3952</v>
      </c>
      <c r="AP297" s="3">
        <v>3948</v>
      </c>
      <c r="AQ297" s="3">
        <v>3919</v>
      </c>
      <c r="AR297" s="4">
        <v>645.0980392156863</v>
      </c>
      <c r="AS297" s="5">
        <f t="shared" si="42"/>
        <v>0.8783247320365225</v>
      </c>
      <c r="AT297" s="5">
        <f t="shared" si="43"/>
        <v>1.7474447741510055</v>
      </c>
      <c r="AU297" s="5">
        <f t="shared" si="44"/>
        <v>1.4487179487179489</v>
      </c>
      <c r="AV297" s="5">
        <f t="shared" si="45"/>
        <v>1.0526315789473684</v>
      </c>
      <c r="AW297" s="5">
        <f t="shared" si="46"/>
        <v>1.4034514162949816</v>
      </c>
      <c r="AX297" s="5">
        <f t="shared" si="47"/>
        <v>1.3269230769230769</v>
      </c>
      <c r="AY297" s="5">
        <f t="shared" si="48"/>
        <v>1.533212450243018</v>
      </c>
      <c r="AZ297">
        <f t="shared" si="49"/>
        <v>6140000</v>
      </c>
      <c r="BA297">
        <v>0</v>
      </c>
      <c r="BB297">
        <v>2160000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330000</v>
      </c>
      <c r="BK297">
        <v>0</v>
      </c>
      <c r="BL297">
        <v>0</v>
      </c>
      <c r="BM297">
        <v>180000</v>
      </c>
      <c r="BN297">
        <v>180000</v>
      </c>
      <c r="BO297">
        <v>0</v>
      </c>
      <c r="BP297">
        <v>2380000</v>
      </c>
      <c r="BQ297">
        <v>0</v>
      </c>
      <c r="BR297">
        <v>20000</v>
      </c>
      <c r="BS297">
        <v>650000</v>
      </c>
      <c r="BT297">
        <v>0</v>
      </c>
      <c r="BU297">
        <v>0</v>
      </c>
      <c r="BV297">
        <v>0</v>
      </c>
      <c r="BW297">
        <v>240000</v>
      </c>
      <c r="BX297">
        <v>0</v>
      </c>
      <c r="BY297">
        <v>0</v>
      </c>
      <c r="BZ297">
        <v>0</v>
      </c>
      <c r="CA297">
        <v>0</v>
      </c>
      <c r="CT297">
        <v>27.524429967426698</v>
      </c>
      <c r="CU297">
        <v>18.892508143322519</v>
      </c>
      <c r="CV297">
        <v>53.583061889250835</v>
      </c>
      <c r="CW297">
        <v>0</v>
      </c>
      <c r="CX297">
        <v>0</v>
      </c>
      <c r="CY297">
        <v>33.224755700325701</v>
      </c>
      <c r="CZ297">
        <v>13.19218241042346</v>
      </c>
      <c r="DA297">
        <v>53.583061889250835</v>
      </c>
      <c r="DB297">
        <v>0</v>
      </c>
      <c r="DC297">
        <v>0</v>
      </c>
      <c r="DD297">
        <v>33.713355048859903</v>
      </c>
      <c r="DE297">
        <v>12.703583061889249</v>
      </c>
      <c r="DF297">
        <v>53.583061889250821</v>
      </c>
      <c r="DG297">
        <v>0</v>
      </c>
      <c r="DH297">
        <v>0</v>
      </c>
      <c r="DI297">
        <v>35.179153094462499</v>
      </c>
      <c r="DJ297">
        <v>11.23778501628664</v>
      </c>
      <c r="DK297">
        <v>53.583061889250821</v>
      </c>
      <c r="DL297">
        <v>0</v>
      </c>
      <c r="DM297">
        <v>0</v>
      </c>
      <c r="DN297">
        <v>35.179153094462499</v>
      </c>
      <c r="DO297">
        <v>11.23778501628664</v>
      </c>
      <c r="DP297">
        <v>53.583061889250821</v>
      </c>
      <c r="DQ297">
        <v>0</v>
      </c>
      <c r="DR297">
        <v>0</v>
      </c>
      <c r="DS297" t="s">
        <v>312</v>
      </c>
      <c r="DT297" t="s">
        <v>313</v>
      </c>
      <c r="DU297">
        <v>3973</v>
      </c>
      <c r="DV297" t="s">
        <v>547</v>
      </c>
      <c r="DW297" t="s">
        <v>548</v>
      </c>
      <c r="DX297">
        <v>86</v>
      </c>
      <c r="DY297">
        <v>130</v>
      </c>
      <c r="DZ297">
        <v>216</v>
      </c>
      <c r="EA297">
        <v>606779</v>
      </c>
      <c r="EB297">
        <v>388178</v>
      </c>
      <c r="EC297">
        <v>994957</v>
      </c>
      <c r="ED297" t="s">
        <v>807</v>
      </c>
      <c r="EE297" t="s">
        <v>808</v>
      </c>
      <c r="EF297" t="s">
        <v>746</v>
      </c>
      <c r="EG297" t="s">
        <v>760</v>
      </c>
    </row>
    <row r="298" spans="1:137" ht="14.55" customHeight="1" x14ac:dyDescent="0.3">
      <c r="A298" t="s">
        <v>1006</v>
      </c>
      <c r="B298">
        <v>74087</v>
      </c>
      <c r="C298" t="s">
        <v>1007</v>
      </c>
      <c r="D298" t="s">
        <v>543</v>
      </c>
      <c r="E298" t="s">
        <v>879</v>
      </c>
      <c r="F298" t="s">
        <v>742</v>
      </c>
      <c r="G298" t="s">
        <v>917</v>
      </c>
      <c r="H298" s="3">
        <v>6737043.0922999997</v>
      </c>
      <c r="I298">
        <v>675</v>
      </c>
      <c r="J298" s="3">
        <v>673.70430922999992</v>
      </c>
      <c r="K298">
        <v>421</v>
      </c>
      <c r="L298">
        <v>704</v>
      </c>
      <c r="M298">
        <v>498.466253443526</v>
      </c>
      <c r="N298">
        <v>65.888115355304393</v>
      </c>
      <c r="O298">
        <v>0</v>
      </c>
      <c r="P298">
        <v>31.226188659668001</v>
      </c>
      <c r="Q298">
        <v>5.9886894226074201</v>
      </c>
      <c r="R298">
        <v>3.9026465415954599</v>
      </c>
      <c r="S298" t="s">
        <v>881</v>
      </c>
      <c r="T298" t="s">
        <v>1008</v>
      </c>
      <c r="U298" t="s">
        <v>1007</v>
      </c>
      <c r="V298" t="s">
        <v>1007</v>
      </c>
      <c r="W298" s="3">
        <v>2083</v>
      </c>
      <c r="X298" s="3">
        <v>6740000</v>
      </c>
      <c r="Y298">
        <v>2</v>
      </c>
      <c r="Z298" s="3">
        <v>882</v>
      </c>
      <c r="AA298" s="3">
        <v>1125</v>
      </c>
      <c r="AB298" s="3">
        <v>1343</v>
      </c>
      <c r="AC298" s="3">
        <v>1512</v>
      </c>
      <c r="AD298" s="3">
        <v>1537</v>
      </c>
      <c r="AE298" s="3">
        <v>1572</v>
      </c>
      <c r="AF298" s="3">
        <v>1586</v>
      </c>
      <c r="AG298" s="3">
        <v>1593</v>
      </c>
      <c r="AH298" s="3">
        <v>1599</v>
      </c>
      <c r="AI298" s="3">
        <v>1709</v>
      </c>
      <c r="AJ298" s="3">
        <v>1738</v>
      </c>
      <c r="AK298" s="3">
        <v>1834</v>
      </c>
      <c r="AL298" s="3">
        <v>1940</v>
      </c>
      <c r="AM298" s="3">
        <v>2046</v>
      </c>
      <c r="AN298" s="3">
        <v>2083</v>
      </c>
      <c r="AO298" s="3">
        <v>2091</v>
      </c>
      <c r="AP298" s="3">
        <v>2204</v>
      </c>
      <c r="AQ298" s="3">
        <v>2315</v>
      </c>
      <c r="AR298" s="4">
        <v>327.00296735905044</v>
      </c>
      <c r="AS298" s="5">
        <f t="shared" si="42"/>
        <v>3.4438775510204076</v>
      </c>
      <c r="AT298" s="5">
        <f t="shared" si="43"/>
        <v>2.1530864197530866</v>
      </c>
      <c r="AU298" s="5">
        <f t="shared" si="44"/>
        <v>1.8093819806403573</v>
      </c>
      <c r="AV298" s="5">
        <f t="shared" si="45"/>
        <v>3.8965952080706177</v>
      </c>
      <c r="AW298" s="5">
        <f t="shared" si="46"/>
        <v>3.0745631585967717</v>
      </c>
      <c r="AX298" s="5">
        <f t="shared" si="47"/>
        <v>3.2055100521221145</v>
      </c>
      <c r="AY298" s="5">
        <f t="shared" si="48"/>
        <v>4.0509897652754798</v>
      </c>
      <c r="AZ298">
        <f t="shared" si="49"/>
        <v>6760000</v>
      </c>
      <c r="BA298">
        <v>0</v>
      </c>
      <c r="BB298">
        <v>550000</v>
      </c>
      <c r="BC298">
        <v>490000</v>
      </c>
      <c r="BD298">
        <v>160000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3370000</v>
      </c>
      <c r="BN298">
        <v>840000</v>
      </c>
      <c r="BO298">
        <v>720000</v>
      </c>
      <c r="BP298">
        <v>460000</v>
      </c>
      <c r="BQ298">
        <v>50000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20000</v>
      </c>
      <c r="BZ298">
        <v>100000</v>
      </c>
      <c r="CA298">
        <v>0</v>
      </c>
      <c r="CT298">
        <v>12.1301775147929</v>
      </c>
      <c r="CU298">
        <v>77.514792899408306</v>
      </c>
      <c r="CV298">
        <v>8.57988165680473</v>
      </c>
      <c r="CW298">
        <v>0.29585798816567999</v>
      </c>
      <c r="CX298">
        <v>1.4792899408283999</v>
      </c>
      <c r="CY298">
        <v>12.869822485207099</v>
      </c>
      <c r="CZ298">
        <v>76.775147928994102</v>
      </c>
      <c r="DA298">
        <v>8.57988165680473</v>
      </c>
      <c r="DB298">
        <v>0.29585798816567999</v>
      </c>
      <c r="DC298">
        <v>1.4792899408283999</v>
      </c>
      <c r="DD298">
        <v>14.201183431952661</v>
      </c>
      <c r="DE298">
        <v>76.479289940828394</v>
      </c>
      <c r="DF298">
        <v>7.5443786982248504</v>
      </c>
      <c r="DG298">
        <v>0.29585798816567999</v>
      </c>
      <c r="DH298">
        <v>1.4792899408283999</v>
      </c>
      <c r="DI298">
        <v>17.751479289940832</v>
      </c>
      <c r="DJ298">
        <v>72.928994082840305</v>
      </c>
      <c r="DK298">
        <v>7.5443786982248504</v>
      </c>
      <c r="DL298">
        <v>0.29585798816567999</v>
      </c>
      <c r="DM298">
        <v>1.4792899408283999</v>
      </c>
      <c r="DN298">
        <v>17.751479289940832</v>
      </c>
      <c r="DO298">
        <v>72.928994082840305</v>
      </c>
      <c r="DP298">
        <v>7.5443786982248504</v>
      </c>
      <c r="DQ298">
        <v>0.29585798816567999</v>
      </c>
      <c r="DR298">
        <v>1.4792899408283999</v>
      </c>
      <c r="DS298" t="s">
        <v>312</v>
      </c>
      <c r="DT298" t="s">
        <v>313</v>
      </c>
      <c r="DU298">
        <v>2256</v>
      </c>
      <c r="DV298" t="s">
        <v>547</v>
      </c>
      <c r="DW298" t="s">
        <v>548</v>
      </c>
      <c r="DX298">
        <v>86</v>
      </c>
      <c r="DY298">
        <v>130</v>
      </c>
      <c r="DZ298">
        <v>216</v>
      </c>
      <c r="EA298">
        <v>606779</v>
      </c>
      <c r="EB298">
        <v>388178</v>
      </c>
      <c r="EC298">
        <v>994957</v>
      </c>
      <c r="ED298" t="s">
        <v>807</v>
      </c>
      <c r="EE298" t="s">
        <v>808</v>
      </c>
      <c r="EF298" t="s">
        <v>746</v>
      </c>
      <c r="EG298" t="s">
        <v>760</v>
      </c>
    </row>
    <row r="299" spans="1:137" ht="14.55" customHeight="1" x14ac:dyDescent="0.3">
      <c r="A299" t="s">
        <v>1009</v>
      </c>
      <c r="B299">
        <v>74090</v>
      </c>
      <c r="C299" t="s">
        <v>1010</v>
      </c>
      <c r="D299" t="s">
        <v>543</v>
      </c>
      <c r="E299" t="s">
        <v>879</v>
      </c>
      <c r="F299" t="s">
        <v>742</v>
      </c>
      <c r="G299" t="s">
        <v>892</v>
      </c>
      <c r="H299" s="3">
        <v>6813463.6854600003</v>
      </c>
      <c r="I299">
        <v>681</v>
      </c>
      <c r="J299" s="3">
        <v>681.34636854600001</v>
      </c>
      <c r="K299">
        <v>448</v>
      </c>
      <c r="L299">
        <v>913</v>
      </c>
      <c r="M299">
        <v>582.73998054474703</v>
      </c>
      <c r="N299">
        <v>123.465222173618</v>
      </c>
      <c r="O299">
        <v>0</v>
      </c>
      <c r="P299">
        <v>23.880252838134801</v>
      </c>
      <c r="Q299">
        <v>5.3341822624206499</v>
      </c>
      <c r="R299">
        <v>3.51163649559021</v>
      </c>
      <c r="S299" t="s">
        <v>881</v>
      </c>
      <c r="T299" t="s">
        <v>1011</v>
      </c>
      <c r="U299" t="s">
        <v>1010</v>
      </c>
      <c r="V299" t="s">
        <v>1010</v>
      </c>
      <c r="W299" s="3">
        <v>1333</v>
      </c>
      <c r="X299" s="3">
        <v>6800000</v>
      </c>
      <c r="Y299">
        <v>3</v>
      </c>
      <c r="Z299" s="3">
        <v>616</v>
      </c>
      <c r="AA299" s="3">
        <v>763</v>
      </c>
      <c r="AB299" s="3">
        <v>936</v>
      </c>
      <c r="AC299" s="3">
        <v>1026</v>
      </c>
      <c r="AD299" s="3">
        <v>1039</v>
      </c>
      <c r="AE299" s="3">
        <v>1081</v>
      </c>
      <c r="AF299" s="3">
        <v>1210</v>
      </c>
      <c r="AG299" s="3">
        <v>1203</v>
      </c>
      <c r="AH299" s="3">
        <v>1195</v>
      </c>
      <c r="AI299" s="3">
        <v>1187</v>
      </c>
      <c r="AJ299" s="3">
        <v>1226</v>
      </c>
      <c r="AK299" s="3">
        <v>1247</v>
      </c>
      <c r="AL299" s="3">
        <v>1276</v>
      </c>
      <c r="AM299" s="3">
        <v>1304</v>
      </c>
      <c r="AN299" s="3">
        <v>1333</v>
      </c>
      <c r="AO299" s="3">
        <v>1328</v>
      </c>
      <c r="AP299" s="3">
        <v>1385</v>
      </c>
      <c r="AQ299" s="3">
        <v>1428</v>
      </c>
      <c r="AR299" s="4">
        <v>203.6764705882353</v>
      </c>
      <c r="AS299" s="5">
        <f t="shared" si="42"/>
        <v>2.9829545454545454</v>
      </c>
      <c r="AT299" s="5">
        <f t="shared" si="43"/>
        <v>2.5192951798456384</v>
      </c>
      <c r="AU299" s="5">
        <f t="shared" si="44"/>
        <v>2.9273504273504272</v>
      </c>
      <c r="AV299" s="5">
        <f t="shared" si="45"/>
        <v>1.446280991735537</v>
      </c>
      <c r="AW299" s="5">
        <f t="shared" si="46"/>
        <v>3.0557677616501144</v>
      </c>
      <c r="AX299" s="5">
        <f t="shared" si="47"/>
        <v>2.3985042735042739</v>
      </c>
      <c r="AY299" s="5">
        <f t="shared" si="48"/>
        <v>3.3739908739908739</v>
      </c>
      <c r="AZ299">
        <f t="shared" si="49"/>
        <v>6780000</v>
      </c>
      <c r="BA299">
        <v>0</v>
      </c>
      <c r="BB299">
        <v>570000</v>
      </c>
      <c r="BC299">
        <v>350000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1670000</v>
      </c>
      <c r="BN299">
        <v>1510000</v>
      </c>
      <c r="BO299">
        <v>1620000</v>
      </c>
      <c r="BP299">
        <v>720000</v>
      </c>
      <c r="BQ299">
        <v>0</v>
      </c>
      <c r="BR299">
        <v>340000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T299">
        <v>2.65486725663717</v>
      </c>
      <c r="CU299">
        <v>81.563421828908574</v>
      </c>
      <c r="CV299">
        <v>15.781710914454299</v>
      </c>
      <c r="CW299">
        <v>0</v>
      </c>
      <c r="CX299">
        <v>0</v>
      </c>
      <c r="CY299">
        <v>7.2271386430678497</v>
      </c>
      <c r="CZ299">
        <v>76.991150442477803</v>
      </c>
      <c r="DA299">
        <v>15.781710914454299</v>
      </c>
      <c r="DB299">
        <v>0</v>
      </c>
      <c r="DC299">
        <v>0</v>
      </c>
      <c r="DD299">
        <v>7.8171091445427798</v>
      </c>
      <c r="DE299">
        <v>76.548672566371692</v>
      </c>
      <c r="DF299">
        <v>15.634218289085499</v>
      </c>
      <c r="DG299">
        <v>0</v>
      </c>
      <c r="DH299">
        <v>0</v>
      </c>
      <c r="DI299">
        <v>13.56932153392331</v>
      </c>
      <c r="DJ299">
        <v>70.796460176991204</v>
      </c>
      <c r="DK299">
        <v>15.634218289085499</v>
      </c>
      <c r="DL299">
        <v>0</v>
      </c>
      <c r="DM299">
        <v>0</v>
      </c>
      <c r="DN299">
        <v>13.56932153392331</v>
      </c>
      <c r="DO299">
        <v>70.796460176991204</v>
      </c>
      <c r="DP299">
        <v>15.634218289085499</v>
      </c>
      <c r="DQ299">
        <v>0</v>
      </c>
      <c r="DR299">
        <v>0</v>
      </c>
      <c r="DS299" t="s">
        <v>312</v>
      </c>
      <c r="DT299" t="s">
        <v>313</v>
      </c>
      <c r="DU299">
        <v>1385</v>
      </c>
      <c r="DV299" t="s">
        <v>547</v>
      </c>
      <c r="DW299" t="s">
        <v>548</v>
      </c>
      <c r="DX299">
        <v>86</v>
      </c>
      <c r="DY299">
        <v>130</v>
      </c>
      <c r="DZ299">
        <v>216</v>
      </c>
      <c r="EA299">
        <v>606779</v>
      </c>
      <c r="EB299">
        <v>388178</v>
      </c>
      <c r="EC299">
        <v>994957</v>
      </c>
      <c r="ED299" t="s">
        <v>894</v>
      </c>
      <c r="EE299" t="s">
        <v>895</v>
      </c>
      <c r="EF299" t="s">
        <v>746</v>
      </c>
      <c r="EG299" t="s">
        <v>760</v>
      </c>
    </row>
    <row r="300" spans="1:137" ht="14.55" customHeight="1" x14ac:dyDescent="0.3">
      <c r="A300" t="s">
        <v>1012</v>
      </c>
      <c r="B300">
        <v>74091</v>
      </c>
      <c r="C300" t="s">
        <v>1013</v>
      </c>
      <c r="D300" t="s">
        <v>878</v>
      </c>
      <c r="E300" t="s">
        <v>879</v>
      </c>
      <c r="F300" t="s">
        <v>742</v>
      </c>
      <c r="G300" t="s">
        <v>880</v>
      </c>
      <c r="H300" s="3">
        <v>12182873.1018</v>
      </c>
      <c r="I300">
        <v>1222</v>
      </c>
      <c r="J300" s="3">
        <v>1218.2873101800001</v>
      </c>
      <c r="K300">
        <v>940</v>
      </c>
      <c r="L300">
        <v>2190</v>
      </c>
      <c r="M300">
        <v>1509.9045676998401</v>
      </c>
      <c r="N300">
        <v>242.26095246107499</v>
      </c>
      <c r="O300">
        <v>0.33761471509933499</v>
      </c>
      <c r="P300">
        <v>63.640327453613303</v>
      </c>
      <c r="Q300">
        <v>22.232213973998999</v>
      </c>
      <c r="R300">
        <v>9.2810459136962908</v>
      </c>
      <c r="S300" t="s">
        <v>881</v>
      </c>
      <c r="T300" t="s">
        <v>1014</v>
      </c>
      <c r="U300" t="s">
        <v>1013</v>
      </c>
      <c r="V300" t="s">
        <v>1013</v>
      </c>
      <c r="W300" s="3">
        <v>339</v>
      </c>
      <c r="X300" s="3">
        <v>12180000</v>
      </c>
      <c r="Y300">
        <v>3</v>
      </c>
      <c r="Z300" s="3">
        <v>153</v>
      </c>
      <c r="AA300" s="3">
        <v>160</v>
      </c>
      <c r="AB300" s="3">
        <v>176</v>
      </c>
      <c r="AC300" s="3">
        <v>226</v>
      </c>
      <c r="AD300" s="3">
        <v>241</v>
      </c>
      <c r="AE300" s="3">
        <v>256</v>
      </c>
      <c r="AF300" s="3">
        <v>271</v>
      </c>
      <c r="AG300" s="3">
        <v>265</v>
      </c>
      <c r="AH300" s="3">
        <v>267</v>
      </c>
      <c r="AI300" s="3">
        <v>285</v>
      </c>
      <c r="AJ300" s="3">
        <v>303</v>
      </c>
      <c r="AK300" s="3">
        <v>321</v>
      </c>
      <c r="AL300" s="3">
        <v>323</v>
      </c>
      <c r="AM300" s="3">
        <v>327</v>
      </c>
      <c r="AN300" s="3">
        <v>339</v>
      </c>
      <c r="AO300" s="3">
        <v>350</v>
      </c>
      <c r="AP300" s="3">
        <v>362</v>
      </c>
      <c r="AR300" s="4">
        <v>29.720853858784892</v>
      </c>
      <c r="AS300" s="5">
        <f t="shared" si="42"/>
        <v>0.57189542483660127</v>
      </c>
      <c r="AT300" s="5">
        <f t="shared" si="43"/>
        <v>1.1111111111111112</v>
      </c>
      <c r="AU300" s="5">
        <f t="shared" si="44"/>
        <v>5.3977272727272725</v>
      </c>
      <c r="AV300" s="5">
        <f t="shared" si="45"/>
        <v>3.3579335793357936</v>
      </c>
      <c r="AW300" s="5">
        <f t="shared" si="46"/>
        <v>0.88427527873894651</v>
      </c>
      <c r="AX300" s="5">
        <f t="shared" si="47"/>
        <v>5.2840909090909092</v>
      </c>
      <c r="AY300" s="5">
        <f t="shared" si="48"/>
        <v>3.6919272213389864</v>
      </c>
      <c r="AZ300">
        <f t="shared" si="49"/>
        <v>12190000</v>
      </c>
      <c r="BA300">
        <v>0</v>
      </c>
      <c r="BB300">
        <v>230000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660000</v>
      </c>
      <c r="BN300">
        <v>0</v>
      </c>
      <c r="BO300">
        <v>0</v>
      </c>
      <c r="BP300">
        <v>290000</v>
      </c>
      <c r="BQ300">
        <v>2370000</v>
      </c>
      <c r="BR300">
        <v>1120000</v>
      </c>
      <c r="BS300">
        <v>5200000</v>
      </c>
      <c r="BT300">
        <v>1290000</v>
      </c>
      <c r="BU300">
        <v>0</v>
      </c>
      <c r="BV300">
        <v>0</v>
      </c>
      <c r="BW300">
        <v>690000</v>
      </c>
      <c r="BX300">
        <v>340000</v>
      </c>
      <c r="BY300">
        <v>0</v>
      </c>
      <c r="BZ300">
        <v>0</v>
      </c>
      <c r="CA300">
        <v>0</v>
      </c>
      <c r="CT300">
        <v>1.88679245283019</v>
      </c>
      <c r="CU300">
        <v>5.33223954060706</v>
      </c>
      <c r="CV300">
        <v>92.780968006562745</v>
      </c>
      <c r="CW300">
        <v>0</v>
      </c>
      <c r="CX300">
        <v>0</v>
      </c>
      <c r="CY300">
        <v>1.88679245283019</v>
      </c>
      <c r="CZ300">
        <v>5.33223954060706</v>
      </c>
      <c r="DA300">
        <v>92.780968006562702</v>
      </c>
      <c r="DB300">
        <v>0</v>
      </c>
      <c r="DC300">
        <v>0</v>
      </c>
      <c r="DD300">
        <v>1.88679245283019</v>
      </c>
      <c r="DE300">
        <v>5.4142739950779299</v>
      </c>
      <c r="DF300">
        <v>92.698933552091916</v>
      </c>
      <c r="DG300">
        <v>0</v>
      </c>
      <c r="DH300">
        <v>0</v>
      </c>
      <c r="DI300">
        <v>1.88679245283019</v>
      </c>
      <c r="DJ300">
        <v>5.4142739950779299</v>
      </c>
      <c r="DK300">
        <v>92.698933552091916</v>
      </c>
      <c r="DL300">
        <v>0</v>
      </c>
      <c r="DM300">
        <v>0</v>
      </c>
      <c r="DN300">
        <v>1.88679245283019</v>
      </c>
      <c r="DO300">
        <v>5.4142739950779299</v>
      </c>
      <c r="DP300">
        <v>92.698933552091916</v>
      </c>
      <c r="DQ300">
        <v>0</v>
      </c>
      <c r="DR300">
        <v>0</v>
      </c>
      <c r="DS300" t="s">
        <v>768</v>
      </c>
      <c r="DT300" t="s">
        <v>768</v>
      </c>
      <c r="DU300" t="s">
        <v>768</v>
      </c>
      <c r="DV300" t="s">
        <v>768</v>
      </c>
      <c r="DW300" t="s">
        <v>768</v>
      </c>
      <c r="DX300" t="s">
        <v>768</v>
      </c>
      <c r="DY300" t="s">
        <v>768</v>
      </c>
      <c r="DZ300" t="s">
        <v>768</v>
      </c>
      <c r="EA300" t="s">
        <v>768</v>
      </c>
      <c r="EB300" t="s">
        <v>768</v>
      </c>
      <c r="EC300" t="s">
        <v>768</v>
      </c>
      <c r="ED300" t="s">
        <v>1015</v>
      </c>
      <c r="EE300" t="s">
        <v>1016</v>
      </c>
      <c r="EF300" t="s">
        <v>746</v>
      </c>
      <c r="EG300" t="s">
        <v>760</v>
      </c>
    </row>
    <row r="301" spans="1:137" ht="14.55" customHeight="1" x14ac:dyDescent="0.3">
      <c r="A301" t="s">
        <v>1017</v>
      </c>
      <c r="B301">
        <v>74094</v>
      </c>
      <c r="C301" t="s">
        <v>1018</v>
      </c>
      <c r="D301" t="s">
        <v>543</v>
      </c>
      <c r="E301" t="s">
        <v>879</v>
      </c>
      <c r="F301" t="s">
        <v>742</v>
      </c>
      <c r="G301" t="s">
        <v>924</v>
      </c>
      <c r="H301" s="3">
        <v>13591265.4475</v>
      </c>
      <c r="I301">
        <v>1362</v>
      </c>
      <c r="J301" s="3">
        <v>1359.12654475</v>
      </c>
      <c r="K301">
        <v>440</v>
      </c>
      <c r="L301">
        <v>1455</v>
      </c>
      <c r="M301">
        <v>644.61533966398804</v>
      </c>
      <c r="N301">
        <v>197.18029365011299</v>
      </c>
      <c r="O301">
        <v>0</v>
      </c>
      <c r="P301">
        <v>37.3531303405762</v>
      </c>
      <c r="Q301">
        <v>7.4537715911865199</v>
      </c>
      <c r="R301">
        <v>5.36100149154663</v>
      </c>
      <c r="S301" t="s">
        <v>881</v>
      </c>
      <c r="T301" t="s">
        <v>1019</v>
      </c>
      <c r="U301" t="s">
        <v>1018</v>
      </c>
      <c r="V301" t="s">
        <v>1018</v>
      </c>
      <c r="W301" s="3">
        <v>6793</v>
      </c>
      <c r="X301" s="3">
        <v>13590000</v>
      </c>
      <c r="Y301">
        <v>2</v>
      </c>
      <c r="Z301" s="3">
        <v>2753</v>
      </c>
      <c r="AA301" s="3">
        <v>3931</v>
      </c>
      <c r="AB301" s="3">
        <v>4358</v>
      </c>
      <c r="AC301" s="3">
        <v>4973</v>
      </c>
      <c r="AD301" s="3">
        <v>5059</v>
      </c>
      <c r="AE301" s="3">
        <v>5146</v>
      </c>
      <c r="AF301" s="3">
        <v>5310</v>
      </c>
      <c r="AG301" s="3">
        <v>5349</v>
      </c>
      <c r="AH301" s="3">
        <v>5660</v>
      </c>
      <c r="AI301" s="3">
        <v>5976</v>
      </c>
      <c r="AJ301" s="3">
        <v>6292</v>
      </c>
      <c r="AK301" s="3">
        <v>6426</v>
      </c>
      <c r="AL301" s="3">
        <v>6562</v>
      </c>
      <c r="AM301" s="3">
        <v>6685</v>
      </c>
      <c r="AN301" s="3">
        <v>6793</v>
      </c>
      <c r="AO301" s="3">
        <v>6902</v>
      </c>
      <c r="AP301" s="3">
        <v>6975</v>
      </c>
      <c r="AQ301" s="3">
        <v>7182</v>
      </c>
      <c r="AR301" s="4">
        <v>513.24503311258275</v>
      </c>
      <c r="AS301" s="5">
        <f t="shared" si="42"/>
        <v>5.3487104976389395</v>
      </c>
      <c r="AT301" s="5">
        <f t="shared" si="43"/>
        <v>1.2069306650838068</v>
      </c>
      <c r="AU301" s="5">
        <f t="shared" si="44"/>
        <v>2.1844882973841213</v>
      </c>
      <c r="AV301" s="5">
        <f t="shared" si="45"/>
        <v>3.1355932203389827</v>
      </c>
      <c r="AW301" s="5">
        <f t="shared" si="46"/>
        <v>3.4294139014123632</v>
      </c>
      <c r="AX301" s="5">
        <f t="shared" si="47"/>
        <v>3.0025240936209268</v>
      </c>
      <c r="AY301" s="5">
        <f t="shared" si="48"/>
        <v>4.1448640794808611</v>
      </c>
      <c r="AZ301">
        <f t="shared" si="49"/>
        <v>13640000</v>
      </c>
      <c r="BA301">
        <v>0</v>
      </c>
      <c r="BB301">
        <v>3740000</v>
      </c>
      <c r="BC301">
        <v>350000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3000000</v>
      </c>
      <c r="BK301">
        <v>0</v>
      </c>
      <c r="BL301">
        <v>0</v>
      </c>
      <c r="BM301">
        <v>970000</v>
      </c>
      <c r="BN301">
        <v>480000</v>
      </c>
      <c r="BO301">
        <v>940000</v>
      </c>
      <c r="BP301">
        <v>2160000</v>
      </c>
      <c r="BQ301">
        <v>730000</v>
      </c>
      <c r="BR301">
        <v>620000</v>
      </c>
      <c r="BS301">
        <v>390000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260000</v>
      </c>
      <c r="BZ301">
        <v>0</v>
      </c>
      <c r="CA301">
        <v>0</v>
      </c>
      <c r="CT301">
        <v>22.360703812316672</v>
      </c>
      <c r="CU301">
        <v>46.700879765395889</v>
      </c>
      <c r="CV301">
        <v>29.032258064516103</v>
      </c>
      <c r="CW301">
        <v>1.90615835777126</v>
      </c>
      <c r="CX301">
        <v>0</v>
      </c>
      <c r="CY301">
        <v>24.999999999999972</v>
      </c>
      <c r="CZ301">
        <v>44.208211143694975</v>
      </c>
      <c r="DA301">
        <v>28.885630498533693</v>
      </c>
      <c r="DB301">
        <v>1.90615835777126</v>
      </c>
      <c r="DC301">
        <v>0</v>
      </c>
      <c r="DD301">
        <v>26.832844574780079</v>
      </c>
      <c r="DE301">
        <v>42.668621700879733</v>
      </c>
      <c r="DF301">
        <v>28.592375366568888</v>
      </c>
      <c r="DG301">
        <v>1.90615835777126</v>
      </c>
      <c r="DH301">
        <v>0</v>
      </c>
      <c r="DI301">
        <v>28.225806451612879</v>
      </c>
      <c r="DJ301">
        <v>41.275659824046926</v>
      </c>
      <c r="DK301">
        <v>28.592375366568888</v>
      </c>
      <c r="DL301">
        <v>1.90615835777126</v>
      </c>
      <c r="DM301">
        <v>0</v>
      </c>
      <c r="DN301">
        <v>29.98533724340178</v>
      </c>
      <c r="DO301">
        <v>39.516129032258029</v>
      </c>
      <c r="DP301">
        <v>28.592375366568888</v>
      </c>
      <c r="DQ301">
        <v>1.90615835777126</v>
      </c>
      <c r="DR301">
        <v>0</v>
      </c>
      <c r="DS301" t="s">
        <v>371</v>
      </c>
      <c r="DT301" t="s">
        <v>313</v>
      </c>
      <c r="DU301">
        <v>7069</v>
      </c>
      <c r="DV301" t="s">
        <v>547</v>
      </c>
      <c r="DW301" t="s">
        <v>548</v>
      </c>
      <c r="DX301">
        <v>86</v>
      </c>
      <c r="DY301">
        <v>130</v>
      </c>
      <c r="DZ301">
        <v>216</v>
      </c>
      <c r="EA301">
        <v>606779</v>
      </c>
      <c r="EB301">
        <v>388178</v>
      </c>
      <c r="EC301">
        <v>994957</v>
      </c>
      <c r="ED301" t="s">
        <v>807</v>
      </c>
      <c r="EE301" t="s">
        <v>808</v>
      </c>
      <c r="EF301" t="s">
        <v>746</v>
      </c>
      <c r="EG301" t="s">
        <v>760</v>
      </c>
    </row>
    <row r="302" spans="1:137" ht="14.55" customHeight="1" x14ac:dyDescent="0.3">
      <c r="A302" t="s">
        <v>1020</v>
      </c>
      <c r="B302">
        <v>74101</v>
      </c>
      <c r="C302" t="s">
        <v>1021</v>
      </c>
      <c r="D302" t="s">
        <v>543</v>
      </c>
      <c r="E302" t="s">
        <v>879</v>
      </c>
      <c r="F302" t="s">
        <v>742</v>
      </c>
      <c r="G302" t="s">
        <v>913</v>
      </c>
      <c r="H302" s="3">
        <v>7183798.7697599996</v>
      </c>
      <c r="I302">
        <v>717</v>
      </c>
      <c r="J302" s="3">
        <v>718.379876975</v>
      </c>
      <c r="K302">
        <v>506</v>
      </c>
      <c r="L302">
        <v>991</v>
      </c>
      <c r="M302">
        <v>641.39242843952002</v>
      </c>
      <c r="N302">
        <v>88.459147067036099</v>
      </c>
      <c r="O302">
        <v>0</v>
      </c>
      <c r="P302">
        <v>29.6407775878906</v>
      </c>
      <c r="Q302">
        <v>8.4097127914428693</v>
      </c>
      <c r="R302">
        <v>5.1072144508361799</v>
      </c>
      <c r="S302" t="s">
        <v>881</v>
      </c>
      <c r="T302" t="s">
        <v>1022</v>
      </c>
      <c r="U302" t="s">
        <v>1021</v>
      </c>
      <c r="V302" t="s">
        <v>1021</v>
      </c>
      <c r="W302" s="3">
        <v>682</v>
      </c>
      <c r="X302" s="3">
        <v>7180000</v>
      </c>
      <c r="Y302">
        <v>3</v>
      </c>
      <c r="Z302" s="3">
        <v>256</v>
      </c>
      <c r="AA302" s="3">
        <v>336</v>
      </c>
      <c r="AB302" s="3">
        <v>395</v>
      </c>
      <c r="AC302" s="3">
        <v>513</v>
      </c>
      <c r="AD302" s="3">
        <v>529</v>
      </c>
      <c r="AE302" s="3">
        <v>546</v>
      </c>
      <c r="AF302" s="3">
        <v>615</v>
      </c>
      <c r="AG302" s="3">
        <v>644</v>
      </c>
      <c r="AH302" s="3">
        <v>644</v>
      </c>
      <c r="AI302" s="3">
        <v>644</v>
      </c>
      <c r="AJ302" s="3">
        <v>644</v>
      </c>
      <c r="AK302" s="3">
        <v>644</v>
      </c>
      <c r="AL302" s="3">
        <v>643</v>
      </c>
      <c r="AM302" s="3">
        <v>662</v>
      </c>
      <c r="AN302" s="3">
        <v>682</v>
      </c>
      <c r="AO302" s="3">
        <v>701</v>
      </c>
      <c r="AP302" s="3">
        <v>709</v>
      </c>
      <c r="AQ302" s="3">
        <v>756</v>
      </c>
      <c r="AR302" s="4">
        <v>98.746518105849589</v>
      </c>
      <c r="AS302" s="5">
        <f t="shared" si="42"/>
        <v>3.90625</v>
      </c>
      <c r="AT302" s="5">
        <f t="shared" si="43"/>
        <v>1.9510582010582009</v>
      </c>
      <c r="AU302" s="5">
        <f t="shared" si="44"/>
        <v>5.5696202531645564</v>
      </c>
      <c r="AV302" s="5">
        <f t="shared" si="45"/>
        <v>1.5284552845528454</v>
      </c>
      <c r="AW302" s="5">
        <f t="shared" si="46"/>
        <v>3.1939338235294117</v>
      </c>
      <c r="AX302" s="5">
        <f t="shared" si="47"/>
        <v>3.9746835443037973</v>
      </c>
      <c r="AY302" s="5">
        <f t="shared" si="48"/>
        <v>4.7825168918918921</v>
      </c>
      <c r="AZ302">
        <f t="shared" si="49"/>
        <v>7180000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1430000</v>
      </c>
      <c r="BK302">
        <v>0</v>
      </c>
      <c r="BL302">
        <v>0</v>
      </c>
      <c r="BM302">
        <v>2450000</v>
      </c>
      <c r="BN302">
        <v>860000</v>
      </c>
      <c r="BO302">
        <v>1290000</v>
      </c>
      <c r="BP302">
        <v>1150000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T302">
        <v>0</v>
      </c>
      <c r="CU302">
        <v>83.983286908078</v>
      </c>
      <c r="CV302">
        <v>16.016713091922</v>
      </c>
      <c r="CW302">
        <v>0</v>
      </c>
      <c r="CX302">
        <v>0</v>
      </c>
      <c r="CY302">
        <v>0</v>
      </c>
      <c r="CZ302">
        <v>83.983286908078</v>
      </c>
      <c r="DA302">
        <v>16.016713091922</v>
      </c>
      <c r="DB302">
        <v>0</v>
      </c>
      <c r="DC302">
        <v>0</v>
      </c>
      <c r="DD302">
        <v>0</v>
      </c>
      <c r="DE302">
        <v>83.983286908078</v>
      </c>
      <c r="DF302">
        <v>16.016713091922</v>
      </c>
      <c r="DG302">
        <v>0</v>
      </c>
      <c r="DH302">
        <v>0</v>
      </c>
      <c r="DI302">
        <v>0</v>
      </c>
      <c r="DJ302">
        <v>83.983286908078</v>
      </c>
      <c r="DK302">
        <v>16.016713091922</v>
      </c>
      <c r="DL302">
        <v>0</v>
      </c>
      <c r="DM302">
        <v>0</v>
      </c>
      <c r="DN302">
        <v>0</v>
      </c>
      <c r="DO302">
        <v>83.983286908078</v>
      </c>
      <c r="DP302">
        <v>16.016713091922</v>
      </c>
      <c r="DQ302">
        <v>0</v>
      </c>
      <c r="DR302">
        <v>0</v>
      </c>
      <c r="DS302" t="s">
        <v>312</v>
      </c>
      <c r="DT302" t="s">
        <v>313</v>
      </c>
      <c r="DU302">
        <v>737</v>
      </c>
      <c r="DV302" t="s">
        <v>547</v>
      </c>
      <c r="DW302" t="s">
        <v>548</v>
      </c>
      <c r="DX302">
        <v>86</v>
      </c>
      <c r="DY302">
        <v>130</v>
      </c>
      <c r="DZ302">
        <v>216</v>
      </c>
      <c r="EA302">
        <v>606779</v>
      </c>
      <c r="EB302">
        <v>388178</v>
      </c>
      <c r="EC302">
        <v>994957</v>
      </c>
      <c r="ED302" t="s">
        <v>909</v>
      </c>
      <c r="EE302" t="s">
        <v>910</v>
      </c>
      <c r="EF302" t="s">
        <v>753</v>
      </c>
      <c r="EG302" t="s">
        <v>754</v>
      </c>
    </row>
    <row r="303" spans="1:137" ht="14.55" customHeight="1" x14ac:dyDescent="0.3">
      <c r="A303" t="s">
        <v>1023</v>
      </c>
      <c r="B303">
        <v>74105</v>
      </c>
      <c r="C303" t="s">
        <v>1024</v>
      </c>
      <c r="D303" t="s">
        <v>543</v>
      </c>
      <c r="E303" t="s">
        <v>879</v>
      </c>
      <c r="F303" t="s">
        <v>742</v>
      </c>
      <c r="G303" t="s">
        <v>904</v>
      </c>
      <c r="H303" s="3">
        <v>10546686.3925</v>
      </c>
      <c r="I303">
        <v>1055</v>
      </c>
      <c r="J303" s="3">
        <v>1054.6686392500001</v>
      </c>
      <c r="K303">
        <v>411</v>
      </c>
      <c r="L303">
        <v>525</v>
      </c>
      <c r="M303">
        <v>430.292003762935</v>
      </c>
      <c r="N303">
        <v>12.768755057007301</v>
      </c>
      <c r="O303">
        <v>0</v>
      </c>
      <c r="P303">
        <v>23.292831420898398</v>
      </c>
      <c r="Q303">
        <v>3.9693987369537398</v>
      </c>
      <c r="R303">
        <v>2.7620162963867201</v>
      </c>
      <c r="S303" t="s">
        <v>881</v>
      </c>
      <c r="T303" t="s">
        <v>1025</v>
      </c>
      <c r="U303" t="s">
        <v>1024</v>
      </c>
      <c r="V303" t="s">
        <v>1024</v>
      </c>
      <c r="W303" s="3">
        <v>5948</v>
      </c>
      <c r="X303" s="3">
        <v>10550000</v>
      </c>
      <c r="Y303">
        <v>2</v>
      </c>
      <c r="Z303" s="3">
        <v>2724</v>
      </c>
      <c r="AA303" s="3">
        <v>3354</v>
      </c>
      <c r="AB303" s="3">
        <v>3859</v>
      </c>
      <c r="AC303" s="3">
        <v>4494</v>
      </c>
      <c r="AD303" s="3">
        <v>4500</v>
      </c>
      <c r="AE303" s="3">
        <v>4769</v>
      </c>
      <c r="AF303" s="3">
        <v>4876</v>
      </c>
      <c r="AG303" s="3">
        <v>4972</v>
      </c>
      <c r="AH303" s="3">
        <v>5069</v>
      </c>
      <c r="AI303" s="3">
        <v>5253</v>
      </c>
      <c r="AJ303" s="3">
        <v>5302</v>
      </c>
      <c r="AK303" s="3">
        <v>5509</v>
      </c>
      <c r="AL303" s="3">
        <v>5716</v>
      </c>
      <c r="AM303" s="3">
        <v>5922</v>
      </c>
      <c r="AN303" s="3">
        <v>5948</v>
      </c>
      <c r="AO303" s="3">
        <v>6077</v>
      </c>
      <c r="AP303" s="3">
        <v>6483</v>
      </c>
      <c r="AQ303" s="3">
        <v>6738</v>
      </c>
      <c r="AR303" s="4">
        <v>614.5023696682465</v>
      </c>
      <c r="AS303" s="5">
        <f t="shared" si="42"/>
        <v>2.8909691629955945</v>
      </c>
      <c r="AT303" s="5">
        <f t="shared" si="43"/>
        <v>1.6729609752865569</v>
      </c>
      <c r="AU303" s="5">
        <f t="shared" si="44"/>
        <v>2.6353977714433792</v>
      </c>
      <c r="AV303" s="5">
        <f t="shared" si="45"/>
        <v>3.2957342083675143</v>
      </c>
      <c r="AW303" s="5">
        <f t="shared" si="46"/>
        <v>2.4509803921568629</v>
      </c>
      <c r="AX303" s="5">
        <f t="shared" si="47"/>
        <v>3.3998445193055193</v>
      </c>
      <c r="AY303" s="5">
        <f t="shared" si="48"/>
        <v>3.7296106679366594</v>
      </c>
      <c r="AZ303">
        <f t="shared" si="49"/>
        <v>10520000</v>
      </c>
      <c r="BA303">
        <v>0</v>
      </c>
      <c r="BB303">
        <v>2320000</v>
      </c>
      <c r="BC303">
        <v>350000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3850000</v>
      </c>
      <c r="BK303">
        <v>320000</v>
      </c>
      <c r="BL303">
        <v>0</v>
      </c>
      <c r="BM303">
        <v>350000</v>
      </c>
      <c r="BN303">
        <v>240000</v>
      </c>
      <c r="BO303">
        <v>480000</v>
      </c>
      <c r="BP303">
        <v>2360000</v>
      </c>
      <c r="BQ303">
        <v>0</v>
      </c>
      <c r="BR303">
        <v>0</v>
      </c>
      <c r="BS303">
        <v>240000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10000</v>
      </c>
      <c r="BZ303">
        <v>0</v>
      </c>
      <c r="CA303">
        <v>0</v>
      </c>
      <c r="CT303">
        <v>17.870722433460081</v>
      </c>
      <c r="CU303">
        <v>56.273764258555126</v>
      </c>
      <c r="CV303">
        <v>25.855513307984779</v>
      </c>
      <c r="CW303">
        <v>0</v>
      </c>
      <c r="CX303">
        <v>0</v>
      </c>
      <c r="CY303">
        <v>21.197718631178681</v>
      </c>
      <c r="CZ303">
        <v>53.041825095057</v>
      </c>
      <c r="DA303">
        <v>25.76045627376428</v>
      </c>
      <c r="DB303">
        <v>0</v>
      </c>
      <c r="DC303">
        <v>0</v>
      </c>
      <c r="DD303">
        <v>24.334600760456269</v>
      </c>
      <c r="DE303">
        <v>50.855513307984751</v>
      </c>
      <c r="DF303">
        <v>24.714828897338379</v>
      </c>
      <c r="DG303">
        <v>9.5057034220532299E-2</v>
      </c>
      <c r="DH303">
        <v>0</v>
      </c>
      <c r="DI303">
        <v>25.380228136882131</v>
      </c>
      <c r="DJ303">
        <v>49.809885931558888</v>
      </c>
      <c r="DK303">
        <v>24.714828897338379</v>
      </c>
      <c r="DL303">
        <v>9.5057034220532299E-2</v>
      </c>
      <c r="DM303">
        <v>0</v>
      </c>
      <c r="DN303">
        <v>25.380228136882131</v>
      </c>
      <c r="DO303">
        <v>49.809885931558888</v>
      </c>
      <c r="DP303">
        <v>24.714828897338379</v>
      </c>
      <c r="DQ303">
        <v>9.5057034220532299E-2</v>
      </c>
      <c r="DR303">
        <v>0</v>
      </c>
      <c r="DS303" t="s">
        <v>312</v>
      </c>
      <c r="DT303" t="s">
        <v>313</v>
      </c>
      <c r="DU303">
        <v>6688</v>
      </c>
      <c r="DV303" t="s">
        <v>547</v>
      </c>
      <c r="DW303" t="s">
        <v>548</v>
      </c>
      <c r="DX303">
        <v>86</v>
      </c>
      <c r="DY303">
        <v>130</v>
      </c>
      <c r="DZ303">
        <v>216</v>
      </c>
      <c r="EA303">
        <v>606779</v>
      </c>
      <c r="EB303">
        <v>388178</v>
      </c>
      <c r="EC303">
        <v>994957</v>
      </c>
      <c r="ED303" t="s">
        <v>1026</v>
      </c>
      <c r="EE303" t="s">
        <v>1024</v>
      </c>
      <c r="EF303" t="s">
        <v>746</v>
      </c>
      <c r="EG303" t="s">
        <v>793</v>
      </c>
    </row>
    <row r="304" spans="1:137" ht="14.55" customHeight="1" x14ac:dyDescent="0.3">
      <c r="A304" t="s">
        <v>1027</v>
      </c>
      <c r="B304">
        <v>74106</v>
      </c>
      <c r="C304" t="s">
        <v>1028</v>
      </c>
      <c r="D304" t="s">
        <v>886</v>
      </c>
      <c r="E304" t="s">
        <v>879</v>
      </c>
      <c r="F304" t="s">
        <v>742</v>
      </c>
      <c r="G304" t="s">
        <v>887</v>
      </c>
      <c r="H304" s="3">
        <v>10371388.1808</v>
      </c>
      <c r="I304">
        <v>1032</v>
      </c>
      <c r="J304" s="3">
        <v>1037.13881808</v>
      </c>
      <c r="K304">
        <v>571</v>
      </c>
      <c r="L304">
        <v>1492</v>
      </c>
      <c r="M304">
        <v>896.23010766388495</v>
      </c>
      <c r="N304">
        <v>242.47371377090599</v>
      </c>
      <c r="O304">
        <v>0</v>
      </c>
      <c r="P304">
        <v>48.734077453613303</v>
      </c>
      <c r="Q304">
        <v>13.5904293060303</v>
      </c>
      <c r="R304">
        <v>8.4149646759033203</v>
      </c>
      <c r="S304" t="s">
        <v>881</v>
      </c>
      <c r="T304" t="s">
        <v>1029</v>
      </c>
      <c r="U304" t="s">
        <v>1028</v>
      </c>
      <c r="V304" t="s">
        <v>1028</v>
      </c>
      <c r="W304" s="3">
        <v>859</v>
      </c>
      <c r="X304" s="3">
        <v>10370000</v>
      </c>
      <c r="Y304">
        <v>3</v>
      </c>
      <c r="Z304" s="3">
        <v>310</v>
      </c>
      <c r="AA304" s="3">
        <v>393</v>
      </c>
      <c r="AB304" s="3">
        <v>564</v>
      </c>
      <c r="AC304" s="3">
        <v>661</v>
      </c>
      <c r="AD304" s="3">
        <v>644</v>
      </c>
      <c r="AE304" s="3">
        <v>655</v>
      </c>
      <c r="AF304" s="3">
        <v>683</v>
      </c>
      <c r="AG304" s="3">
        <v>711</v>
      </c>
      <c r="AH304" s="3">
        <v>739</v>
      </c>
      <c r="AI304" s="3">
        <v>750</v>
      </c>
      <c r="AJ304" s="3">
        <v>747</v>
      </c>
      <c r="AK304" s="3">
        <v>768</v>
      </c>
      <c r="AL304" s="3">
        <v>790</v>
      </c>
      <c r="AM304" s="3">
        <v>811</v>
      </c>
      <c r="AN304" s="3">
        <v>859</v>
      </c>
      <c r="AO304" s="3">
        <v>888</v>
      </c>
      <c r="AP304" s="3">
        <v>902</v>
      </c>
      <c r="AQ304" s="3">
        <v>885</v>
      </c>
      <c r="AR304" s="4">
        <v>86.981677917068467</v>
      </c>
      <c r="AS304" s="5">
        <f t="shared" si="42"/>
        <v>3.3467741935483875</v>
      </c>
      <c r="AT304" s="5">
        <f t="shared" si="43"/>
        <v>4.8346055979643765</v>
      </c>
      <c r="AU304" s="5">
        <f t="shared" si="44"/>
        <v>2.1099290780141842</v>
      </c>
      <c r="AV304" s="5">
        <f t="shared" si="45"/>
        <v>3.2064421669106875</v>
      </c>
      <c r="AW304" s="5">
        <f t="shared" si="46"/>
        <v>4.8197343453510433</v>
      </c>
      <c r="AX304" s="5">
        <f t="shared" si="47"/>
        <v>2.9964539007092199</v>
      </c>
      <c r="AY304" s="5">
        <f t="shared" si="48"/>
        <v>5.161290322580645</v>
      </c>
      <c r="AZ304">
        <f t="shared" si="49"/>
        <v>10310000</v>
      </c>
      <c r="BA304">
        <v>0</v>
      </c>
      <c r="BB304">
        <v>300000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250000</v>
      </c>
      <c r="BK304">
        <v>0</v>
      </c>
      <c r="BL304">
        <v>20000</v>
      </c>
      <c r="BM304">
        <v>1300000</v>
      </c>
      <c r="BN304">
        <v>2150000</v>
      </c>
      <c r="BO304">
        <v>250000</v>
      </c>
      <c r="BP304">
        <v>0</v>
      </c>
      <c r="BQ304">
        <v>150000</v>
      </c>
      <c r="BR304">
        <v>5270000</v>
      </c>
      <c r="BS304">
        <v>570000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50000</v>
      </c>
      <c r="BZ304">
        <v>0</v>
      </c>
      <c r="CA304">
        <v>0</v>
      </c>
      <c r="CT304">
        <v>0</v>
      </c>
      <c r="CU304">
        <v>40.834141610087229</v>
      </c>
      <c r="CV304">
        <v>58.680892337536399</v>
      </c>
      <c r="CW304">
        <v>0.484966052376334</v>
      </c>
      <c r="CX304">
        <v>0</v>
      </c>
      <c r="CY304">
        <v>3.3947623666343398</v>
      </c>
      <c r="CZ304">
        <v>37.827352085354036</v>
      </c>
      <c r="DA304">
        <v>58.292919495635303</v>
      </c>
      <c r="DB304">
        <v>0.484966052376334</v>
      </c>
      <c r="DC304">
        <v>0</v>
      </c>
      <c r="DD304">
        <v>3.3947623666343398</v>
      </c>
      <c r="DE304">
        <v>38.021338506304531</v>
      </c>
      <c r="DF304">
        <v>58.098933074684801</v>
      </c>
      <c r="DG304">
        <v>0.484966052376334</v>
      </c>
      <c r="DH304">
        <v>0</v>
      </c>
      <c r="DI304">
        <v>2.9097963142580001</v>
      </c>
      <c r="DJ304">
        <v>38.506304558680903</v>
      </c>
      <c r="DK304">
        <v>58.098933074684801</v>
      </c>
      <c r="DL304">
        <v>0.484966052376334</v>
      </c>
      <c r="DM304">
        <v>0</v>
      </c>
      <c r="DN304">
        <v>2.9097963142580001</v>
      </c>
      <c r="DO304">
        <v>38.506304558680903</v>
      </c>
      <c r="DP304">
        <v>58.098933074684801</v>
      </c>
      <c r="DQ304">
        <v>0.484966052376334</v>
      </c>
      <c r="DR304">
        <v>0</v>
      </c>
      <c r="DS304" t="s">
        <v>768</v>
      </c>
      <c r="DT304" t="s">
        <v>768</v>
      </c>
      <c r="DU304" t="s">
        <v>768</v>
      </c>
      <c r="DV304" t="s">
        <v>768</v>
      </c>
      <c r="DW304" t="s">
        <v>768</v>
      </c>
      <c r="DX304" t="s">
        <v>768</v>
      </c>
      <c r="DY304" t="s">
        <v>768</v>
      </c>
      <c r="DZ304" t="s">
        <v>768</v>
      </c>
      <c r="EA304" t="s">
        <v>768</v>
      </c>
      <c r="EB304" t="s">
        <v>768</v>
      </c>
      <c r="EC304" t="s">
        <v>768</v>
      </c>
      <c r="ED304" t="s">
        <v>973</v>
      </c>
      <c r="EE304" t="s">
        <v>974</v>
      </c>
      <c r="EF304" t="s">
        <v>746</v>
      </c>
      <c r="EG304" t="s">
        <v>760</v>
      </c>
    </row>
    <row r="305" spans="1:137" ht="14.55" customHeight="1" x14ac:dyDescent="0.3">
      <c r="A305" t="s">
        <v>1030</v>
      </c>
      <c r="B305">
        <v>74114</v>
      </c>
      <c r="C305" t="s">
        <v>1031</v>
      </c>
      <c r="D305" t="s">
        <v>878</v>
      </c>
      <c r="E305" t="s">
        <v>879</v>
      </c>
      <c r="F305" t="s">
        <v>742</v>
      </c>
      <c r="G305" t="s">
        <v>880</v>
      </c>
      <c r="H305" s="3">
        <v>6780826.0755500002</v>
      </c>
      <c r="I305">
        <v>676</v>
      </c>
      <c r="J305" s="3">
        <v>678.08260755499998</v>
      </c>
      <c r="K305">
        <v>844</v>
      </c>
      <c r="L305">
        <v>1758</v>
      </c>
      <c r="M305">
        <v>1222.23172992487</v>
      </c>
      <c r="N305">
        <v>232.89938511475501</v>
      </c>
      <c r="O305">
        <v>0</v>
      </c>
      <c r="P305">
        <v>55.0193061828613</v>
      </c>
      <c r="Q305">
        <v>20.0261840820313</v>
      </c>
      <c r="R305">
        <v>10.192271232605</v>
      </c>
      <c r="S305" t="s">
        <v>881</v>
      </c>
      <c r="T305" t="s">
        <v>1032</v>
      </c>
      <c r="U305" t="s">
        <v>1031</v>
      </c>
      <c r="V305" t="s">
        <v>1031</v>
      </c>
      <c r="W305" s="3">
        <v>513</v>
      </c>
      <c r="X305" s="3">
        <v>6790000</v>
      </c>
      <c r="Y305">
        <v>3</v>
      </c>
      <c r="Z305" s="3">
        <v>259</v>
      </c>
      <c r="AA305" s="3">
        <v>322</v>
      </c>
      <c r="AB305" s="3">
        <v>353</v>
      </c>
      <c r="AC305" s="3">
        <v>409</v>
      </c>
      <c r="AD305" s="3">
        <v>415</v>
      </c>
      <c r="AE305" s="3">
        <v>420</v>
      </c>
      <c r="AF305" s="3">
        <v>426</v>
      </c>
      <c r="AG305" s="3">
        <v>442</v>
      </c>
      <c r="AH305" s="3">
        <v>446</v>
      </c>
      <c r="AI305" s="3">
        <v>468</v>
      </c>
      <c r="AJ305" s="3">
        <v>489</v>
      </c>
      <c r="AK305" s="3">
        <v>509</v>
      </c>
      <c r="AL305" s="3">
        <v>509</v>
      </c>
      <c r="AM305" s="3">
        <v>516</v>
      </c>
      <c r="AN305" s="3">
        <v>513</v>
      </c>
      <c r="AO305" s="3">
        <v>513</v>
      </c>
      <c r="AP305" s="3">
        <v>512</v>
      </c>
      <c r="AR305" s="4">
        <v>75.405007363770252</v>
      </c>
      <c r="AS305" s="5">
        <f t="shared" si="42"/>
        <v>3.0405405405405408</v>
      </c>
      <c r="AT305" s="5">
        <f t="shared" si="43"/>
        <v>1.0697032436162872</v>
      </c>
      <c r="AU305" s="5">
        <f t="shared" si="44"/>
        <v>2.0679886685552407</v>
      </c>
      <c r="AV305" s="5">
        <f t="shared" si="45"/>
        <v>2.0187793427230045</v>
      </c>
      <c r="AW305" s="5">
        <f t="shared" si="46"/>
        <v>2.1349080172609587</v>
      </c>
      <c r="AX305" s="5">
        <f t="shared" si="47"/>
        <v>2.2521246458923514</v>
      </c>
      <c r="AY305" s="5">
        <f t="shared" si="48"/>
        <v>2.6400918292810185</v>
      </c>
      <c r="AZ305">
        <f t="shared" si="49"/>
        <v>6750000</v>
      </c>
      <c r="BA305">
        <v>0</v>
      </c>
      <c r="BB305">
        <v>590000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290000</v>
      </c>
      <c r="BO305">
        <v>0</v>
      </c>
      <c r="BP305">
        <v>0</v>
      </c>
      <c r="BQ305">
        <v>880000</v>
      </c>
      <c r="BR305">
        <v>4000000</v>
      </c>
      <c r="BS305">
        <v>720000</v>
      </c>
      <c r="BT305">
        <v>0</v>
      </c>
      <c r="BU305">
        <v>270000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T305">
        <v>6.9629629629629601</v>
      </c>
      <c r="CU305">
        <v>3.7037037037037002</v>
      </c>
      <c r="CV305">
        <v>89.3333333333334</v>
      </c>
      <c r="CW305">
        <v>0</v>
      </c>
      <c r="CX305">
        <v>0</v>
      </c>
      <c r="CY305">
        <v>6.9629629629629601</v>
      </c>
      <c r="CZ305">
        <v>3.7037037037037002</v>
      </c>
      <c r="DA305">
        <v>89.3333333333334</v>
      </c>
      <c r="DB305">
        <v>0</v>
      </c>
      <c r="DC305">
        <v>0</v>
      </c>
      <c r="DD305">
        <v>8.7407407407407405</v>
      </c>
      <c r="DE305">
        <v>4.2962962962963003</v>
      </c>
      <c r="DF305">
        <v>86.962962962963005</v>
      </c>
      <c r="DG305">
        <v>0</v>
      </c>
      <c r="DH305">
        <v>0</v>
      </c>
      <c r="DI305">
        <v>8.7407407407407405</v>
      </c>
      <c r="DJ305">
        <v>4.2962962962963003</v>
      </c>
      <c r="DK305">
        <v>86.962962962963005</v>
      </c>
      <c r="DL305">
        <v>0</v>
      </c>
      <c r="DM305">
        <v>0</v>
      </c>
      <c r="DN305">
        <v>8.7407407407407405</v>
      </c>
      <c r="DO305">
        <v>4.2962962962963003</v>
      </c>
      <c r="DP305">
        <v>86.962962962963005</v>
      </c>
      <c r="DQ305">
        <v>0</v>
      </c>
      <c r="DR305">
        <v>0</v>
      </c>
      <c r="DS305" t="s">
        <v>768</v>
      </c>
      <c r="DT305" t="s">
        <v>768</v>
      </c>
      <c r="DU305" t="s">
        <v>768</v>
      </c>
      <c r="DV305" t="s">
        <v>768</v>
      </c>
      <c r="DW305" t="s">
        <v>768</v>
      </c>
      <c r="DX305" t="s">
        <v>768</v>
      </c>
      <c r="DY305" t="s">
        <v>768</v>
      </c>
      <c r="DZ305" t="s">
        <v>768</v>
      </c>
      <c r="EA305" t="s">
        <v>768</v>
      </c>
      <c r="EB305" t="s">
        <v>768</v>
      </c>
      <c r="EC305" t="s">
        <v>768</v>
      </c>
      <c r="ED305" t="s">
        <v>1015</v>
      </c>
      <c r="EE305" t="s">
        <v>1016</v>
      </c>
      <c r="EF305" t="s">
        <v>746</v>
      </c>
      <c r="EG305" t="s">
        <v>760</v>
      </c>
    </row>
    <row r="306" spans="1:137" ht="14.55" customHeight="1" x14ac:dyDescent="0.3">
      <c r="A306" t="s">
        <v>1033</v>
      </c>
      <c r="B306">
        <v>74116</v>
      </c>
      <c r="C306" t="s">
        <v>1034</v>
      </c>
      <c r="D306" t="s">
        <v>543</v>
      </c>
      <c r="E306" t="s">
        <v>879</v>
      </c>
      <c r="F306" t="s">
        <v>742</v>
      </c>
      <c r="G306" t="s">
        <v>892</v>
      </c>
      <c r="H306" s="3">
        <v>13827325.0189</v>
      </c>
      <c r="I306">
        <v>1386</v>
      </c>
      <c r="J306" s="3">
        <v>1382.7325018899999</v>
      </c>
      <c r="K306">
        <v>574</v>
      </c>
      <c r="L306">
        <v>937</v>
      </c>
      <c r="M306">
        <v>771.935609334486</v>
      </c>
      <c r="N306">
        <v>85.767513609006798</v>
      </c>
      <c r="O306">
        <v>0</v>
      </c>
      <c r="P306">
        <v>24.068872451782202</v>
      </c>
      <c r="Q306">
        <v>6.0843167304992702</v>
      </c>
      <c r="R306">
        <v>3.4528403282165501</v>
      </c>
      <c r="S306" t="s">
        <v>881</v>
      </c>
      <c r="T306" t="s">
        <v>1035</v>
      </c>
      <c r="U306" t="s">
        <v>1034</v>
      </c>
      <c r="V306" t="s">
        <v>1034</v>
      </c>
      <c r="W306" s="3">
        <v>1979</v>
      </c>
      <c r="X306" s="3">
        <v>13830000</v>
      </c>
      <c r="Y306">
        <v>2</v>
      </c>
      <c r="Z306" s="3">
        <v>638</v>
      </c>
      <c r="AA306" s="3">
        <v>878</v>
      </c>
      <c r="AB306" s="3">
        <v>1090</v>
      </c>
      <c r="AC306" s="3">
        <v>1520</v>
      </c>
      <c r="AD306" s="3">
        <v>1580</v>
      </c>
      <c r="AE306" s="3">
        <v>1640</v>
      </c>
      <c r="AF306" s="3">
        <v>1681</v>
      </c>
      <c r="AG306" s="3">
        <v>1694</v>
      </c>
      <c r="AH306" s="3">
        <v>1737</v>
      </c>
      <c r="AI306" s="3">
        <v>1790</v>
      </c>
      <c r="AJ306" s="3">
        <v>1843</v>
      </c>
      <c r="AK306" s="3">
        <v>1864</v>
      </c>
      <c r="AL306" s="3">
        <v>1913</v>
      </c>
      <c r="AM306" s="3">
        <v>1946</v>
      </c>
      <c r="AN306" s="3">
        <v>1979</v>
      </c>
      <c r="AO306" s="3">
        <v>2012</v>
      </c>
      <c r="AP306" s="3">
        <v>2021</v>
      </c>
      <c r="AQ306" s="3">
        <v>2034</v>
      </c>
      <c r="AR306" s="4">
        <v>146.13159797541576</v>
      </c>
      <c r="AS306" s="5">
        <f t="shared" si="42"/>
        <v>4.7021943573667713</v>
      </c>
      <c r="AT306" s="5">
        <f t="shared" si="43"/>
        <v>2.6828650974436852</v>
      </c>
      <c r="AU306" s="5">
        <f t="shared" si="44"/>
        <v>5.4220183486238529</v>
      </c>
      <c r="AV306" s="5">
        <f t="shared" si="45"/>
        <v>2.0226055919095773</v>
      </c>
      <c r="AW306" s="5">
        <f t="shared" si="46"/>
        <v>4.1674349990780009</v>
      </c>
      <c r="AX306" s="5">
        <f t="shared" si="47"/>
        <v>4.2706422018348622</v>
      </c>
      <c r="AY306" s="5">
        <f t="shared" si="48"/>
        <v>5.8586799966110306</v>
      </c>
      <c r="AZ306">
        <f t="shared" si="49"/>
        <v>13860000</v>
      </c>
      <c r="BA306">
        <v>0</v>
      </c>
      <c r="BB306">
        <v>390000</v>
      </c>
      <c r="BC306">
        <v>540000</v>
      </c>
      <c r="BD306">
        <v>440000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1690000</v>
      </c>
      <c r="BN306">
        <v>7530000</v>
      </c>
      <c r="BO306">
        <v>450000</v>
      </c>
      <c r="BP306">
        <v>0</v>
      </c>
      <c r="BQ306">
        <v>230000</v>
      </c>
      <c r="BR306">
        <v>2590000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T306">
        <v>5.339105339105342</v>
      </c>
      <c r="CU306">
        <v>74.098124098124103</v>
      </c>
      <c r="CV306">
        <v>20.562770562770599</v>
      </c>
      <c r="CW306">
        <v>0</v>
      </c>
      <c r="CX306">
        <v>0</v>
      </c>
      <c r="CY306">
        <v>6.9264069264069201</v>
      </c>
      <c r="CZ306">
        <v>72.510822510822408</v>
      </c>
      <c r="DA306">
        <v>20.562770562770599</v>
      </c>
      <c r="DB306">
        <v>0</v>
      </c>
      <c r="DC306">
        <v>0</v>
      </c>
      <c r="DD306">
        <v>10.678210678210679</v>
      </c>
      <c r="DE306">
        <v>68.975468975468999</v>
      </c>
      <c r="DF306">
        <v>20.346320346320301</v>
      </c>
      <c r="DG306">
        <v>0</v>
      </c>
      <c r="DH306">
        <v>0</v>
      </c>
      <c r="DI306">
        <v>9.8845598845598808</v>
      </c>
      <c r="DJ306">
        <v>69.769119769119797</v>
      </c>
      <c r="DK306">
        <v>20.346320346320301</v>
      </c>
      <c r="DL306">
        <v>0</v>
      </c>
      <c r="DM306">
        <v>0</v>
      </c>
      <c r="DN306">
        <v>9.8845598845598808</v>
      </c>
      <c r="DO306">
        <v>69.769119769119797</v>
      </c>
      <c r="DP306">
        <v>20.346320346320301</v>
      </c>
      <c r="DQ306">
        <v>0</v>
      </c>
      <c r="DR306">
        <v>0</v>
      </c>
      <c r="DS306" t="s">
        <v>312</v>
      </c>
      <c r="DT306" t="s">
        <v>337</v>
      </c>
      <c r="DU306">
        <v>2032</v>
      </c>
      <c r="DV306" t="s">
        <v>547</v>
      </c>
      <c r="DW306" t="s">
        <v>548</v>
      </c>
      <c r="DX306">
        <v>86</v>
      </c>
      <c r="DY306">
        <v>130</v>
      </c>
      <c r="DZ306">
        <v>216</v>
      </c>
      <c r="EA306">
        <v>606779</v>
      </c>
      <c r="EB306">
        <v>388178</v>
      </c>
      <c r="EC306">
        <v>994957</v>
      </c>
      <c r="ED306" t="s">
        <v>894</v>
      </c>
      <c r="EE306" t="s">
        <v>895</v>
      </c>
      <c r="EF306" t="s">
        <v>746</v>
      </c>
      <c r="EG306" t="s">
        <v>760</v>
      </c>
    </row>
    <row r="307" spans="1:137" ht="14.55" customHeight="1" x14ac:dyDescent="0.3">
      <c r="A307" t="s">
        <v>1036</v>
      </c>
      <c r="B307">
        <v>74118</v>
      </c>
      <c r="C307" t="s">
        <v>1037</v>
      </c>
      <c r="D307" t="s">
        <v>543</v>
      </c>
      <c r="E307" t="s">
        <v>879</v>
      </c>
      <c r="F307" t="s">
        <v>742</v>
      </c>
      <c r="G307" t="s">
        <v>924</v>
      </c>
      <c r="H307" s="3">
        <v>5412748.5055400003</v>
      </c>
      <c r="I307">
        <v>538</v>
      </c>
      <c r="J307" s="3">
        <v>541.27485055400007</v>
      </c>
      <c r="K307">
        <v>380</v>
      </c>
      <c r="L307">
        <v>814</v>
      </c>
      <c r="M307">
        <v>445.67787697199498</v>
      </c>
      <c r="N307">
        <v>74.074467427777407</v>
      </c>
      <c r="O307">
        <v>0</v>
      </c>
      <c r="P307">
        <v>65.590812683105497</v>
      </c>
      <c r="Q307">
        <v>12.5850267410278</v>
      </c>
      <c r="R307">
        <v>14.3039436340332</v>
      </c>
      <c r="S307" t="s">
        <v>881</v>
      </c>
      <c r="T307" t="s">
        <v>1038</v>
      </c>
      <c r="U307" t="s">
        <v>1037</v>
      </c>
      <c r="V307" t="s">
        <v>1037</v>
      </c>
      <c r="W307" s="3">
        <v>2453</v>
      </c>
      <c r="X307" s="3">
        <v>5400000</v>
      </c>
      <c r="Y307">
        <v>2</v>
      </c>
      <c r="Z307" s="3">
        <v>1200</v>
      </c>
      <c r="AA307" s="3">
        <v>1374</v>
      </c>
      <c r="AB307" s="3">
        <v>1430</v>
      </c>
      <c r="AC307" s="3">
        <v>1639</v>
      </c>
      <c r="AD307" s="3">
        <v>1784</v>
      </c>
      <c r="AE307" s="3">
        <v>1827</v>
      </c>
      <c r="AF307" s="3">
        <v>1857</v>
      </c>
      <c r="AG307" s="3">
        <v>1887</v>
      </c>
      <c r="AH307" s="3">
        <v>1904</v>
      </c>
      <c r="AI307" s="3">
        <v>2036</v>
      </c>
      <c r="AJ307" s="3">
        <v>2172</v>
      </c>
      <c r="AK307" s="3">
        <v>2304</v>
      </c>
      <c r="AL307" s="3">
        <v>2436</v>
      </c>
      <c r="AM307" s="3">
        <v>2439</v>
      </c>
      <c r="AN307" s="3">
        <v>2453</v>
      </c>
      <c r="AO307" s="3">
        <v>2501</v>
      </c>
      <c r="AP307" s="3">
        <v>2556</v>
      </c>
      <c r="AQ307" s="3">
        <v>2619</v>
      </c>
      <c r="AR307" s="4">
        <v>473.33333333333331</v>
      </c>
      <c r="AS307" s="5">
        <f t="shared" si="42"/>
        <v>1.8124999999999998</v>
      </c>
      <c r="AT307" s="5">
        <f t="shared" si="43"/>
        <v>0.45285460132621702</v>
      </c>
      <c r="AU307" s="5">
        <f t="shared" si="44"/>
        <v>2.9860139860139863</v>
      </c>
      <c r="AV307" s="5">
        <f t="shared" si="45"/>
        <v>3.7641357027463651</v>
      </c>
      <c r="AW307" s="5">
        <f t="shared" si="46"/>
        <v>1.1274509803921571</v>
      </c>
      <c r="AX307" s="5">
        <f t="shared" si="47"/>
        <v>3.9370629370629371</v>
      </c>
      <c r="AY307" s="5">
        <f t="shared" si="48"/>
        <v>3.0540540540540539</v>
      </c>
      <c r="AZ307">
        <f t="shared" si="49"/>
        <v>5380000</v>
      </c>
      <c r="BA307">
        <v>0</v>
      </c>
      <c r="BB307">
        <v>1260000</v>
      </c>
      <c r="BC307">
        <v>0</v>
      </c>
      <c r="BD307">
        <v>860000</v>
      </c>
      <c r="BE307">
        <v>0</v>
      </c>
      <c r="BF307">
        <v>0</v>
      </c>
      <c r="BG307">
        <v>570000</v>
      </c>
      <c r="BH307">
        <v>0</v>
      </c>
      <c r="BI307">
        <v>10000</v>
      </c>
      <c r="BJ307">
        <v>70000</v>
      </c>
      <c r="BK307">
        <v>0</v>
      </c>
      <c r="BL307">
        <v>0</v>
      </c>
      <c r="BM307">
        <v>0</v>
      </c>
      <c r="BN307">
        <v>540000</v>
      </c>
      <c r="BO307">
        <v>500000</v>
      </c>
      <c r="BP307">
        <v>1570000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T307">
        <v>47.026022304832757</v>
      </c>
      <c r="CU307">
        <v>23.23420074349443</v>
      </c>
      <c r="CV307">
        <v>29.739776951672901</v>
      </c>
      <c r="CW307">
        <v>0</v>
      </c>
      <c r="CX307">
        <v>0</v>
      </c>
      <c r="CY307">
        <v>47.583643122676655</v>
      </c>
      <c r="CZ307">
        <v>23.23420074349443</v>
      </c>
      <c r="DA307">
        <v>29.182156133829</v>
      </c>
      <c r="DB307">
        <v>0</v>
      </c>
      <c r="DC307">
        <v>0</v>
      </c>
      <c r="DD307">
        <v>46.840148698884853</v>
      </c>
      <c r="DE307">
        <v>23.977695167286242</v>
      </c>
      <c r="DF307">
        <v>29.182156133829</v>
      </c>
      <c r="DG307">
        <v>0</v>
      </c>
      <c r="DH307">
        <v>0</v>
      </c>
      <c r="DI307">
        <v>49.070631970260273</v>
      </c>
      <c r="DJ307">
        <v>21.747211895910787</v>
      </c>
      <c r="DK307">
        <v>29.182156133829</v>
      </c>
      <c r="DL307">
        <v>0</v>
      </c>
      <c r="DM307">
        <v>0</v>
      </c>
      <c r="DN307">
        <v>50.185873605948053</v>
      </c>
      <c r="DO307">
        <v>20.631970260223088</v>
      </c>
      <c r="DP307">
        <v>29.182156133829</v>
      </c>
      <c r="DQ307">
        <v>0</v>
      </c>
      <c r="DR307">
        <v>0</v>
      </c>
      <c r="DS307" t="s">
        <v>371</v>
      </c>
      <c r="DT307" t="s">
        <v>313</v>
      </c>
      <c r="DU307">
        <v>2612</v>
      </c>
      <c r="DV307" t="s">
        <v>547</v>
      </c>
      <c r="DW307" t="s">
        <v>548</v>
      </c>
      <c r="DX307">
        <v>86</v>
      </c>
      <c r="DY307">
        <v>130</v>
      </c>
      <c r="DZ307">
        <v>216</v>
      </c>
      <c r="EA307">
        <v>606779</v>
      </c>
      <c r="EB307">
        <v>388178</v>
      </c>
      <c r="EC307">
        <v>994957</v>
      </c>
      <c r="ED307" t="s">
        <v>807</v>
      </c>
      <c r="EE307" t="s">
        <v>808</v>
      </c>
      <c r="EF307" t="s">
        <v>746</v>
      </c>
      <c r="EG307" t="s">
        <v>760</v>
      </c>
    </row>
    <row r="308" spans="1:137" ht="14.55" customHeight="1" x14ac:dyDescent="0.3">
      <c r="A308" t="s">
        <v>1039</v>
      </c>
      <c r="B308">
        <v>74119</v>
      </c>
      <c r="C308" t="s">
        <v>880</v>
      </c>
      <c r="D308" t="s">
        <v>878</v>
      </c>
      <c r="E308" t="s">
        <v>879</v>
      </c>
      <c r="F308" t="s">
        <v>742</v>
      </c>
      <c r="G308" t="s">
        <v>880</v>
      </c>
      <c r="H308" s="3">
        <v>4408483.5736499997</v>
      </c>
      <c r="I308">
        <v>441</v>
      </c>
      <c r="J308" s="3">
        <v>440.84835736499997</v>
      </c>
      <c r="K308">
        <v>370</v>
      </c>
      <c r="L308">
        <v>772</v>
      </c>
      <c r="M308">
        <v>511.48412222887998</v>
      </c>
      <c r="N308">
        <v>107.53255761032899</v>
      </c>
      <c r="O308">
        <v>0</v>
      </c>
      <c r="P308">
        <v>30.160737991333001</v>
      </c>
      <c r="Q308">
        <v>9.7757663726806605</v>
      </c>
      <c r="R308">
        <v>5.4969325065612802</v>
      </c>
      <c r="S308" t="s">
        <v>881</v>
      </c>
      <c r="T308" t="s">
        <v>1040</v>
      </c>
      <c r="U308" t="s">
        <v>880</v>
      </c>
      <c r="V308" t="s">
        <v>880</v>
      </c>
      <c r="W308" s="3">
        <v>9098</v>
      </c>
      <c r="X308" s="3">
        <v>4400000</v>
      </c>
      <c r="Y308">
        <v>2</v>
      </c>
      <c r="Z308" s="3">
        <v>6018</v>
      </c>
      <c r="AA308" s="3">
        <v>6895</v>
      </c>
      <c r="AB308" s="3">
        <v>7273</v>
      </c>
      <c r="AC308" s="3">
        <v>7797</v>
      </c>
      <c r="AD308" s="3">
        <v>8137</v>
      </c>
      <c r="AE308" s="3">
        <v>8137</v>
      </c>
      <c r="AF308" s="3">
        <v>8139</v>
      </c>
      <c r="AG308" s="3">
        <v>8142</v>
      </c>
      <c r="AH308" s="3">
        <v>8408</v>
      </c>
      <c r="AI308" s="3">
        <v>8527</v>
      </c>
      <c r="AJ308" s="3">
        <v>8675</v>
      </c>
      <c r="AK308" s="3">
        <v>8822</v>
      </c>
      <c r="AL308" s="3">
        <v>8968</v>
      </c>
      <c r="AM308" s="3">
        <v>9074</v>
      </c>
      <c r="AN308" s="3">
        <v>9098</v>
      </c>
      <c r="AO308" s="3">
        <v>9100</v>
      </c>
      <c r="AP308" s="3">
        <v>9108</v>
      </c>
      <c r="AR308" s="4">
        <v>2070</v>
      </c>
      <c r="AS308" s="5">
        <f t="shared" si="42"/>
        <v>1.8216184778996343</v>
      </c>
      <c r="AT308" s="5">
        <f t="shared" si="43"/>
        <v>0.60913705583756339</v>
      </c>
      <c r="AU308" s="5">
        <f t="shared" si="44"/>
        <v>1.1907053485494294</v>
      </c>
      <c r="AV308" s="5">
        <f t="shared" si="45"/>
        <v>1.1905639513453743</v>
      </c>
      <c r="AW308" s="5">
        <f t="shared" si="46"/>
        <v>1.2267120208003441</v>
      </c>
      <c r="AX308" s="5">
        <f t="shared" si="47"/>
        <v>1.2615151931802557</v>
      </c>
      <c r="AY308" s="5">
        <f t="shared" si="48"/>
        <v>1.3877287057745684</v>
      </c>
      <c r="AZ308">
        <f t="shared" si="49"/>
        <v>4420000</v>
      </c>
      <c r="BA308">
        <v>270000</v>
      </c>
      <c r="BB308">
        <v>3270000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200000</v>
      </c>
      <c r="BJ308">
        <v>0</v>
      </c>
      <c r="BK308">
        <v>0</v>
      </c>
      <c r="BL308">
        <v>0</v>
      </c>
      <c r="BM308">
        <v>230000</v>
      </c>
      <c r="BN308">
        <v>0</v>
      </c>
      <c r="BO308">
        <v>0</v>
      </c>
      <c r="BP308">
        <v>400000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50000</v>
      </c>
      <c r="CT308">
        <v>77.601809954751147</v>
      </c>
      <c r="CU308">
        <v>11.76470588235291</v>
      </c>
      <c r="CV308">
        <v>9.0497737556561102</v>
      </c>
      <c r="CW308">
        <v>0</v>
      </c>
      <c r="CX308">
        <v>1.58371040723982</v>
      </c>
      <c r="CY308">
        <v>77.601809954751147</v>
      </c>
      <c r="CZ308">
        <v>11.764705882352899</v>
      </c>
      <c r="DA308">
        <v>9.0497737556561102</v>
      </c>
      <c r="DB308">
        <v>0</v>
      </c>
      <c r="DC308">
        <v>1.58371040723982</v>
      </c>
      <c r="DD308">
        <v>80.316742081447956</v>
      </c>
      <c r="DE308">
        <v>9.5022624434389105</v>
      </c>
      <c r="DF308">
        <v>9.0497737556561102</v>
      </c>
      <c r="DG308">
        <v>0</v>
      </c>
      <c r="DH308">
        <v>1.13122171945701</v>
      </c>
      <c r="DI308">
        <v>84.615384615384656</v>
      </c>
      <c r="DJ308">
        <v>5.2036199095022599</v>
      </c>
      <c r="DK308">
        <v>9.0497737556561102</v>
      </c>
      <c r="DL308">
        <v>0</v>
      </c>
      <c r="DM308">
        <v>1.13122171945701</v>
      </c>
      <c r="DN308">
        <v>84.615384615384656</v>
      </c>
      <c r="DO308">
        <v>5.2036199095022599</v>
      </c>
      <c r="DP308">
        <v>9.0497737556561102</v>
      </c>
      <c r="DQ308">
        <v>0</v>
      </c>
      <c r="DR308">
        <v>1.13122171945701</v>
      </c>
      <c r="DS308" t="s">
        <v>768</v>
      </c>
      <c r="DT308" t="s">
        <v>768</v>
      </c>
      <c r="DU308" t="s">
        <v>768</v>
      </c>
      <c r="DV308" t="s">
        <v>768</v>
      </c>
      <c r="DW308" t="s">
        <v>768</v>
      </c>
      <c r="DX308" t="s">
        <v>768</v>
      </c>
      <c r="DY308" t="s">
        <v>768</v>
      </c>
      <c r="DZ308" t="s">
        <v>768</v>
      </c>
      <c r="EA308" t="s">
        <v>768</v>
      </c>
      <c r="EB308" t="s">
        <v>768</v>
      </c>
      <c r="EC308" t="s">
        <v>768</v>
      </c>
      <c r="ED308" t="s">
        <v>889</v>
      </c>
      <c r="EE308" t="s">
        <v>887</v>
      </c>
      <c r="EF308" t="s">
        <v>746</v>
      </c>
      <c r="EG308" t="s">
        <v>760</v>
      </c>
    </row>
    <row r="309" spans="1:137" ht="14.55" customHeight="1" x14ac:dyDescent="0.3">
      <c r="A309" t="s">
        <v>1041</v>
      </c>
      <c r="B309">
        <v>74121</v>
      </c>
      <c r="C309" t="s">
        <v>1042</v>
      </c>
      <c r="D309" t="s">
        <v>543</v>
      </c>
      <c r="E309" t="s">
        <v>879</v>
      </c>
      <c r="F309" t="s">
        <v>742</v>
      </c>
      <c r="G309" t="s">
        <v>904</v>
      </c>
      <c r="H309" s="3">
        <v>6723813.92655</v>
      </c>
      <c r="I309">
        <v>665</v>
      </c>
      <c r="J309" s="3">
        <v>672.38139265500001</v>
      </c>
      <c r="K309">
        <v>363</v>
      </c>
      <c r="L309">
        <v>456</v>
      </c>
      <c r="M309">
        <v>410.46528527938699</v>
      </c>
      <c r="N309">
        <v>16.529873439716699</v>
      </c>
      <c r="O309">
        <v>0</v>
      </c>
      <c r="P309">
        <v>20.385318756103501</v>
      </c>
      <c r="Q309">
        <v>4.2079401016235396</v>
      </c>
      <c r="R309">
        <v>2.41847944259644</v>
      </c>
      <c r="S309" t="s">
        <v>881</v>
      </c>
      <c r="T309" t="s">
        <v>1043</v>
      </c>
      <c r="U309" t="s">
        <v>1042</v>
      </c>
      <c r="V309" t="s">
        <v>1042</v>
      </c>
      <c r="W309" s="3">
        <v>1104</v>
      </c>
      <c r="X309" s="3">
        <v>6710000</v>
      </c>
      <c r="Y309">
        <v>3</v>
      </c>
      <c r="Z309" s="3">
        <v>459</v>
      </c>
      <c r="AA309" s="3">
        <v>657</v>
      </c>
      <c r="AB309" s="3">
        <v>682</v>
      </c>
      <c r="AC309" s="3">
        <v>914</v>
      </c>
      <c r="AD309" s="3">
        <v>931</v>
      </c>
      <c r="AE309" s="3">
        <v>961</v>
      </c>
      <c r="AF309" s="3">
        <v>988</v>
      </c>
      <c r="AG309" s="3">
        <v>1010</v>
      </c>
      <c r="AH309" s="3">
        <v>1032</v>
      </c>
      <c r="AI309" s="3">
        <v>1098</v>
      </c>
      <c r="AJ309" s="3">
        <v>1113</v>
      </c>
      <c r="AK309" s="3">
        <v>1098</v>
      </c>
      <c r="AL309" s="3">
        <v>1097</v>
      </c>
      <c r="AM309" s="3">
        <v>1095</v>
      </c>
      <c r="AN309" s="3">
        <v>1104</v>
      </c>
      <c r="AO309" s="3">
        <v>1164</v>
      </c>
      <c r="AP309" s="3">
        <v>1168</v>
      </c>
      <c r="AQ309" s="3">
        <v>1279</v>
      </c>
      <c r="AR309" s="4">
        <v>174.06855439642325</v>
      </c>
      <c r="AS309" s="5">
        <f t="shared" si="42"/>
        <v>5.3921568627450984</v>
      </c>
      <c r="AT309" s="5">
        <f t="shared" si="43"/>
        <v>0.42279722645019446</v>
      </c>
      <c r="AU309" s="5">
        <f t="shared" si="44"/>
        <v>4.486803519061584</v>
      </c>
      <c r="AV309" s="5">
        <f t="shared" si="45"/>
        <v>1.8218623481781375</v>
      </c>
      <c r="AW309" s="5">
        <f t="shared" si="46"/>
        <v>2.8578751762142764</v>
      </c>
      <c r="AX309" s="5">
        <f t="shared" si="47"/>
        <v>3.563049853372434</v>
      </c>
      <c r="AY309" s="5">
        <f t="shared" si="48"/>
        <v>4.1747629982924099</v>
      </c>
      <c r="AZ309">
        <f t="shared" si="49"/>
        <v>6710000</v>
      </c>
      <c r="BA309">
        <v>0</v>
      </c>
      <c r="BB309">
        <v>740000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220000</v>
      </c>
      <c r="BJ309">
        <v>1600000</v>
      </c>
      <c r="BK309">
        <v>0</v>
      </c>
      <c r="BL309">
        <v>0</v>
      </c>
      <c r="BM309">
        <v>490000</v>
      </c>
      <c r="BN309">
        <v>420000</v>
      </c>
      <c r="BO309">
        <v>590000</v>
      </c>
      <c r="BP309">
        <v>2650000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T309">
        <v>12.518628912071531</v>
      </c>
      <c r="CU309">
        <v>46.050670640834561</v>
      </c>
      <c r="CV309">
        <v>41.430700447093898</v>
      </c>
      <c r="CW309">
        <v>0</v>
      </c>
      <c r="CX309">
        <v>0</v>
      </c>
      <c r="CY309">
        <v>13.263785394932931</v>
      </c>
      <c r="CZ309">
        <v>47.093889716840607</v>
      </c>
      <c r="DA309">
        <v>39.642324888226497</v>
      </c>
      <c r="DB309">
        <v>0</v>
      </c>
      <c r="DC309">
        <v>0</v>
      </c>
      <c r="DD309">
        <v>13.71087928464976</v>
      </c>
      <c r="DE309">
        <v>46.795827123695972</v>
      </c>
      <c r="DF309">
        <v>39.4932935916543</v>
      </c>
      <c r="DG309">
        <v>0</v>
      </c>
      <c r="DH309">
        <v>0</v>
      </c>
      <c r="DI309">
        <v>14.30700447093886</v>
      </c>
      <c r="DJ309">
        <v>46.199701937406829</v>
      </c>
      <c r="DK309">
        <v>39.4932935916543</v>
      </c>
      <c r="DL309">
        <v>0</v>
      </c>
      <c r="DM309">
        <v>0</v>
      </c>
      <c r="DN309">
        <v>14.30700447093886</v>
      </c>
      <c r="DO309">
        <v>46.199701937406829</v>
      </c>
      <c r="DP309">
        <v>39.4932935916543</v>
      </c>
      <c r="DQ309">
        <v>0</v>
      </c>
      <c r="DR309">
        <v>0</v>
      </c>
      <c r="DS309" t="s">
        <v>312</v>
      </c>
      <c r="DT309" t="s">
        <v>313</v>
      </c>
      <c r="DU309">
        <v>1231</v>
      </c>
      <c r="DV309" t="s">
        <v>547</v>
      </c>
      <c r="DW309" t="s">
        <v>548</v>
      </c>
      <c r="DX309">
        <v>86</v>
      </c>
      <c r="DY309">
        <v>130</v>
      </c>
      <c r="DZ309">
        <v>216</v>
      </c>
      <c r="EA309">
        <v>606779</v>
      </c>
      <c r="EB309">
        <v>388178</v>
      </c>
      <c r="EC309">
        <v>994957</v>
      </c>
      <c r="ED309" t="s">
        <v>889</v>
      </c>
      <c r="EE309" t="s">
        <v>887</v>
      </c>
      <c r="EF309" t="s">
        <v>746</v>
      </c>
      <c r="EG309" t="s">
        <v>760</v>
      </c>
    </row>
    <row r="310" spans="1:137" ht="14.55" customHeight="1" x14ac:dyDescent="0.3">
      <c r="A310" t="s">
        <v>1044</v>
      </c>
      <c r="B310">
        <v>74124</v>
      </c>
      <c r="C310" t="s">
        <v>1045</v>
      </c>
      <c r="D310" t="s">
        <v>543</v>
      </c>
      <c r="E310" t="s">
        <v>879</v>
      </c>
      <c r="F310" t="s">
        <v>742</v>
      </c>
      <c r="G310" t="s">
        <v>913</v>
      </c>
      <c r="H310" s="3">
        <v>7594926.9309200002</v>
      </c>
      <c r="I310">
        <v>756</v>
      </c>
      <c r="J310" s="3">
        <v>759.49269309199997</v>
      </c>
      <c r="K310">
        <v>446</v>
      </c>
      <c r="L310">
        <v>680</v>
      </c>
      <c r="M310">
        <v>558.96856718763604</v>
      </c>
      <c r="N310">
        <v>42.379069901540802</v>
      </c>
      <c r="O310">
        <v>0</v>
      </c>
      <c r="P310">
        <v>20.535100936889599</v>
      </c>
      <c r="Q310">
        <v>5.0621695518493697</v>
      </c>
      <c r="R310">
        <v>3.15567922592163</v>
      </c>
      <c r="S310" t="s">
        <v>881</v>
      </c>
      <c r="T310" t="s">
        <v>1046</v>
      </c>
      <c r="U310" t="s">
        <v>1045</v>
      </c>
      <c r="V310" t="s">
        <v>1045</v>
      </c>
      <c r="W310" s="3">
        <v>1682</v>
      </c>
      <c r="X310" s="3">
        <v>7620000</v>
      </c>
      <c r="Y310">
        <v>3</v>
      </c>
      <c r="Z310" s="3">
        <v>855</v>
      </c>
      <c r="AA310" s="3">
        <v>962</v>
      </c>
      <c r="AB310" s="3">
        <v>1232</v>
      </c>
      <c r="AC310" s="3">
        <v>1358</v>
      </c>
      <c r="AD310" s="3">
        <v>1375</v>
      </c>
      <c r="AE310" s="3">
        <v>1418</v>
      </c>
      <c r="AF310" s="3">
        <v>1457</v>
      </c>
      <c r="AG310" s="3">
        <v>1492</v>
      </c>
      <c r="AH310" s="3">
        <v>1527</v>
      </c>
      <c r="AI310" s="3">
        <v>1552</v>
      </c>
      <c r="AJ310" s="3">
        <v>1554</v>
      </c>
      <c r="AK310" s="3">
        <v>1556</v>
      </c>
      <c r="AL310" s="3">
        <v>1561</v>
      </c>
      <c r="AM310" s="3">
        <v>1566</v>
      </c>
      <c r="AN310" s="3">
        <v>1682</v>
      </c>
      <c r="AO310" s="3">
        <v>1683</v>
      </c>
      <c r="AP310" s="3">
        <v>1757</v>
      </c>
      <c r="AQ310" s="3">
        <v>1816</v>
      </c>
      <c r="AR310" s="4">
        <v>230.57742782152232</v>
      </c>
      <c r="AS310" s="5">
        <f t="shared" si="42"/>
        <v>1.564327485380117</v>
      </c>
      <c r="AT310" s="5">
        <f t="shared" si="43"/>
        <v>3.1185031185031189</v>
      </c>
      <c r="AU310" s="5">
        <f t="shared" si="44"/>
        <v>1.8262987012987015</v>
      </c>
      <c r="AV310" s="5">
        <f t="shared" si="45"/>
        <v>2.0590253946465338</v>
      </c>
      <c r="AW310" s="5">
        <f t="shared" si="46"/>
        <v>2.5937392500859997</v>
      </c>
      <c r="AX310" s="5">
        <f t="shared" si="47"/>
        <v>2.1306818181818183</v>
      </c>
      <c r="AY310" s="5">
        <f t="shared" si="48"/>
        <v>2.8512723249565357</v>
      </c>
      <c r="AZ310">
        <f t="shared" si="49"/>
        <v>7570000</v>
      </c>
      <c r="BA310">
        <v>0</v>
      </c>
      <c r="BB310">
        <v>1120000</v>
      </c>
      <c r="BC310">
        <v>0</v>
      </c>
      <c r="BD310">
        <v>180000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4370000</v>
      </c>
      <c r="BK310">
        <v>0</v>
      </c>
      <c r="BL310">
        <v>0</v>
      </c>
      <c r="BM310">
        <v>380000</v>
      </c>
      <c r="BN310">
        <v>0</v>
      </c>
      <c r="BO310">
        <v>840000</v>
      </c>
      <c r="BP310">
        <v>680000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T310">
        <v>9.5112285336855997</v>
      </c>
      <c r="CU310">
        <v>78.863936591809733</v>
      </c>
      <c r="CV310">
        <v>11.6248348745046</v>
      </c>
      <c r="CW310">
        <v>0</v>
      </c>
      <c r="CX310">
        <v>0</v>
      </c>
      <c r="CY310">
        <v>13.738441215323601</v>
      </c>
      <c r="CZ310">
        <v>75.561426684280093</v>
      </c>
      <c r="DA310">
        <v>10.700132100396299</v>
      </c>
      <c r="DB310">
        <v>0</v>
      </c>
      <c r="DC310">
        <v>0</v>
      </c>
      <c r="DD310">
        <v>13.8705416116248</v>
      </c>
      <c r="DE310">
        <v>76.089828269484798</v>
      </c>
      <c r="DF310">
        <v>10.0396301188904</v>
      </c>
      <c r="DG310">
        <v>0</v>
      </c>
      <c r="DH310">
        <v>0</v>
      </c>
      <c r="DI310">
        <v>17.173051519154601</v>
      </c>
      <c r="DJ310">
        <v>73.844121532364682</v>
      </c>
      <c r="DK310">
        <v>8.9828269484808505</v>
      </c>
      <c r="DL310">
        <v>0</v>
      </c>
      <c r="DM310">
        <v>0</v>
      </c>
      <c r="DN310">
        <v>17.173051519154601</v>
      </c>
      <c r="DO310">
        <v>73.844121532364682</v>
      </c>
      <c r="DP310">
        <v>8.9828269484808505</v>
      </c>
      <c r="DQ310">
        <v>0</v>
      </c>
      <c r="DR310">
        <v>0</v>
      </c>
      <c r="DS310" t="s">
        <v>312</v>
      </c>
      <c r="DT310" t="s">
        <v>313</v>
      </c>
      <c r="DU310">
        <v>1791</v>
      </c>
      <c r="DV310" t="s">
        <v>547</v>
      </c>
      <c r="DW310" t="s">
        <v>548</v>
      </c>
      <c r="DX310">
        <v>86</v>
      </c>
      <c r="DY310">
        <v>130</v>
      </c>
      <c r="DZ310">
        <v>216</v>
      </c>
      <c r="EA310">
        <v>606779</v>
      </c>
      <c r="EB310">
        <v>388178</v>
      </c>
      <c r="EC310">
        <v>994957</v>
      </c>
      <c r="ED310" t="s">
        <v>909</v>
      </c>
      <c r="EE310" t="s">
        <v>910</v>
      </c>
      <c r="EF310" t="s">
        <v>753</v>
      </c>
      <c r="EG310" t="s">
        <v>754</v>
      </c>
    </row>
    <row r="311" spans="1:137" ht="14.55" customHeight="1" x14ac:dyDescent="0.3">
      <c r="A311" t="s">
        <v>1047</v>
      </c>
      <c r="B311">
        <v>74126</v>
      </c>
      <c r="C311" t="s">
        <v>1048</v>
      </c>
      <c r="D311" t="s">
        <v>543</v>
      </c>
      <c r="E311" t="s">
        <v>879</v>
      </c>
      <c r="F311" t="s">
        <v>742</v>
      </c>
      <c r="G311" t="s">
        <v>904</v>
      </c>
      <c r="H311" s="3">
        <v>8506107.4791800007</v>
      </c>
      <c r="I311">
        <v>847</v>
      </c>
      <c r="J311" s="3">
        <v>850.61074791800002</v>
      </c>
      <c r="K311">
        <v>477</v>
      </c>
      <c r="L311">
        <v>1289</v>
      </c>
      <c r="M311">
        <v>773.04858142246405</v>
      </c>
      <c r="N311">
        <v>213.48472980296501</v>
      </c>
      <c r="O311">
        <v>0</v>
      </c>
      <c r="P311">
        <v>39.769603729248097</v>
      </c>
      <c r="Q311">
        <v>11.468870162963899</v>
      </c>
      <c r="R311">
        <v>7.9009323120117196</v>
      </c>
      <c r="S311" t="s">
        <v>881</v>
      </c>
      <c r="T311" t="s">
        <v>1049</v>
      </c>
      <c r="U311" t="s">
        <v>1048</v>
      </c>
      <c r="V311" t="s">
        <v>1048</v>
      </c>
      <c r="W311" s="3">
        <v>923</v>
      </c>
      <c r="X311" s="3">
        <v>8510000</v>
      </c>
      <c r="Y311">
        <v>3</v>
      </c>
      <c r="Z311" s="3">
        <v>367</v>
      </c>
      <c r="AA311" s="3">
        <v>485</v>
      </c>
      <c r="AB311" s="3">
        <v>592</v>
      </c>
      <c r="AC311" s="3">
        <v>760</v>
      </c>
      <c r="AD311" s="3">
        <v>772</v>
      </c>
      <c r="AE311" s="3">
        <v>765</v>
      </c>
      <c r="AF311" s="3">
        <v>759</v>
      </c>
      <c r="AG311" s="3">
        <v>752</v>
      </c>
      <c r="AH311" s="3">
        <v>767</v>
      </c>
      <c r="AI311" s="3">
        <v>791</v>
      </c>
      <c r="AJ311" s="3">
        <v>830</v>
      </c>
      <c r="AK311" s="3">
        <v>860</v>
      </c>
      <c r="AL311" s="3">
        <v>890</v>
      </c>
      <c r="AM311" s="3">
        <v>902</v>
      </c>
      <c r="AN311" s="3">
        <v>923</v>
      </c>
      <c r="AO311" s="3">
        <v>954</v>
      </c>
      <c r="AP311" s="3">
        <v>990</v>
      </c>
      <c r="AQ311" s="3">
        <v>1050</v>
      </c>
      <c r="AR311" s="4">
        <v>116.33372502937721</v>
      </c>
      <c r="AS311" s="5">
        <f t="shared" si="42"/>
        <v>4.0190735694822886</v>
      </c>
      <c r="AT311" s="5">
        <f t="shared" si="43"/>
        <v>2.4513172966781216</v>
      </c>
      <c r="AU311" s="5">
        <f t="shared" si="44"/>
        <v>2.8209459459459456</v>
      </c>
      <c r="AV311" s="5">
        <f t="shared" si="45"/>
        <v>3.0434782608695654</v>
      </c>
      <c r="AW311" s="5">
        <f t="shared" si="46"/>
        <v>3.6063471710209969</v>
      </c>
      <c r="AX311" s="5">
        <f t="shared" si="47"/>
        <v>3.361486486486486</v>
      </c>
      <c r="AY311" s="5">
        <f t="shared" si="48"/>
        <v>4.5879667133073125</v>
      </c>
      <c r="AZ311">
        <f t="shared" si="49"/>
        <v>8500000</v>
      </c>
      <c r="BA311">
        <v>0</v>
      </c>
      <c r="BB311">
        <v>610000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470000</v>
      </c>
      <c r="BM311">
        <v>960000</v>
      </c>
      <c r="BN311">
        <v>1280000</v>
      </c>
      <c r="BO311">
        <v>0</v>
      </c>
      <c r="BP311">
        <v>60000</v>
      </c>
      <c r="BQ311">
        <v>300000</v>
      </c>
      <c r="BR311">
        <v>4820000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T311">
        <v>5.5294117647058796</v>
      </c>
      <c r="CU311">
        <v>33.294117647058911</v>
      </c>
      <c r="CV311">
        <v>61.176470588235262</v>
      </c>
      <c r="CW311">
        <v>0</v>
      </c>
      <c r="CX311">
        <v>0</v>
      </c>
      <c r="CY311">
        <v>5.5294117647058796</v>
      </c>
      <c r="CZ311">
        <v>33.294117647058911</v>
      </c>
      <c r="DA311">
        <v>61.176470588235297</v>
      </c>
      <c r="DB311">
        <v>0</v>
      </c>
      <c r="DC311">
        <v>0</v>
      </c>
      <c r="DD311">
        <v>5.7647058823529402</v>
      </c>
      <c r="DE311">
        <v>33.294117647058911</v>
      </c>
      <c r="DF311">
        <v>60.941176470588204</v>
      </c>
      <c r="DG311">
        <v>0</v>
      </c>
      <c r="DH311">
        <v>0</v>
      </c>
      <c r="DI311">
        <v>7.1764705882352899</v>
      </c>
      <c r="DJ311">
        <v>31.882352941176478</v>
      </c>
      <c r="DK311">
        <v>60.941176470588204</v>
      </c>
      <c r="DL311">
        <v>0</v>
      </c>
      <c r="DM311">
        <v>0</v>
      </c>
      <c r="DN311">
        <v>7.1764705882352899</v>
      </c>
      <c r="DO311">
        <v>31.882352941176478</v>
      </c>
      <c r="DP311">
        <v>60.941176470588204</v>
      </c>
      <c r="DQ311">
        <v>0</v>
      </c>
      <c r="DR311">
        <v>0</v>
      </c>
      <c r="DS311" t="s">
        <v>312</v>
      </c>
      <c r="DT311" t="s">
        <v>313</v>
      </c>
      <c r="DU311">
        <v>1026</v>
      </c>
      <c r="DV311" t="s">
        <v>547</v>
      </c>
      <c r="DW311" t="s">
        <v>548</v>
      </c>
      <c r="DX311">
        <v>86</v>
      </c>
      <c r="DY311">
        <v>130</v>
      </c>
      <c r="DZ311">
        <v>216</v>
      </c>
      <c r="EA311">
        <v>606779</v>
      </c>
      <c r="EB311">
        <v>388178</v>
      </c>
      <c r="EC311">
        <v>994957</v>
      </c>
      <c r="ED311" t="s">
        <v>973</v>
      </c>
      <c r="EE311" t="s">
        <v>974</v>
      </c>
      <c r="EF311" t="s">
        <v>746</v>
      </c>
      <c r="EG311" t="s">
        <v>747</v>
      </c>
    </row>
    <row r="312" spans="1:137" ht="14.55" customHeight="1" x14ac:dyDescent="0.3">
      <c r="A312" t="s">
        <v>1050</v>
      </c>
      <c r="B312">
        <v>74127</v>
      </c>
      <c r="C312" t="s">
        <v>1051</v>
      </c>
      <c r="D312" t="s">
        <v>878</v>
      </c>
      <c r="E312" t="s">
        <v>879</v>
      </c>
      <c r="F312" t="s">
        <v>742</v>
      </c>
      <c r="G312" t="s">
        <v>880</v>
      </c>
      <c r="H312" s="3">
        <v>14245487.720100001</v>
      </c>
      <c r="I312">
        <v>1422</v>
      </c>
      <c r="J312" s="3">
        <v>1424.54877201</v>
      </c>
      <c r="K312">
        <v>418</v>
      </c>
      <c r="L312">
        <v>902</v>
      </c>
      <c r="M312">
        <v>713.14947163515001</v>
      </c>
      <c r="N312">
        <v>102.573088367594</v>
      </c>
      <c r="O312">
        <v>0</v>
      </c>
      <c r="P312">
        <v>55.041248321533203</v>
      </c>
      <c r="Q312">
        <v>10.3333692550659</v>
      </c>
      <c r="R312">
        <v>8.4512252807617205</v>
      </c>
      <c r="S312" t="s">
        <v>881</v>
      </c>
      <c r="T312" t="s">
        <v>1052</v>
      </c>
      <c r="U312" t="s">
        <v>1051</v>
      </c>
      <c r="V312" t="s">
        <v>1051</v>
      </c>
      <c r="W312" s="3">
        <v>1418</v>
      </c>
      <c r="X312" s="3">
        <v>14250000</v>
      </c>
      <c r="Y312">
        <v>3</v>
      </c>
      <c r="Z312" s="3">
        <v>825</v>
      </c>
      <c r="AA312" s="3">
        <v>1064</v>
      </c>
      <c r="AB312" s="3">
        <v>1151</v>
      </c>
      <c r="AC312" s="3">
        <v>1274</v>
      </c>
      <c r="AD312" s="3">
        <v>1291</v>
      </c>
      <c r="AE312" s="3">
        <v>1294</v>
      </c>
      <c r="AF312" s="3">
        <v>1304</v>
      </c>
      <c r="AG312" s="3">
        <v>1330</v>
      </c>
      <c r="AH312" s="3">
        <v>1355</v>
      </c>
      <c r="AI312" s="3">
        <v>1380</v>
      </c>
      <c r="AJ312" s="3">
        <v>1379</v>
      </c>
      <c r="AK312" s="3">
        <v>1381</v>
      </c>
      <c r="AL312" s="3">
        <v>1393</v>
      </c>
      <c r="AM312" s="3">
        <v>1406</v>
      </c>
      <c r="AN312" s="3">
        <v>1418</v>
      </c>
      <c r="AO312" s="3">
        <v>1420</v>
      </c>
      <c r="AP312" s="3">
        <v>1433</v>
      </c>
      <c r="AR312" s="4">
        <v>100.56140350877193</v>
      </c>
      <c r="AS312" s="5">
        <f t="shared" si="42"/>
        <v>3.6212121212121211</v>
      </c>
      <c r="AT312" s="5">
        <f t="shared" si="43"/>
        <v>0.90852130325814529</v>
      </c>
      <c r="AU312" s="5">
        <f t="shared" si="44"/>
        <v>1.3292788879235449</v>
      </c>
      <c r="AV312" s="5">
        <f t="shared" si="45"/>
        <v>0.98926380368098166</v>
      </c>
      <c r="AW312" s="5">
        <f t="shared" si="46"/>
        <v>2.3244206773618536</v>
      </c>
      <c r="AX312" s="5">
        <f t="shared" si="47"/>
        <v>1.2250217202432667</v>
      </c>
      <c r="AY312" s="5">
        <f t="shared" si="48"/>
        <v>1.9918099918099916</v>
      </c>
      <c r="AZ312">
        <f t="shared" si="49"/>
        <v>14210000</v>
      </c>
      <c r="BA312">
        <v>0</v>
      </c>
      <c r="BB312">
        <v>770000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370000</v>
      </c>
      <c r="BK312">
        <v>0</v>
      </c>
      <c r="BL312">
        <v>0</v>
      </c>
      <c r="BM312">
        <v>6720000</v>
      </c>
      <c r="BN312">
        <v>460000</v>
      </c>
      <c r="BO312">
        <v>270000</v>
      </c>
      <c r="BP312">
        <v>3330000</v>
      </c>
      <c r="BQ312">
        <v>0</v>
      </c>
      <c r="BR312">
        <v>2290000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T312">
        <v>4.5038705137227302</v>
      </c>
      <c r="CU312">
        <v>55.453905700211074</v>
      </c>
      <c r="CV312">
        <v>40.042223786066181</v>
      </c>
      <c r="CW312">
        <v>0</v>
      </c>
      <c r="CX312">
        <v>0</v>
      </c>
      <c r="CY312">
        <v>4.5038705137227302</v>
      </c>
      <c r="CZ312">
        <v>56.016889514426445</v>
      </c>
      <c r="DA312">
        <v>39.479239971850781</v>
      </c>
      <c r="DB312">
        <v>0</v>
      </c>
      <c r="DC312">
        <v>0</v>
      </c>
      <c r="DD312">
        <v>5.4187192118226601</v>
      </c>
      <c r="DE312">
        <v>55.031667839549641</v>
      </c>
      <c r="DF312">
        <v>39.549612948627683</v>
      </c>
      <c r="DG312">
        <v>0</v>
      </c>
      <c r="DH312">
        <v>0</v>
      </c>
      <c r="DI312">
        <v>5.4187192118226601</v>
      </c>
      <c r="DJ312">
        <v>55.031667839549641</v>
      </c>
      <c r="DK312">
        <v>39.549612948627697</v>
      </c>
      <c r="DL312">
        <v>0</v>
      </c>
      <c r="DM312">
        <v>0</v>
      </c>
      <c r="DN312">
        <v>5.4187192118226601</v>
      </c>
      <c r="DO312">
        <v>55.031667839549641</v>
      </c>
      <c r="DP312">
        <v>39.549612948627697</v>
      </c>
      <c r="DQ312">
        <v>0</v>
      </c>
      <c r="DR312">
        <v>0</v>
      </c>
      <c r="DS312" t="s">
        <v>768</v>
      </c>
      <c r="DT312" t="s">
        <v>768</v>
      </c>
      <c r="DU312" t="s">
        <v>768</v>
      </c>
      <c r="DV312" t="s">
        <v>768</v>
      </c>
      <c r="DW312" t="s">
        <v>768</v>
      </c>
      <c r="DX312" t="s">
        <v>768</v>
      </c>
      <c r="DY312" t="s">
        <v>768</v>
      </c>
      <c r="DZ312" t="s">
        <v>768</v>
      </c>
      <c r="EA312" t="s">
        <v>768</v>
      </c>
      <c r="EB312" t="s">
        <v>768</v>
      </c>
      <c r="EC312" t="s">
        <v>768</v>
      </c>
      <c r="ED312" t="s">
        <v>909</v>
      </c>
      <c r="EE312" t="s">
        <v>910</v>
      </c>
      <c r="EF312" t="s">
        <v>753</v>
      </c>
      <c r="EG312" t="s">
        <v>754</v>
      </c>
    </row>
    <row r="313" spans="1:137" ht="14.55" customHeight="1" x14ac:dyDescent="0.3">
      <c r="A313" t="s">
        <v>1053</v>
      </c>
      <c r="B313">
        <v>74129</v>
      </c>
      <c r="C313" t="s">
        <v>1054</v>
      </c>
      <c r="D313" t="s">
        <v>878</v>
      </c>
      <c r="E313" t="s">
        <v>879</v>
      </c>
      <c r="F313" t="s">
        <v>742</v>
      </c>
      <c r="G313" t="s">
        <v>880</v>
      </c>
      <c r="H313" s="3">
        <v>3992399.4297600002</v>
      </c>
      <c r="I313">
        <v>398</v>
      </c>
      <c r="J313" s="3">
        <v>399.23994297600001</v>
      </c>
      <c r="K313">
        <v>546</v>
      </c>
      <c r="L313">
        <v>1560</v>
      </c>
      <c r="M313">
        <v>913.00512735692996</v>
      </c>
      <c r="N313">
        <v>219.65496536832001</v>
      </c>
      <c r="O313">
        <v>1.01275038719177</v>
      </c>
      <c r="P313">
        <v>57.725788116455099</v>
      </c>
      <c r="Q313">
        <v>24.462604522705099</v>
      </c>
      <c r="R313">
        <v>9.4529724121093803</v>
      </c>
      <c r="S313" t="s">
        <v>881</v>
      </c>
      <c r="T313" t="s">
        <v>1055</v>
      </c>
      <c r="U313" t="s">
        <v>1054</v>
      </c>
      <c r="V313" t="s">
        <v>1054</v>
      </c>
      <c r="W313" s="3">
        <v>233</v>
      </c>
      <c r="X313" s="3">
        <v>4000000</v>
      </c>
      <c r="Y313">
        <v>3</v>
      </c>
      <c r="Z313" s="3">
        <v>170</v>
      </c>
      <c r="AA313" s="3">
        <v>177</v>
      </c>
      <c r="AB313" s="3">
        <v>195</v>
      </c>
      <c r="AC313" s="3">
        <v>209</v>
      </c>
      <c r="AD313" s="3">
        <v>210</v>
      </c>
      <c r="AE313" s="3">
        <v>216</v>
      </c>
      <c r="AF313" s="3">
        <v>215</v>
      </c>
      <c r="AG313" s="3">
        <v>215</v>
      </c>
      <c r="AH313" s="3">
        <v>214</v>
      </c>
      <c r="AI313" s="3">
        <v>214</v>
      </c>
      <c r="AJ313" s="3">
        <v>217</v>
      </c>
      <c r="AK313" s="3">
        <v>223</v>
      </c>
      <c r="AL313" s="3">
        <v>230</v>
      </c>
      <c r="AM313" s="3">
        <v>236</v>
      </c>
      <c r="AN313" s="3">
        <v>233</v>
      </c>
      <c r="AO313" s="3">
        <v>232</v>
      </c>
      <c r="AP313" s="3">
        <v>227</v>
      </c>
      <c r="AR313" s="4">
        <v>56.75</v>
      </c>
      <c r="AS313" s="5">
        <f t="shared" si="42"/>
        <v>0.51470588235294112</v>
      </c>
      <c r="AT313" s="5">
        <f t="shared" si="43"/>
        <v>1.1299435028248588</v>
      </c>
      <c r="AU313" s="5">
        <f t="shared" si="44"/>
        <v>1.0256410256410255</v>
      </c>
      <c r="AV313" s="5">
        <f t="shared" si="45"/>
        <v>0.55813953488372092</v>
      </c>
      <c r="AW313" s="5">
        <f t="shared" si="46"/>
        <v>0.86505190311418689</v>
      </c>
      <c r="AX313" s="5">
        <f t="shared" si="47"/>
        <v>0.82051282051282048</v>
      </c>
      <c r="AY313" s="5">
        <f t="shared" si="48"/>
        <v>0.90620031796502376</v>
      </c>
      <c r="AZ313">
        <f t="shared" si="49"/>
        <v>3970000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2210000</v>
      </c>
      <c r="BQ313">
        <v>710000</v>
      </c>
      <c r="BR313">
        <v>540000</v>
      </c>
      <c r="BS313">
        <v>510000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T313">
        <v>0</v>
      </c>
      <c r="CU313">
        <v>0</v>
      </c>
      <c r="CV313">
        <v>100</v>
      </c>
      <c r="CW313">
        <v>0</v>
      </c>
      <c r="CX313">
        <v>0</v>
      </c>
      <c r="CY313">
        <v>0</v>
      </c>
      <c r="CZ313">
        <v>0</v>
      </c>
      <c r="DA313">
        <v>100</v>
      </c>
      <c r="DB313">
        <v>0</v>
      </c>
      <c r="DC313">
        <v>0</v>
      </c>
      <c r="DD313">
        <v>0</v>
      </c>
      <c r="DE313">
        <v>0</v>
      </c>
      <c r="DF313">
        <v>100</v>
      </c>
      <c r="DG313">
        <v>0</v>
      </c>
      <c r="DH313">
        <v>0</v>
      </c>
      <c r="DI313">
        <v>0</v>
      </c>
      <c r="DJ313">
        <v>0</v>
      </c>
      <c r="DK313">
        <v>100</v>
      </c>
      <c r="DL313">
        <v>0</v>
      </c>
      <c r="DM313">
        <v>0</v>
      </c>
      <c r="DN313">
        <v>0</v>
      </c>
      <c r="DO313">
        <v>0</v>
      </c>
      <c r="DP313">
        <v>100</v>
      </c>
      <c r="DQ313">
        <v>0</v>
      </c>
      <c r="DR313">
        <v>0</v>
      </c>
      <c r="DS313" t="s">
        <v>768</v>
      </c>
      <c r="DT313" t="s">
        <v>768</v>
      </c>
      <c r="DU313" t="s">
        <v>768</v>
      </c>
      <c r="DV313" t="s">
        <v>768</v>
      </c>
      <c r="DW313" t="s">
        <v>768</v>
      </c>
      <c r="DX313" t="s">
        <v>768</v>
      </c>
      <c r="DY313" t="s">
        <v>768</v>
      </c>
      <c r="DZ313" t="s">
        <v>768</v>
      </c>
      <c r="EA313" t="s">
        <v>768</v>
      </c>
      <c r="EB313" t="s">
        <v>768</v>
      </c>
      <c r="EC313" t="s">
        <v>768</v>
      </c>
      <c r="ED313" t="s">
        <v>909</v>
      </c>
      <c r="EE313" t="s">
        <v>910</v>
      </c>
      <c r="EF313" t="s">
        <v>753</v>
      </c>
      <c r="EG313" t="s">
        <v>754</v>
      </c>
    </row>
    <row r="314" spans="1:137" ht="14.55" customHeight="1" x14ac:dyDescent="0.3">
      <c r="A314" t="s">
        <v>1056</v>
      </c>
      <c r="B314">
        <v>74133</v>
      </c>
      <c r="C314" t="s">
        <v>924</v>
      </c>
      <c r="D314" t="s">
        <v>543</v>
      </c>
      <c r="E314" t="s">
        <v>879</v>
      </c>
      <c r="F314" t="s">
        <v>742</v>
      </c>
      <c r="G314" t="s">
        <v>924</v>
      </c>
      <c r="H314" s="3">
        <v>3928359.6338499999</v>
      </c>
      <c r="I314">
        <v>397</v>
      </c>
      <c r="J314" s="3">
        <v>392.83596338500001</v>
      </c>
      <c r="K314">
        <v>382</v>
      </c>
      <c r="L314">
        <v>442</v>
      </c>
      <c r="M314">
        <v>405.46249789313998</v>
      </c>
      <c r="N314">
        <v>11.611824542377899</v>
      </c>
      <c r="O314">
        <v>0</v>
      </c>
      <c r="P314">
        <v>22.349027633666999</v>
      </c>
      <c r="Q314">
        <v>4.5717430114746103</v>
      </c>
      <c r="R314">
        <v>3.0924763679504399</v>
      </c>
      <c r="S314" t="s">
        <v>881</v>
      </c>
      <c r="T314" t="s">
        <v>1057</v>
      </c>
      <c r="U314" t="s">
        <v>924</v>
      </c>
      <c r="V314" t="s">
        <v>924</v>
      </c>
      <c r="W314" s="3">
        <v>10619</v>
      </c>
      <c r="X314" s="3">
        <v>3920000</v>
      </c>
      <c r="Y314">
        <v>1</v>
      </c>
      <c r="Z314" s="3">
        <v>9079</v>
      </c>
      <c r="AA314" s="3">
        <v>9592</v>
      </c>
      <c r="AB314" s="3">
        <v>9949</v>
      </c>
      <c r="AC314" s="3">
        <v>11507</v>
      </c>
      <c r="AD314" s="3">
        <v>11397</v>
      </c>
      <c r="AE314" s="3">
        <v>11270</v>
      </c>
      <c r="AF314" s="3">
        <v>11144</v>
      </c>
      <c r="AG314" s="3">
        <v>11181</v>
      </c>
      <c r="AH314" s="3">
        <v>11290</v>
      </c>
      <c r="AI314" s="3">
        <v>11303</v>
      </c>
      <c r="AJ314" s="3">
        <v>11723</v>
      </c>
      <c r="AK314" s="3">
        <v>11589</v>
      </c>
      <c r="AL314" s="3">
        <v>11572</v>
      </c>
      <c r="AM314" s="3">
        <v>11152</v>
      </c>
      <c r="AN314" s="3">
        <v>10619</v>
      </c>
      <c r="AO314" s="3">
        <v>10419</v>
      </c>
      <c r="AP314" s="3">
        <v>10071</v>
      </c>
      <c r="AQ314" s="3">
        <v>10175</v>
      </c>
      <c r="AR314" s="4">
        <v>2569.1326530612246</v>
      </c>
      <c r="AS314" s="5">
        <f t="shared" si="42"/>
        <v>0.70630025333186475</v>
      </c>
      <c r="AT314" s="5">
        <f t="shared" si="43"/>
        <v>0.41353906032805116</v>
      </c>
      <c r="AU314" s="5">
        <f t="shared" si="44"/>
        <v>1.2011257412805307</v>
      </c>
      <c r="AV314" s="5">
        <f t="shared" si="45"/>
        <v>-0.96284996410624557</v>
      </c>
      <c r="AW314" s="5">
        <f t="shared" si="46"/>
        <v>0.56367959674232071</v>
      </c>
      <c r="AX314" s="5">
        <f t="shared" si="47"/>
        <v>6.1312694743190267E-2</v>
      </c>
      <c r="AY314" s="5">
        <f t="shared" si="48"/>
        <v>0.29530576947693371</v>
      </c>
      <c r="AZ314">
        <f t="shared" si="49"/>
        <v>3960000</v>
      </c>
      <c r="BA314">
        <v>0</v>
      </c>
      <c r="BB314">
        <v>2020000</v>
      </c>
      <c r="BC314">
        <v>360000</v>
      </c>
      <c r="BD314">
        <v>0</v>
      </c>
      <c r="BE314">
        <v>0</v>
      </c>
      <c r="BF314">
        <v>0</v>
      </c>
      <c r="BG314">
        <v>100000</v>
      </c>
      <c r="BH314">
        <v>0</v>
      </c>
      <c r="BI314">
        <v>0</v>
      </c>
      <c r="BJ314">
        <v>900000</v>
      </c>
      <c r="BK314">
        <v>0</v>
      </c>
      <c r="BL314">
        <v>0</v>
      </c>
      <c r="BM314">
        <v>0</v>
      </c>
      <c r="BN314">
        <v>0</v>
      </c>
      <c r="BO314">
        <v>90000</v>
      </c>
      <c r="BP314">
        <v>490000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T314">
        <v>58.080808080808097</v>
      </c>
      <c r="CU314">
        <v>27.27272727272732</v>
      </c>
      <c r="CV314">
        <v>14.646464646464599</v>
      </c>
      <c r="CW314">
        <v>0</v>
      </c>
      <c r="CX314">
        <v>0</v>
      </c>
      <c r="CY314">
        <v>62.626262626262616</v>
      </c>
      <c r="CZ314">
        <v>25.000000000000011</v>
      </c>
      <c r="DA314">
        <v>12.3737373737374</v>
      </c>
      <c r="DB314">
        <v>0</v>
      </c>
      <c r="DC314">
        <v>0</v>
      </c>
      <c r="DD314">
        <v>62.878787878787868</v>
      </c>
      <c r="DE314">
        <v>24.747474747474712</v>
      </c>
      <c r="DF314">
        <v>12.3737373737374</v>
      </c>
      <c r="DG314">
        <v>0</v>
      </c>
      <c r="DH314">
        <v>0</v>
      </c>
      <c r="DI314">
        <v>62.626262626262623</v>
      </c>
      <c r="DJ314">
        <v>24.999999999999972</v>
      </c>
      <c r="DK314">
        <v>12.3737373737374</v>
      </c>
      <c r="DL314">
        <v>0</v>
      </c>
      <c r="DM314">
        <v>0</v>
      </c>
      <c r="DN314">
        <v>62.626262626262623</v>
      </c>
      <c r="DO314">
        <v>24.999999999999972</v>
      </c>
      <c r="DP314">
        <v>12.3737373737374</v>
      </c>
      <c r="DQ314">
        <v>0</v>
      </c>
      <c r="DR314">
        <v>0</v>
      </c>
      <c r="DS314" t="s">
        <v>371</v>
      </c>
      <c r="DT314" t="s">
        <v>313</v>
      </c>
      <c r="DU314">
        <v>10350</v>
      </c>
      <c r="DV314" t="s">
        <v>547</v>
      </c>
      <c r="DW314" t="s">
        <v>548</v>
      </c>
      <c r="DX314">
        <v>86</v>
      </c>
      <c r="DY314">
        <v>130</v>
      </c>
      <c r="DZ314">
        <v>216</v>
      </c>
      <c r="EA314">
        <v>606779</v>
      </c>
      <c r="EB314">
        <v>388178</v>
      </c>
      <c r="EC314">
        <v>994957</v>
      </c>
      <c r="ED314" t="s">
        <v>807</v>
      </c>
      <c r="EE314" t="s">
        <v>808</v>
      </c>
      <c r="EF314" t="s">
        <v>746</v>
      </c>
      <c r="EG314" t="s">
        <v>760</v>
      </c>
    </row>
    <row r="315" spans="1:137" ht="14.55" customHeight="1" x14ac:dyDescent="0.3">
      <c r="A315" t="s">
        <v>1058</v>
      </c>
      <c r="B315">
        <v>74134</v>
      </c>
      <c r="C315" t="s">
        <v>1059</v>
      </c>
      <c r="D315" t="s">
        <v>878</v>
      </c>
      <c r="E315" t="s">
        <v>879</v>
      </c>
      <c r="F315" t="s">
        <v>742</v>
      </c>
      <c r="G315" t="s">
        <v>880</v>
      </c>
      <c r="H315" s="3">
        <v>29919604.709100001</v>
      </c>
      <c r="I315">
        <v>2985</v>
      </c>
      <c r="J315" s="3">
        <v>2991.9604709099999</v>
      </c>
      <c r="K315">
        <v>935</v>
      </c>
      <c r="L315">
        <v>1821</v>
      </c>
      <c r="M315">
        <v>1343.97532450272</v>
      </c>
      <c r="N315">
        <v>164.000880238729</v>
      </c>
      <c r="O315">
        <v>0</v>
      </c>
      <c r="P315">
        <v>64.607101440429702</v>
      </c>
      <c r="Q315">
        <v>16.5121250152588</v>
      </c>
      <c r="R315">
        <v>8.7840652465820295</v>
      </c>
      <c r="S315" t="s">
        <v>881</v>
      </c>
      <c r="T315" t="s">
        <v>1060</v>
      </c>
      <c r="U315" t="s">
        <v>1059</v>
      </c>
      <c r="V315" t="s">
        <v>1059</v>
      </c>
      <c r="W315" s="3">
        <v>1239</v>
      </c>
      <c r="X315" s="3">
        <v>29910000</v>
      </c>
      <c r="Y315">
        <v>3</v>
      </c>
      <c r="Z315" s="3">
        <v>1097</v>
      </c>
      <c r="AA315" s="3">
        <v>1287</v>
      </c>
      <c r="AB315" s="3">
        <v>1352</v>
      </c>
      <c r="AC315" s="3">
        <v>1321</v>
      </c>
      <c r="AD315" s="3">
        <v>1299</v>
      </c>
      <c r="AE315" s="3">
        <v>1276</v>
      </c>
      <c r="AF315" s="3">
        <v>1254</v>
      </c>
      <c r="AG315" s="3">
        <v>1248</v>
      </c>
      <c r="AH315" s="3">
        <v>1257</v>
      </c>
      <c r="AI315" s="3">
        <v>1255</v>
      </c>
      <c r="AJ315" s="3">
        <v>1258</v>
      </c>
      <c r="AK315" s="3">
        <v>1260</v>
      </c>
      <c r="AL315" s="3">
        <v>1251</v>
      </c>
      <c r="AM315" s="3">
        <v>1249</v>
      </c>
      <c r="AN315" s="3">
        <v>1239</v>
      </c>
      <c r="AO315" s="3">
        <v>1227</v>
      </c>
      <c r="AP315" s="3">
        <v>1215</v>
      </c>
      <c r="AR315" s="4">
        <v>40.621865596790371</v>
      </c>
      <c r="AS315" s="5">
        <f t="shared" si="42"/>
        <v>2.1649954421148587</v>
      </c>
      <c r="AT315" s="5">
        <f t="shared" si="43"/>
        <v>0.5611672278338945</v>
      </c>
      <c r="AU315" s="5">
        <f t="shared" si="44"/>
        <v>-0.72485207100591709</v>
      </c>
      <c r="AV315" s="5">
        <f t="shared" si="45"/>
        <v>-0.31100478468899523</v>
      </c>
      <c r="AW315" s="5">
        <f t="shared" si="46"/>
        <v>1.3673655423883317</v>
      </c>
      <c r="AX315" s="5">
        <f t="shared" si="47"/>
        <v>-0.50665680473372787</v>
      </c>
      <c r="AY315" s="5">
        <f t="shared" si="48"/>
        <v>0.29071916036364531</v>
      </c>
      <c r="AZ315">
        <f t="shared" si="49"/>
        <v>29890000</v>
      </c>
      <c r="BA315">
        <v>0</v>
      </c>
      <c r="BB315">
        <v>1690000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620000</v>
      </c>
      <c r="BJ315">
        <v>0</v>
      </c>
      <c r="BK315">
        <v>0</v>
      </c>
      <c r="BL315">
        <v>0</v>
      </c>
      <c r="BM315">
        <v>2810000</v>
      </c>
      <c r="BN315">
        <v>780000</v>
      </c>
      <c r="BO315">
        <v>1210000</v>
      </c>
      <c r="BP315">
        <v>520000</v>
      </c>
      <c r="BQ315">
        <v>9210000</v>
      </c>
      <c r="BR315">
        <v>6640000</v>
      </c>
      <c r="BS315">
        <v>5730000</v>
      </c>
      <c r="BT315">
        <v>680000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T315">
        <v>6.25627300100368</v>
      </c>
      <c r="CU315">
        <v>18.400802944128429</v>
      </c>
      <c r="CV315">
        <v>75.342924054867794</v>
      </c>
      <c r="CW315">
        <v>0</v>
      </c>
      <c r="CX315">
        <v>0</v>
      </c>
      <c r="CY315">
        <v>7.3937771830043504</v>
      </c>
      <c r="CZ315">
        <v>15.122114419538299</v>
      </c>
      <c r="DA315">
        <v>77.484108397457305</v>
      </c>
      <c r="DB315">
        <v>0</v>
      </c>
      <c r="DC315">
        <v>0</v>
      </c>
      <c r="DD315">
        <v>7.3937771830043504</v>
      </c>
      <c r="DE315">
        <v>16.393442622950822</v>
      </c>
      <c r="DF315">
        <v>76.212780194044797</v>
      </c>
      <c r="DG315">
        <v>0</v>
      </c>
      <c r="DH315">
        <v>0</v>
      </c>
      <c r="DI315">
        <v>7.7283372365339602</v>
      </c>
      <c r="DJ315">
        <v>16.058882569421208</v>
      </c>
      <c r="DK315">
        <v>76.212780194044797</v>
      </c>
      <c r="DL315">
        <v>0</v>
      </c>
      <c r="DM315">
        <v>0</v>
      </c>
      <c r="DN315">
        <v>7.7283372365339602</v>
      </c>
      <c r="DO315">
        <v>16.058882569421208</v>
      </c>
      <c r="DP315">
        <v>76.212780194044797</v>
      </c>
      <c r="DQ315">
        <v>0</v>
      </c>
      <c r="DR315">
        <v>0</v>
      </c>
      <c r="DS315" t="s">
        <v>768</v>
      </c>
      <c r="DT315" t="s">
        <v>768</v>
      </c>
      <c r="DU315" t="s">
        <v>768</v>
      </c>
      <c r="DV315" t="s">
        <v>768</v>
      </c>
      <c r="DW315" t="s">
        <v>768</v>
      </c>
      <c r="DX315" t="s">
        <v>768</v>
      </c>
      <c r="DY315" t="s">
        <v>768</v>
      </c>
      <c r="DZ315" t="s">
        <v>768</v>
      </c>
      <c r="EA315" t="s">
        <v>768</v>
      </c>
      <c r="EB315" t="s">
        <v>768</v>
      </c>
      <c r="EC315" t="s">
        <v>768</v>
      </c>
      <c r="ED315" t="s">
        <v>909</v>
      </c>
      <c r="EE315" t="s">
        <v>910</v>
      </c>
      <c r="EF315" t="s">
        <v>753</v>
      </c>
      <c r="EG315" t="s">
        <v>754</v>
      </c>
    </row>
    <row r="316" spans="1:137" ht="14.55" customHeight="1" x14ac:dyDescent="0.3">
      <c r="A316" t="s">
        <v>1061</v>
      </c>
      <c r="B316">
        <v>74144</v>
      </c>
      <c r="C316" t="s">
        <v>1062</v>
      </c>
      <c r="D316" t="s">
        <v>543</v>
      </c>
      <c r="E316" t="s">
        <v>879</v>
      </c>
      <c r="F316" t="s">
        <v>742</v>
      </c>
      <c r="G316" t="s">
        <v>913</v>
      </c>
      <c r="H316" s="3">
        <v>7132604.5015099999</v>
      </c>
      <c r="I316">
        <v>715</v>
      </c>
      <c r="J316" s="3">
        <v>713.26045015099999</v>
      </c>
      <c r="K316">
        <v>515</v>
      </c>
      <c r="L316">
        <v>741</v>
      </c>
      <c r="M316">
        <v>648.94223255813995</v>
      </c>
      <c r="N316">
        <v>54.612046653342396</v>
      </c>
      <c r="O316">
        <v>0</v>
      </c>
      <c r="P316">
        <v>21.335685729980501</v>
      </c>
      <c r="Q316">
        <v>5.9333333969116202</v>
      </c>
      <c r="R316">
        <v>3.3468647003173801</v>
      </c>
      <c r="S316" t="s">
        <v>881</v>
      </c>
      <c r="T316" t="s">
        <v>1063</v>
      </c>
      <c r="U316" t="s">
        <v>1062</v>
      </c>
      <c r="V316" t="s">
        <v>1062</v>
      </c>
      <c r="W316" s="3">
        <v>798</v>
      </c>
      <c r="X316" s="3">
        <v>7130000</v>
      </c>
      <c r="Y316">
        <v>3</v>
      </c>
      <c r="Z316" s="3">
        <v>265</v>
      </c>
      <c r="AA316" s="3">
        <v>401</v>
      </c>
      <c r="AB316" s="3">
        <v>511</v>
      </c>
      <c r="AC316" s="3">
        <v>613</v>
      </c>
      <c r="AD316" s="3">
        <v>628</v>
      </c>
      <c r="AE316" s="3">
        <v>642</v>
      </c>
      <c r="AF316" s="3">
        <v>694</v>
      </c>
      <c r="AG316" s="3">
        <v>711</v>
      </c>
      <c r="AH316" s="3">
        <v>718</v>
      </c>
      <c r="AI316" s="3">
        <v>726</v>
      </c>
      <c r="AJ316" s="3">
        <v>733</v>
      </c>
      <c r="AK316" s="3">
        <v>745</v>
      </c>
      <c r="AL316" s="3">
        <v>755</v>
      </c>
      <c r="AM316" s="3">
        <v>777</v>
      </c>
      <c r="AN316" s="3">
        <v>798</v>
      </c>
      <c r="AO316" s="3">
        <v>820</v>
      </c>
      <c r="AP316" s="3">
        <v>827</v>
      </c>
      <c r="AQ316" s="3">
        <v>835</v>
      </c>
      <c r="AR316" s="4">
        <v>115.98877980364657</v>
      </c>
      <c r="AS316" s="5">
        <f t="shared" si="42"/>
        <v>6.4150943396226419</v>
      </c>
      <c r="AT316" s="5">
        <f t="shared" si="43"/>
        <v>3.0479357162648935</v>
      </c>
      <c r="AU316" s="5">
        <f t="shared" si="44"/>
        <v>3.581213307240704</v>
      </c>
      <c r="AV316" s="5">
        <f t="shared" si="45"/>
        <v>1.9164265129682996</v>
      </c>
      <c r="AW316" s="5">
        <f t="shared" si="46"/>
        <v>5.4605993340732519</v>
      </c>
      <c r="AX316" s="5">
        <f t="shared" si="47"/>
        <v>3.0919765166340505</v>
      </c>
      <c r="AY316" s="5">
        <f t="shared" si="48"/>
        <v>5.7317695053544107</v>
      </c>
      <c r="AZ316">
        <f t="shared" si="49"/>
        <v>7120000</v>
      </c>
      <c r="BA316">
        <v>0</v>
      </c>
      <c r="BB316">
        <v>540000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3410000</v>
      </c>
      <c r="BK316">
        <v>0</v>
      </c>
      <c r="BL316">
        <v>0</v>
      </c>
      <c r="BM316">
        <v>1120000</v>
      </c>
      <c r="BN316">
        <v>790000</v>
      </c>
      <c r="BO316">
        <v>650000</v>
      </c>
      <c r="BP316">
        <v>610000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T316">
        <v>3.3707865168539302</v>
      </c>
      <c r="CU316">
        <v>87.359550561797818</v>
      </c>
      <c r="CV316">
        <v>9.2696629213483206</v>
      </c>
      <c r="CW316">
        <v>0</v>
      </c>
      <c r="CX316">
        <v>0</v>
      </c>
      <c r="CY316">
        <v>7.4438202247190999</v>
      </c>
      <c r="CZ316">
        <v>83.286516853932596</v>
      </c>
      <c r="DA316">
        <v>9.2696629213483206</v>
      </c>
      <c r="DB316">
        <v>0</v>
      </c>
      <c r="DC316">
        <v>0</v>
      </c>
      <c r="DD316">
        <v>7.5842696629213497</v>
      </c>
      <c r="DE316">
        <v>83.848314606741596</v>
      </c>
      <c r="DF316">
        <v>8.5674157303370801</v>
      </c>
      <c r="DG316">
        <v>0</v>
      </c>
      <c r="DH316">
        <v>0</v>
      </c>
      <c r="DI316">
        <v>7.5842696629213497</v>
      </c>
      <c r="DJ316">
        <v>83.848314606741596</v>
      </c>
      <c r="DK316">
        <v>8.5674157303370801</v>
      </c>
      <c r="DL316">
        <v>0</v>
      </c>
      <c r="DM316">
        <v>0</v>
      </c>
      <c r="DN316">
        <v>7.5842696629213497</v>
      </c>
      <c r="DO316">
        <v>83.848314606741596</v>
      </c>
      <c r="DP316">
        <v>8.5674157303370801</v>
      </c>
      <c r="DQ316">
        <v>0</v>
      </c>
      <c r="DR316">
        <v>0</v>
      </c>
      <c r="DS316" t="s">
        <v>312</v>
      </c>
      <c r="DT316" t="s">
        <v>313</v>
      </c>
      <c r="DU316">
        <v>833</v>
      </c>
      <c r="DV316" t="s">
        <v>547</v>
      </c>
      <c r="DW316" t="s">
        <v>548</v>
      </c>
      <c r="DX316">
        <v>86</v>
      </c>
      <c r="DY316">
        <v>130</v>
      </c>
      <c r="DZ316">
        <v>216</v>
      </c>
      <c r="EA316">
        <v>606779</v>
      </c>
      <c r="EB316">
        <v>388178</v>
      </c>
      <c r="EC316">
        <v>994957</v>
      </c>
      <c r="ED316" t="s">
        <v>909</v>
      </c>
      <c r="EE316" t="s">
        <v>910</v>
      </c>
      <c r="EF316" t="s">
        <v>753</v>
      </c>
      <c r="EG316" t="s">
        <v>754</v>
      </c>
    </row>
    <row r="317" spans="1:137" ht="14.55" customHeight="1" x14ac:dyDescent="0.3">
      <c r="A317" t="s">
        <v>1064</v>
      </c>
      <c r="B317">
        <v>74145</v>
      </c>
      <c r="C317" t="s">
        <v>1065</v>
      </c>
      <c r="D317" t="s">
        <v>543</v>
      </c>
      <c r="E317" t="s">
        <v>879</v>
      </c>
      <c r="F317" t="s">
        <v>742</v>
      </c>
      <c r="G317" t="s">
        <v>924</v>
      </c>
      <c r="H317" s="3">
        <v>2704272.8333000001</v>
      </c>
      <c r="I317">
        <v>270</v>
      </c>
      <c r="J317" s="3">
        <v>270.42728333000002</v>
      </c>
      <c r="K317">
        <v>460</v>
      </c>
      <c r="L317">
        <v>551</v>
      </c>
      <c r="M317">
        <v>504.83712399119599</v>
      </c>
      <c r="N317">
        <v>23.308974067738799</v>
      </c>
      <c r="O317">
        <v>0</v>
      </c>
      <c r="P317">
        <v>32.379920959472699</v>
      </c>
      <c r="Q317">
        <v>6.2061471939086896</v>
      </c>
      <c r="R317">
        <v>4.79073286056519</v>
      </c>
      <c r="S317" t="s">
        <v>881</v>
      </c>
      <c r="T317" t="s">
        <v>1066</v>
      </c>
      <c r="U317" t="s">
        <v>1065</v>
      </c>
      <c r="V317" t="s">
        <v>1065</v>
      </c>
      <c r="W317" s="3">
        <v>639</v>
      </c>
      <c r="X317" s="3">
        <v>2710000</v>
      </c>
      <c r="Y317">
        <v>3</v>
      </c>
      <c r="Z317" s="3">
        <v>415</v>
      </c>
      <c r="AA317" s="3">
        <v>542</v>
      </c>
      <c r="AB317" s="3">
        <v>539</v>
      </c>
      <c r="AC317" s="3">
        <v>620</v>
      </c>
      <c r="AD317" s="3">
        <v>631</v>
      </c>
      <c r="AE317" s="3">
        <v>643</v>
      </c>
      <c r="AF317" s="3">
        <v>641</v>
      </c>
      <c r="AG317" s="3">
        <v>637</v>
      </c>
      <c r="AH317" s="3">
        <v>638</v>
      </c>
      <c r="AI317" s="3">
        <v>640</v>
      </c>
      <c r="AJ317" s="3">
        <v>641</v>
      </c>
      <c r="AK317" s="3">
        <v>645</v>
      </c>
      <c r="AL317" s="3">
        <v>650</v>
      </c>
      <c r="AM317" s="3">
        <v>645</v>
      </c>
      <c r="AN317" s="3">
        <v>639</v>
      </c>
      <c r="AO317" s="3">
        <v>634</v>
      </c>
      <c r="AP317" s="3">
        <v>630</v>
      </c>
      <c r="AQ317" s="3">
        <v>629</v>
      </c>
      <c r="AR317" s="4">
        <v>232.47232472324723</v>
      </c>
      <c r="AS317" s="5">
        <f t="shared" si="42"/>
        <v>3.8253012048192772</v>
      </c>
      <c r="AT317" s="5">
        <f t="shared" si="43"/>
        <v>-6.1500615006150054E-2</v>
      </c>
      <c r="AU317" s="5">
        <f t="shared" si="44"/>
        <v>1.8923933209647494</v>
      </c>
      <c r="AV317" s="5">
        <f t="shared" si="45"/>
        <v>-0.17160686427457097</v>
      </c>
      <c r="AW317" s="5">
        <f t="shared" si="46"/>
        <v>1.7576187101346563</v>
      </c>
      <c r="AX317" s="5">
        <f t="shared" si="47"/>
        <v>0.8441558441558441</v>
      </c>
      <c r="AY317" s="5">
        <f t="shared" si="48"/>
        <v>1.4001953760989905</v>
      </c>
      <c r="AZ317">
        <f t="shared" si="49"/>
        <v>2690000</v>
      </c>
      <c r="BA317">
        <v>0</v>
      </c>
      <c r="BB317">
        <v>630000</v>
      </c>
      <c r="BC317">
        <v>100000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900000</v>
      </c>
      <c r="BK317">
        <v>0</v>
      </c>
      <c r="BL317">
        <v>0</v>
      </c>
      <c r="BM317">
        <v>20000</v>
      </c>
      <c r="BN317">
        <v>0</v>
      </c>
      <c r="BO317">
        <v>0</v>
      </c>
      <c r="BP317">
        <v>1040000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T317">
        <v>18.95910780669141</v>
      </c>
      <c r="CU317">
        <v>41.263940520446099</v>
      </c>
      <c r="CV317">
        <v>39.776951672862502</v>
      </c>
      <c r="CW317">
        <v>0</v>
      </c>
      <c r="CX317">
        <v>0</v>
      </c>
      <c r="CY317">
        <v>18.95910780669141</v>
      </c>
      <c r="CZ317">
        <v>41.635687732342063</v>
      </c>
      <c r="DA317">
        <v>39.405204460966502</v>
      </c>
      <c r="DB317">
        <v>0</v>
      </c>
      <c r="DC317">
        <v>0</v>
      </c>
      <c r="DD317">
        <v>19.33085501858741</v>
      </c>
      <c r="DE317">
        <v>42.007434944237957</v>
      </c>
      <c r="DF317">
        <v>38.6617100371747</v>
      </c>
      <c r="DG317">
        <v>0</v>
      </c>
      <c r="DH317">
        <v>0</v>
      </c>
      <c r="DI317">
        <v>27.13754646840151</v>
      </c>
      <c r="DJ317">
        <v>34.200743494423826</v>
      </c>
      <c r="DK317">
        <v>38.6617100371747</v>
      </c>
      <c r="DL317">
        <v>0</v>
      </c>
      <c r="DM317">
        <v>0</v>
      </c>
      <c r="DN317">
        <v>27.13754646840151</v>
      </c>
      <c r="DO317">
        <v>34.200743494423826</v>
      </c>
      <c r="DP317">
        <v>38.6617100371747</v>
      </c>
      <c r="DQ317">
        <v>0</v>
      </c>
      <c r="DR317">
        <v>0</v>
      </c>
      <c r="DS317" t="s">
        <v>312</v>
      </c>
      <c r="DT317" t="s">
        <v>313</v>
      </c>
      <c r="DU317">
        <v>629</v>
      </c>
      <c r="DV317" t="s">
        <v>547</v>
      </c>
      <c r="DW317" t="s">
        <v>548</v>
      </c>
      <c r="DX317">
        <v>86</v>
      </c>
      <c r="DY317">
        <v>130</v>
      </c>
      <c r="DZ317">
        <v>216</v>
      </c>
      <c r="EA317">
        <v>606779</v>
      </c>
      <c r="EB317">
        <v>388178</v>
      </c>
      <c r="EC317">
        <v>994957</v>
      </c>
      <c r="ED317" t="s">
        <v>1067</v>
      </c>
      <c r="EE317" t="s">
        <v>1068</v>
      </c>
      <c r="EF317" t="s">
        <v>746</v>
      </c>
      <c r="EG317" t="s">
        <v>760</v>
      </c>
    </row>
    <row r="318" spans="1:137" ht="14.55" customHeight="1" x14ac:dyDescent="0.3">
      <c r="A318" t="s">
        <v>1069</v>
      </c>
      <c r="B318">
        <v>74146</v>
      </c>
      <c r="C318" t="s">
        <v>1070</v>
      </c>
      <c r="D318" t="s">
        <v>878</v>
      </c>
      <c r="E318" t="s">
        <v>879</v>
      </c>
      <c r="F318" t="s">
        <v>742</v>
      </c>
      <c r="G318" t="s">
        <v>880</v>
      </c>
      <c r="H318" s="3">
        <v>8041653.9872199995</v>
      </c>
      <c r="I318">
        <v>809</v>
      </c>
      <c r="J318" s="3">
        <v>804.16539872199996</v>
      </c>
      <c r="K318">
        <v>709</v>
      </c>
      <c r="L318">
        <v>875</v>
      </c>
      <c r="M318">
        <v>805.05540507264197</v>
      </c>
      <c r="N318">
        <v>30.2491604009758</v>
      </c>
      <c r="O318">
        <v>0</v>
      </c>
      <c r="P318">
        <v>26.7627964019775</v>
      </c>
      <c r="Q318">
        <v>5.2044119834899902</v>
      </c>
      <c r="R318">
        <v>3.4428007602691699</v>
      </c>
      <c r="S318" t="s">
        <v>881</v>
      </c>
      <c r="T318" t="s">
        <v>1071</v>
      </c>
      <c r="U318" t="s">
        <v>1070</v>
      </c>
      <c r="V318" t="s">
        <v>1070</v>
      </c>
      <c r="W318" s="3">
        <v>1424</v>
      </c>
      <c r="X318" s="3">
        <v>8060000</v>
      </c>
      <c r="Y318">
        <v>3</v>
      </c>
      <c r="Z318" s="3">
        <v>583</v>
      </c>
      <c r="AA318" s="3">
        <v>734</v>
      </c>
      <c r="AB318" s="3">
        <v>976</v>
      </c>
      <c r="AC318" s="3">
        <v>1151</v>
      </c>
      <c r="AD318" s="3">
        <v>1176</v>
      </c>
      <c r="AE318" s="3">
        <v>1215</v>
      </c>
      <c r="AF318" s="3">
        <v>1231</v>
      </c>
      <c r="AG318" s="3">
        <v>1241</v>
      </c>
      <c r="AH318" s="3">
        <v>1252</v>
      </c>
      <c r="AI318" s="3">
        <v>1262</v>
      </c>
      <c r="AJ318" s="3">
        <v>1282</v>
      </c>
      <c r="AK318" s="3">
        <v>1314</v>
      </c>
      <c r="AL318" s="3">
        <v>1351</v>
      </c>
      <c r="AM318" s="3">
        <v>1387</v>
      </c>
      <c r="AN318" s="3">
        <v>1424</v>
      </c>
      <c r="AO318" s="3">
        <v>1456</v>
      </c>
      <c r="AP318" s="3">
        <v>1506</v>
      </c>
      <c r="AR318" s="4">
        <v>186.84863523573202</v>
      </c>
      <c r="AS318" s="5">
        <f t="shared" si="42"/>
        <v>3.237564322469983</v>
      </c>
      <c r="AT318" s="5">
        <f t="shared" si="43"/>
        <v>3.6633363608840446</v>
      </c>
      <c r="AU318" s="5">
        <f t="shared" si="44"/>
        <v>2.612704918032787</v>
      </c>
      <c r="AV318" s="5">
        <f t="shared" si="45"/>
        <v>2.23395613322502</v>
      </c>
      <c r="AW318" s="5">
        <f t="shared" si="46"/>
        <v>3.9652910907072951</v>
      </c>
      <c r="AX318" s="5">
        <f t="shared" si="47"/>
        <v>2.7151639344262297</v>
      </c>
      <c r="AY318" s="5">
        <f t="shared" si="48"/>
        <v>4.2788929581382407</v>
      </c>
      <c r="AZ318">
        <f t="shared" si="49"/>
        <v>8090000</v>
      </c>
      <c r="BA318">
        <v>0</v>
      </c>
      <c r="BB318">
        <v>760000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5430000</v>
      </c>
      <c r="BN318">
        <v>380000</v>
      </c>
      <c r="BO318">
        <v>40000</v>
      </c>
      <c r="BP318">
        <v>800000</v>
      </c>
      <c r="BQ318">
        <v>680000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T318">
        <v>6.4276885043263299</v>
      </c>
      <c r="CU318">
        <v>75.278121137206426</v>
      </c>
      <c r="CV318">
        <v>18.294190358467201</v>
      </c>
      <c r="CW318">
        <v>0</v>
      </c>
      <c r="CX318">
        <v>0</v>
      </c>
      <c r="CY318">
        <v>7.6637824474660103</v>
      </c>
      <c r="CZ318">
        <v>74.042027194066748</v>
      </c>
      <c r="DA318">
        <v>18.294190358467201</v>
      </c>
      <c r="DB318">
        <v>0</v>
      </c>
      <c r="DC318">
        <v>0</v>
      </c>
      <c r="DD318">
        <v>8.5290482076637808</v>
      </c>
      <c r="DE318">
        <v>73.176761433868947</v>
      </c>
      <c r="DF318">
        <v>18.294190358467201</v>
      </c>
      <c r="DG318">
        <v>0</v>
      </c>
      <c r="DH318">
        <v>0</v>
      </c>
      <c r="DI318">
        <v>9.3943139678615601</v>
      </c>
      <c r="DJ318">
        <v>72.311495673671146</v>
      </c>
      <c r="DK318">
        <v>18.294190358467201</v>
      </c>
      <c r="DL318">
        <v>0</v>
      </c>
      <c r="DM318">
        <v>0</v>
      </c>
      <c r="DN318">
        <v>9.3943139678615601</v>
      </c>
      <c r="DO318">
        <v>72.311495673671146</v>
      </c>
      <c r="DP318">
        <v>18.294190358467201</v>
      </c>
      <c r="DQ318">
        <v>0</v>
      </c>
      <c r="DR318">
        <v>0</v>
      </c>
      <c r="DS318" t="s">
        <v>768</v>
      </c>
      <c r="DT318" t="s">
        <v>768</v>
      </c>
      <c r="DU318" t="s">
        <v>768</v>
      </c>
      <c r="DV318" t="s">
        <v>768</v>
      </c>
      <c r="DW318" t="s">
        <v>768</v>
      </c>
      <c r="DX318" t="s">
        <v>768</v>
      </c>
      <c r="DY318" t="s">
        <v>768</v>
      </c>
      <c r="DZ318" t="s">
        <v>768</v>
      </c>
      <c r="EA318" t="s">
        <v>768</v>
      </c>
      <c r="EB318" t="s">
        <v>768</v>
      </c>
      <c r="EC318" t="s">
        <v>768</v>
      </c>
      <c r="ED318" t="s">
        <v>909</v>
      </c>
      <c r="EE318" t="s">
        <v>910</v>
      </c>
      <c r="EF318" t="s">
        <v>753</v>
      </c>
      <c r="EG318" t="s">
        <v>754</v>
      </c>
    </row>
    <row r="319" spans="1:137" ht="14.55" customHeight="1" x14ac:dyDescent="0.3">
      <c r="A319" t="s">
        <v>1072</v>
      </c>
      <c r="B319">
        <v>74150</v>
      </c>
      <c r="C319" t="s">
        <v>1073</v>
      </c>
      <c r="D319" t="s">
        <v>543</v>
      </c>
      <c r="E319" t="s">
        <v>879</v>
      </c>
      <c r="F319" t="s">
        <v>742</v>
      </c>
      <c r="G319" t="s">
        <v>904</v>
      </c>
      <c r="H319" s="3">
        <v>7821843.5782899996</v>
      </c>
      <c r="I319">
        <v>778</v>
      </c>
      <c r="J319" s="3">
        <v>782.18435782899996</v>
      </c>
      <c r="K319">
        <v>424</v>
      </c>
      <c r="L319">
        <v>572</v>
      </c>
      <c r="M319">
        <v>478.447757411944</v>
      </c>
      <c r="N319">
        <v>34.826491162519801</v>
      </c>
      <c r="O319">
        <v>0</v>
      </c>
      <c r="P319">
        <v>16.874540328979499</v>
      </c>
      <c r="Q319">
        <v>4.3281950950622603</v>
      </c>
      <c r="R319">
        <v>2.4740300178527801</v>
      </c>
      <c r="S319" t="s">
        <v>881</v>
      </c>
      <c r="T319" t="s">
        <v>1074</v>
      </c>
      <c r="U319" t="s">
        <v>1073</v>
      </c>
      <c r="V319" t="s">
        <v>1073</v>
      </c>
      <c r="W319" s="3">
        <v>1551</v>
      </c>
      <c r="X319" s="3">
        <v>7860000</v>
      </c>
      <c r="Y319">
        <v>2</v>
      </c>
      <c r="Z319" s="3">
        <v>879</v>
      </c>
      <c r="AA319" s="3">
        <v>1071</v>
      </c>
      <c r="AB319" s="3">
        <v>1142</v>
      </c>
      <c r="AC319" s="3">
        <v>1288</v>
      </c>
      <c r="AD319" s="3">
        <v>1309</v>
      </c>
      <c r="AE319" s="3">
        <v>1358</v>
      </c>
      <c r="AF319" s="3">
        <v>1393</v>
      </c>
      <c r="AG319" s="3">
        <v>1406</v>
      </c>
      <c r="AH319" s="3">
        <v>1419</v>
      </c>
      <c r="AI319" s="3">
        <v>1432</v>
      </c>
      <c r="AJ319" s="3">
        <v>1458</v>
      </c>
      <c r="AK319" s="3">
        <v>1467</v>
      </c>
      <c r="AL319" s="3">
        <v>1495</v>
      </c>
      <c r="AM319" s="3">
        <v>1523</v>
      </c>
      <c r="AN319" s="3">
        <v>1551</v>
      </c>
      <c r="AO319" s="3">
        <v>1598</v>
      </c>
      <c r="AP319" s="3">
        <v>1633</v>
      </c>
      <c r="AQ319" s="3">
        <v>1687</v>
      </c>
      <c r="AR319" s="4">
        <v>207.76081424936388</v>
      </c>
      <c r="AS319" s="5">
        <f t="shared" si="42"/>
        <v>2.7303754266211606</v>
      </c>
      <c r="AT319" s="5">
        <f t="shared" si="43"/>
        <v>0.73659093266936404</v>
      </c>
      <c r="AU319" s="5">
        <f t="shared" si="44"/>
        <v>2.1978984238178634</v>
      </c>
      <c r="AV319" s="5">
        <f t="shared" si="45"/>
        <v>1.7229002153625268</v>
      </c>
      <c r="AW319" s="5">
        <f t="shared" si="46"/>
        <v>1.7600214147092281</v>
      </c>
      <c r="AX319" s="5">
        <f t="shared" si="47"/>
        <v>2.1497373029772331</v>
      </c>
      <c r="AY319" s="5">
        <f t="shared" si="48"/>
        <v>2.318359314946346</v>
      </c>
      <c r="AZ319">
        <f t="shared" si="49"/>
        <v>7830000</v>
      </c>
      <c r="BA319">
        <v>0</v>
      </c>
      <c r="BB319">
        <v>1160000</v>
      </c>
      <c r="BC319">
        <v>60000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2450000</v>
      </c>
      <c r="BK319">
        <v>350000</v>
      </c>
      <c r="BL319">
        <v>0</v>
      </c>
      <c r="BM319">
        <v>120000</v>
      </c>
      <c r="BN319">
        <v>300000</v>
      </c>
      <c r="BO319">
        <v>0</v>
      </c>
      <c r="BP319">
        <v>2990000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400000</v>
      </c>
      <c r="BZ319">
        <v>0</v>
      </c>
      <c r="CA319">
        <v>0</v>
      </c>
      <c r="CT319">
        <v>12.643678160919576</v>
      </c>
      <c r="CU319">
        <v>44.827586206896555</v>
      </c>
      <c r="CV319">
        <v>38.569604086845501</v>
      </c>
      <c r="CW319">
        <v>3.9591315453384399</v>
      </c>
      <c r="CX319">
        <v>0</v>
      </c>
      <c r="CY319">
        <v>13.282247765006376</v>
      </c>
      <c r="CZ319">
        <v>44.955300127713954</v>
      </c>
      <c r="DA319">
        <v>37.803320561941298</v>
      </c>
      <c r="DB319">
        <v>3.9591315453384399</v>
      </c>
      <c r="DC319">
        <v>0</v>
      </c>
      <c r="DD319">
        <v>13.793103448275815</v>
      </c>
      <c r="DE319">
        <v>43.295019157088092</v>
      </c>
      <c r="DF319">
        <v>37.803320561941298</v>
      </c>
      <c r="DG319">
        <v>5.1085568326947604</v>
      </c>
      <c r="DH319">
        <v>0</v>
      </c>
      <c r="DI319">
        <v>15.581098339719016</v>
      </c>
      <c r="DJ319">
        <v>41.123882503192817</v>
      </c>
      <c r="DK319">
        <v>38.186462324393403</v>
      </c>
      <c r="DL319">
        <v>5.1085568326947604</v>
      </c>
      <c r="DM319">
        <v>0</v>
      </c>
      <c r="DN319">
        <v>15.581098339719016</v>
      </c>
      <c r="DO319">
        <v>41.123882503192817</v>
      </c>
      <c r="DP319">
        <v>38.186462324393403</v>
      </c>
      <c r="DQ319">
        <v>5.1085568326947604</v>
      </c>
      <c r="DR319">
        <v>0</v>
      </c>
      <c r="DS319" t="s">
        <v>312</v>
      </c>
      <c r="DT319" t="s">
        <v>313</v>
      </c>
      <c r="DU319">
        <v>1647</v>
      </c>
      <c r="DV319" t="s">
        <v>547</v>
      </c>
      <c r="DW319" t="s">
        <v>548</v>
      </c>
      <c r="DX319">
        <v>86</v>
      </c>
      <c r="DY319">
        <v>130</v>
      </c>
      <c r="DZ319">
        <v>216</v>
      </c>
      <c r="EA319">
        <v>606779</v>
      </c>
      <c r="EB319">
        <v>388178</v>
      </c>
      <c r="EC319">
        <v>994957</v>
      </c>
      <c r="ED319" t="s">
        <v>909</v>
      </c>
      <c r="EE319" t="s">
        <v>910</v>
      </c>
      <c r="EF319" t="s">
        <v>753</v>
      </c>
      <c r="EG319" t="s">
        <v>754</v>
      </c>
    </row>
    <row r="320" spans="1:137" ht="14.55" customHeight="1" x14ac:dyDescent="0.3">
      <c r="A320" t="s">
        <v>1075</v>
      </c>
      <c r="B320">
        <v>74153</v>
      </c>
      <c r="C320" t="s">
        <v>1076</v>
      </c>
      <c r="D320" t="s">
        <v>543</v>
      </c>
      <c r="E320" t="s">
        <v>879</v>
      </c>
      <c r="F320" t="s">
        <v>742</v>
      </c>
      <c r="G320" t="s">
        <v>924</v>
      </c>
      <c r="H320" s="3">
        <v>7670332.3180099996</v>
      </c>
      <c r="I320">
        <v>763</v>
      </c>
      <c r="J320" s="3">
        <v>767.03323180099994</v>
      </c>
      <c r="K320">
        <v>517</v>
      </c>
      <c r="L320">
        <v>1419</v>
      </c>
      <c r="M320">
        <v>915.65429434613702</v>
      </c>
      <c r="N320">
        <v>211.04295840748699</v>
      </c>
      <c r="O320">
        <v>0.33761471509933499</v>
      </c>
      <c r="P320">
        <v>45.0357666015625</v>
      </c>
      <c r="Q320">
        <v>11.899051666259799</v>
      </c>
      <c r="R320">
        <v>7.1035833358764702</v>
      </c>
      <c r="S320" t="s">
        <v>881</v>
      </c>
      <c r="T320" t="s">
        <v>1077</v>
      </c>
      <c r="U320" t="s">
        <v>1076</v>
      </c>
      <c r="V320" t="s">
        <v>1076</v>
      </c>
      <c r="W320" s="3">
        <v>1625</v>
      </c>
      <c r="X320" s="3">
        <v>7670000</v>
      </c>
      <c r="Y320">
        <v>2</v>
      </c>
      <c r="Z320" s="3">
        <v>660</v>
      </c>
      <c r="AA320" s="3">
        <v>884</v>
      </c>
      <c r="AB320" s="3">
        <v>1211</v>
      </c>
      <c r="AC320" s="3">
        <v>1433</v>
      </c>
      <c r="AD320" s="3">
        <v>1465</v>
      </c>
      <c r="AE320" s="3">
        <v>1497</v>
      </c>
      <c r="AF320" s="3">
        <v>1535</v>
      </c>
      <c r="AG320" s="3">
        <v>1547</v>
      </c>
      <c r="AH320" s="3">
        <v>1574</v>
      </c>
      <c r="AI320" s="3">
        <v>1602</v>
      </c>
      <c r="AJ320" s="3">
        <v>1630</v>
      </c>
      <c r="AK320" s="3">
        <v>1647</v>
      </c>
      <c r="AL320" s="3">
        <v>1641</v>
      </c>
      <c r="AM320" s="3">
        <v>1633</v>
      </c>
      <c r="AN320" s="3">
        <v>1625</v>
      </c>
      <c r="AO320" s="3">
        <v>1617</v>
      </c>
      <c r="AP320" s="3">
        <v>1607</v>
      </c>
      <c r="AQ320" s="3">
        <v>1600</v>
      </c>
      <c r="AR320" s="4">
        <v>209.51760104302477</v>
      </c>
      <c r="AS320" s="5">
        <f t="shared" si="42"/>
        <v>4.2424242424242431</v>
      </c>
      <c r="AT320" s="5">
        <f t="shared" si="43"/>
        <v>4.1101055806938156</v>
      </c>
      <c r="AU320" s="5">
        <f t="shared" si="44"/>
        <v>2.6754748142031382</v>
      </c>
      <c r="AV320" s="5">
        <f t="shared" si="45"/>
        <v>0.46905537459283381</v>
      </c>
      <c r="AW320" s="5">
        <f t="shared" si="46"/>
        <v>4.9108734402852052</v>
      </c>
      <c r="AX320" s="5">
        <f t="shared" si="47"/>
        <v>1.6350123864574733</v>
      </c>
      <c r="AY320" s="5">
        <f t="shared" si="48"/>
        <v>3.8779688779688777</v>
      </c>
      <c r="AZ320">
        <f t="shared" si="49"/>
        <v>7630000</v>
      </c>
      <c r="BA320">
        <v>0</v>
      </c>
      <c r="BB320">
        <v>1030000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970000</v>
      </c>
      <c r="BK320">
        <v>0</v>
      </c>
      <c r="BL320">
        <v>0</v>
      </c>
      <c r="BM320">
        <v>0</v>
      </c>
      <c r="BN320">
        <v>1820000</v>
      </c>
      <c r="BO320">
        <v>0</v>
      </c>
      <c r="BP320">
        <v>110000</v>
      </c>
      <c r="BQ320">
        <v>1240000</v>
      </c>
      <c r="BR320">
        <v>2370000</v>
      </c>
      <c r="BS320">
        <v>90000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T320">
        <v>9.3053735255570107</v>
      </c>
      <c r="CU320">
        <v>37.745740498034102</v>
      </c>
      <c r="CV320">
        <v>52.948885976408917</v>
      </c>
      <c r="CW320">
        <v>0</v>
      </c>
      <c r="CX320">
        <v>0</v>
      </c>
      <c r="CY320">
        <v>10.484927916120601</v>
      </c>
      <c r="CZ320">
        <v>39.056356487549195</v>
      </c>
      <c r="DA320">
        <v>50.458715596330258</v>
      </c>
      <c r="DB320">
        <v>0</v>
      </c>
      <c r="DC320">
        <v>0</v>
      </c>
      <c r="DD320">
        <v>13.4993446920052</v>
      </c>
      <c r="DE320">
        <v>36.5661861074705</v>
      </c>
      <c r="DF320">
        <v>49.934469200524262</v>
      </c>
      <c r="DG320">
        <v>0</v>
      </c>
      <c r="DH320">
        <v>0</v>
      </c>
      <c r="DI320">
        <v>13.4993446920052</v>
      </c>
      <c r="DJ320">
        <v>36.5661861074705</v>
      </c>
      <c r="DK320">
        <v>49.934469200524262</v>
      </c>
      <c r="DL320">
        <v>0</v>
      </c>
      <c r="DM320">
        <v>0</v>
      </c>
      <c r="DN320">
        <v>13.4993446920052</v>
      </c>
      <c r="DO320">
        <v>36.5661861074705</v>
      </c>
      <c r="DP320">
        <v>49.934469200524262</v>
      </c>
      <c r="DQ320">
        <v>0</v>
      </c>
      <c r="DR320">
        <v>0</v>
      </c>
      <c r="DS320" t="s">
        <v>312</v>
      </c>
      <c r="DT320" t="s">
        <v>313</v>
      </c>
      <c r="DU320">
        <v>1594</v>
      </c>
      <c r="DV320" t="s">
        <v>547</v>
      </c>
      <c r="DW320" t="s">
        <v>548</v>
      </c>
      <c r="DX320">
        <v>86</v>
      </c>
      <c r="DY320">
        <v>130</v>
      </c>
      <c r="DZ320">
        <v>216</v>
      </c>
      <c r="EA320">
        <v>606779</v>
      </c>
      <c r="EB320">
        <v>388178</v>
      </c>
      <c r="EC320">
        <v>994957</v>
      </c>
      <c r="ED320" t="s">
        <v>807</v>
      </c>
      <c r="EE320" t="s">
        <v>808</v>
      </c>
      <c r="EF320" t="s">
        <v>746</v>
      </c>
      <c r="EG320" t="s">
        <v>760</v>
      </c>
    </row>
    <row r="321" spans="1:137" ht="14.55" customHeight="1" x14ac:dyDescent="0.3">
      <c r="A321" t="s">
        <v>1078</v>
      </c>
      <c r="B321">
        <v>74154</v>
      </c>
      <c r="C321" t="s">
        <v>1079</v>
      </c>
      <c r="D321" t="s">
        <v>878</v>
      </c>
      <c r="E321" t="s">
        <v>879</v>
      </c>
      <c r="F321" t="s">
        <v>742</v>
      </c>
      <c r="G321" t="s">
        <v>880</v>
      </c>
      <c r="H321" s="3">
        <v>13272965.254000001</v>
      </c>
      <c r="I321">
        <v>1326</v>
      </c>
      <c r="J321" s="3">
        <v>1327.2965254000001</v>
      </c>
      <c r="K321">
        <v>374</v>
      </c>
      <c r="L321">
        <v>1241</v>
      </c>
      <c r="M321">
        <v>699.33025105642605</v>
      </c>
      <c r="N321">
        <v>238.83514076959</v>
      </c>
      <c r="O321">
        <v>0</v>
      </c>
      <c r="P321">
        <v>57.617954254150398</v>
      </c>
      <c r="Q321">
        <v>15.635800361633301</v>
      </c>
      <c r="R321">
        <v>9.3876876831054705</v>
      </c>
      <c r="S321" t="s">
        <v>881</v>
      </c>
      <c r="T321" t="s">
        <v>1080</v>
      </c>
      <c r="U321" t="s">
        <v>1079</v>
      </c>
      <c r="V321" t="s">
        <v>1079</v>
      </c>
      <c r="W321" s="3">
        <v>2435</v>
      </c>
      <c r="X321" s="3">
        <v>13270000</v>
      </c>
      <c r="Y321">
        <v>2</v>
      </c>
      <c r="Z321" s="3">
        <v>1417</v>
      </c>
      <c r="AA321" s="3">
        <v>2025</v>
      </c>
      <c r="AB321" s="3">
        <v>1997</v>
      </c>
      <c r="AC321" s="3">
        <v>2134</v>
      </c>
      <c r="AD321" s="3">
        <v>2174</v>
      </c>
      <c r="AE321" s="3">
        <v>2217</v>
      </c>
      <c r="AF321" s="3">
        <v>2260</v>
      </c>
      <c r="AG321" s="3">
        <v>2308</v>
      </c>
      <c r="AH321" s="3">
        <v>2303</v>
      </c>
      <c r="AI321" s="3">
        <v>2336</v>
      </c>
      <c r="AJ321" s="3">
        <v>2366</v>
      </c>
      <c r="AK321" s="3">
        <v>2395</v>
      </c>
      <c r="AL321" s="3">
        <v>2386</v>
      </c>
      <c r="AM321" s="3">
        <v>2405</v>
      </c>
      <c r="AN321" s="3">
        <v>2435</v>
      </c>
      <c r="AO321" s="3">
        <v>2470</v>
      </c>
      <c r="AP321" s="3">
        <v>2504</v>
      </c>
      <c r="AR321" s="4">
        <v>188.69630746043708</v>
      </c>
      <c r="AS321" s="5">
        <f t="shared" si="42"/>
        <v>5.3634438955539876</v>
      </c>
      <c r="AT321" s="5">
        <f t="shared" si="43"/>
        <v>-0.15363511659807957</v>
      </c>
      <c r="AU321" s="5">
        <f t="shared" si="44"/>
        <v>1.3169754631947921</v>
      </c>
      <c r="AV321" s="5">
        <f t="shared" si="45"/>
        <v>1.0796460176991149</v>
      </c>
      <c r="AW321" s="5">
        <f t="shared" si="46"/>
        <v>2.4077379716883227</v>
      </c>
      <c r="AX321" s="5">
        <f t="shared" si="47"/>
        <v>1.2694041061592392</v>
      </c>
      <c r="AY321" s="5">
        <f t="shared" si="48"/>
        <v>2.0732800549314314</v>
      </c>
      <c r="AZ321">
        <f t="shared" si="49"/>
        <v>13290000</v>
      </c>
      <c r="BA321">
        <v>0</v>
      </c>
      <c r="BB321">
        <v>1930000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1670000</v>
      </c>
      <c r="BN321">
        <v>1070000</v>
      </c>
      <c r="BO321">
        <v>890000</v>
      </c>
      <c r="BP321">
        <v>4100000</v>
      </c>
      <c r="BQ321">
        <v>1500000</v>
      </c>
      <c r="BR321">
        <v>1870000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50000</v>
      </c>
      <c r="BZ321">
        <v>0</v>
      </c>
      <c r="CA321">
        <v>210000</v>
      </c>
      <c r="CT321">
        <v>12.264860797592201</v>
      </c>
      <c r="CU321">
        <v>28.969149736644098</v>
      </c>
      <c r="CV321">
        <v>56.80963130173064</v>
      </c>
      <c r="CW321">
        <v>0.37622272385252098</v>
      </c>
      <c r="CX321">
        <v>1.58013544018059</v>
      </c>
      <c r="CY321">
        <v>13.844996237772801</v>
      </c>
      <c r="CZ321">
        <v>28.066215199398101</v>
      </c>
      <c r="DA321">
        <v>56.132430398796103</v>
      </c>
      <c r="DB321">
        <v>0.37622272385252098</v>
      </c>
      <c r="DC321">
        <v>1.58013544018059</v>
      </c>
      <c r="DD321">
        <v>14.3717080511663</v>
      </c>
      <c r="DE321">
        <v>27.464258841233999</v>
      </c>
      <c r="DF321">
        <v>56.207674943566602</v>
      </c>
      <c r="DG321">
        <v>0.37622272385252098</v>
      </c>
      <c r="DH321">
        <v>1.58013544018059</v>
      </c>
      <c r="DI321">
        <v>14.5221971407073</v>
      </c>
      <c r="DJ321">
        <v>27.313769751693002</v>
      </c>
      <c r="DK321">
        <v>56.207674943566602</v>
      </c>
      <c r="DL321">
        <v>0.37622272385252098</v>
      </c>
      <c r="DM321">
        <v>1.58013544018059</v>
      </c>
      <c r="DN321">
        <v>14.5221971407073</v>
      </c>
      <c r="DO321">
        <v>27.313769751693002</v>
      </c>
      <c r="DP321">
        <v>56.207674943566602</v>
      </c>
      <c r="DQ321">
        <v>0.37622272385252098</v>
      </c>
      <c r="DR321">
        <v>1.58013544018059</v>
      </c>
      <c r="DS321" t="s">
        <v>768</v>
      </c>
      <c r="DT321" t="s">
        <v>768</v>
      </c>
      <c r="DU321" t="s">
        <v>768</v>
      </c>
      <c r="DV321" t="s">
        <v>768</v>
      </c>
      <c r="DW321" t="s">
        <v>768</v>
      </c>
      <c r="DX321" t="s">
        <v>768</v>
      </c>
      <c r="DY321" t="s">
        <v>768</v>
      </c>
      <c r="DZ321" t="s">
        <v>768</v>
      </c>
      <c r="EA321" t="s">
        <v>768</v>
      </c>
      <c r="EB321" t="s">
        <v>768</v>
      </c>
      <c r="EC321" t="s">
        <v>768</v>
      </c>
      <c r="ED321" t="s">
        <v>889</v>
      </c>
      <c r="EE321" t="s">
        <v>887</v>
      </c>
      <c r="EF321" t="s">
        <v>746</v>
      </c>
      <c r="EG321" t="s">
        <v>760</v>
      </c>
    </row>
    <row r="322" spans="1:137" ht="14.55" customHeight="1" x14ac:dyDescent="0.3">
      <c r="A322" t="s">
        <v>1081</v>
      </c>
      <c r="B322">
        <v>74155</v>
      </c>
      <c r="C322" t="s">
        <v>1082</v>
      </c>
      <c r="D322" t="s">
        <v>878</v>
      </c>
      <c r="E322" t="s">
        <v>879</v>
      </c>
      <c r="F322" t="s">
        <v>742</v>
      </c>
      <c r="G322" t="s">
        <v>887</v>
      </c>
      <c r="H322" s="3">
        <v>13263358.876700001</v>
      </c>
      <c r="I322">
        <v>1322</v>
      </c>
      <c r="J322" s="3">
        <v>1326.3358876700001</v>
      </c>
      <c r="K322">
        <v>778</v>
      </c>
      <c r="L322">
        <v>1524</v>
      </c>
      <c r="M322">
        <v>1095.6267517829499</v>
      </c>
      <c r="N322">
        <v>171.29052512711101</v>
      </c>
      <c r="O322">
        <v>0</v>
      </c>
      <c r="P322">
        <v>49.887790679931598</v>
      </c>
      <c r="Q322">
        <v>16.983015060424801</v>
      </c>
      <c r="R322">
        <v>9.1234540939331108</v>
      </c>
      <c r="S322" t="s">
        <v>881</v>
      </c>
      <c r="T322" t="s">
        <v>1083</v>
      </c>
      <c r="U322" t="s">
        <v>1082</v>
      </c>
      <c r="V322" t="s">
        <v>1082</v>
      </c>
      <c r="W322" s="3">
        <v>799</v>
      </c>
      <c r="X322" s="3">
        <v>13270000</v>
      </c>
      <c r="Y322">
        <v>3</v>
      </c>
      <c r="Z322" s="3">
        <v>469</v>
      </c>
      <c r="AA322" s="3">
        <v>549</v>
      </c>
      <c r="AB322" s="3">
        <v>604</v>
      </c>
      <c r="AC322" s="3">
        <v>743</v>
      </c>
      <c r="AD322" s="3">
        <v>740</v>
      </c>
      <c r="AE322" s="3">
        <v>771</v>
      </c>
      <c r="AF322" s="3">
        <v>804</v>
      </c>
      <c r="AG322" s="3">
        <v>837</v>
      </c>
      <c r="AH322" s="3">
        <v>849</v>
      </c>
      <c r="AI322" s="3">
        <v>855</v>
      </c>
      <c r="AJ322" s="3">
        <v>842</v>
      </c>
      <c r="AK322" s="3">
        <v>830</v>
      </c>
      <c r="AL322" s="3">
        <v>818</v>
      </c>
      <c r="AM322" s="3">
        <v>806</v>
      </c>
      <c r="AN322" s="3">
        <v>799</v>
      </c>
      <c r="AO322" s="3">
        <v>800</v>
      </c>
      <c r="AP322" s="3">
        <v>802</v>
      </c>
      <c r="AR322" s="4">
        <v>60.43707611152977</v>
      </c>
      <c r="AS322" s="5">
        <f t="shared" si="42"/>
        <v>2.1321961620469083</v>
      </c>
      <c r="AT322" s="5">
        <f t="shared" si="43"/>
        <v>1.1131349929164136</v>
      </c>
      <c r="AU322" s="5">
        <f t="shared" si="44"/>
        <v>3.3112582781456954</v>
      </c>
      <c r="AV322" s="5">
        <f t="shared" si="45"/>
        <v>-2.4875621890547261E-2</v>
      </c>
      <c r="AW322" s="5">
        <f t="shared" si="46"/>
        <v>1.6932145992725447</v>
      </c>
      <c r="AX322" s="5">
        <f t="shared" si="47"/>
        <v>1.6390728476821195</v>
      </c>
      <c r="AY322" s="5">
        <f t="shared" si="48"/>
        <v>1.9189765458422177</v>
      </c>
      <c r="AZ322">
        <f t="shared" si="49"/>
        <v>13230000</v>
      </c>
      <c r="BA322">
        <v>0</v>
      </c>
      <c r="BB322">
        <v>480000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1690000</v>
      </c>
      <c r="BN322">
        <v>3020000</v>
      </c>
      <c r="BO322">
        <v>0</v>
      </c>
      <c r="BP322">
        <v>0</v>
      </c>
      <c r="BQ322">
        <v>2880000</v>
      </c>
      <c r="BR322">
        <v>4740000</v>
      </c>
      <c r="BS322">
        <v>420000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T322">
        <v>3.47694633408919</v>
      </c>
      <c r="CU322">
        <v>33.4845049130763</v>
      </c>
      <c r="CV322">
        <v>63.038548752834473</v>
      </c>
      <c r="CW322">
        <v>0</v>
      </c>
      <c r="CX322">
        <v>0</v>
      </c>
      <c r="CY322">
        <v>3.47694633408919</v>
      </c>
      <c r="CZ322">
        <v>35.374149659863903</v>
      </c>
      <c r="DA322">
        <v>61.14890400604687</v>
      </c>
      <c r="DB322">
        <v>0</v>
      </c>
      <c r="DC322">
        <v>0</v>
      </c>
      <c r="DD322">
        <v>3.47694633408919</v>
      </c>
      <c r="DE322">
        <v>35.676492819350003</v>
      </c>
      <c r="DF322">
        <v>60.84656084656087</v>
      </c>
      <c r="DG322">
        <v>0</v>
      </c>
      <c r="DH322">
        <v>0</v>
      </c>
      <c r="DI322">
        <v>3.6281179138322002</v>
      </c>
      <c r="DJ322">
        <v>35.600907029478499</v>
      </c>
      <c r="DK322">
        <v>60.770975056689373</v>
      </c>
      <c r="DL322">
        <v>0</v>
      </c>
      <c r="DM322">
        <v>0</v>
      </c>
      <c r="DN322">
        <v>3.6281179138322002</v>
      </c>
      <c r="DO322">
        <v>35.600907029478499</v>
      </c>
      <c r="DP322">
        <v>60.770975056689373</v>
      </c>
      <c r="DQ322">
        <v>0</v>
      </c>
      <c r="DR322">
        <v>0</v>
      </c>
      <c r="DS322" t="s">
        <v>768</v>
      </c>
      <c r="DT322" t="s">
        <v>768</v>
      </c>
      <c r="DU322" t="s">
        <v>768</v>
      </c>
      <c r="DV322" t="s">
        <v>768</v>
      </c>
      <c r="DW322" t="s">
        <v>768</v>
      </c>
      <c r="DX322" t="s">
        <v>768</v>
      </c>
      <c r="DY322" t="s">
        <v>768</v>
      </c>
      <c r="DZ322" t="s">
        <v>768</v>
      </c>
      <c r="EA322" t="s">
        <v>768</v>
      </c>
      <c r="EB322" t="s">
        <v>768</v>
      </c>
      <c r="EC322" t="s">
        <v>768</v>
      </c>
      <c r="ED322" t="s">
        <v>909</v>
      </c>
      <c r="EE322" t="s">
        <v>910</v>
      </c>
      <c r="EF322" t="s">
        <v>753</v>
      </c>
      <c r="EG322" t="s">
        <v>754</v>
      </c>
    </row>
    <row r="323" spans="1:137" ht="14.55" customHeight="1" x14ac:dyDescent="0.3">
      <c r="A323" t="s">
        <v>1084</v>
      </c>
      <c r="B323">
        <v>74156</v>
      </c>
      <c r="C323" t="s">
        <v>1085</v>
      </c>
      <c r="D323" t="s">
        <v>543</v>
      </c>
      <c r="E323" t="s">
        <v>879</v>
      </c>
      <c r="F323" t="s">
        <v>742</v>
      </c>
      <c r="G323" t="s">
        <v>904</v>
      </c>
      <c r="H323" s="3">
        <v>4847622.9544299999</v>
      </c>
      <c r="I323">
        <v>488</v>
      </c>
      <c r="J323" s="3">
        <v>484.76229544299997</v>
      </c>
      <c r="K323">
        <v>469</v>
      </c>
      <c r="L323">
        <v>588</v>
      </c>
      <c r="M323">
        <v>533.60815047022004</v>
      </c>
      <c r="N323">
        <v>18.951364308653702</v>
      </c>
      <c r="O323">
        <v>0</v>
      </c>
      <c r="P323">
        <v>25.915702819824201</v>
      </c>
      <c r="Q323">
        <v>4.8649711608886701</v>
      </c>
      <c r="R323">
        <v>2.9897124767303498</v>
      </c>
      <c r="S323" t="s">
        <v>881</v>
      </c>
      <c r="T323" t="s">
        <v>1086</v>
      </c>
      <c r="U323" t="s">
        <v>1085</v>
      </c>
      <c r="V323" t="s">
        <v>1085</v>
      </c>
      <c r="W323" s="3">
        <v>701</v>
      </c>
      <c r="X323" s="3">
        <v>4850000</v>
      </c>
      <c r="Y323">
        <v>3</v>
      </c>
      <c r="Z323" s="3">
        <v>324</v>
      </c>
      <c r="AA323" s="3">
        <v>412</v>
      </c>
      <c r="AB323" s="3">
        <v>508</v>
      </c>
      <c r="AC323" s="3">
        <v>619</v>
      </c>
      <c r="AD323" s="3">
        <v>635</v>
      </c>
      <c r="AE323" s="3">
        <v>651</v>
      </c>
      <c r="AF323" s="3">
        <v>655</v>
      </c>
      <c r="AG323" s="3">
        <v>675</v>
      </c>
      <c r="AH323" s="3">
        <v>682</v>
      </c>
      <c r="AI323" s="3">
        <v>683</v>
      </c>
      <c r="AJ323" s="3">
        <v>684</v>
      </c>
      <c r="AK323" s="3">
        <v>727</v>
      </c>
      <c r="AL323" s="3">
        <v>725</v>
      </c>
      <c r="AM323" s="3">
        <v>710</v>
      </c>
      <c r="AN323" s="3">
        <v>701</v>
      </c>
      <c r="AO323" s="3">
        <v>693</v>
      </c>
      <c r="AP323" s="3">
        <v>690</v>
      </c>
      <c r="AQ323" s="3">
        <v>703</v>
      </c>
      <c r="AR323" s="4">
        <v>142.26804123711341</v>
      </c>
      <c r="AS323" s="5">
        <f t="shared" si="42"/>
        <v>3.3950617283950617</v>
      </c>
      <c r="AT323" s="5">
        <f t="shared" si="43"/>
        <v>2.5889967637540456</v>
      </c>
      <c r="AU323" s="5">
        <f t="shared" si="44"/>
        <v>2.8937007874015745</v>
      </c>
      <c r="AV323" s="5">
        <f t="shared" si="45"/>
        <v>0.53435114503816794</v>
      </c>
      <c r="AW323" s="5">
        <f t="shared" si="46"/>
        <v>3.3405954974582421</v>
      </c>
      <c r="AX323" s="5">
        <f t="shared" si="47"/>
        <v>1.7913385826771651</v>
      </c>
      <c r="AY323" s="5">
        <f t="shared" si="48"/>
        <v>3.0530530530530529</v>
      </c>
      <c r="AZ323">
        <f t="shared" si="49"/>
        <v>4890000</v>
      </c>
      <c r="BA323">
        <v>0</v>
      </c>
      <c r="BB323">
        <v>250000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310000</v>
      </c>
      <c r="BK323">
        <v>0</v>
      </c>
      <c r="BL323">
        <v>0</v>
      </c>
      <c r="BM323">
        <v>470000</v>
      </c>
      <c r="BN323">
        <v>1700000</v>
      </c>
      <c r="BO323">
        <v>150000</v>
      </c>
      <c r="BP323">
        <v>280000</v>
      </c>
      <c r="BQ323">
        <v>890000</v>
      </c>
      <c r="BR323">
        <v>840000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T323">
        <v>5.1124744376278102</v>
      </c>
      <c r="CU323">
        <v>53.783231083844534</v>
      </c>
      <c r="CV323">
        <v>41.104294478527599</v>
      </c>
      <c r="CW323">
        <v>0</v>
      </c>
      <c r="CX323">
        <v>0</v>
      </c>
      <c r="CY323">
        <v>5.1124744376278102</v>
      </c>
      <c r="CZ323">
        <v>53.783231083844584</v>
      </c>
      <c r="DA323">
        <v>41.104294478527599</v>
      </c>
      <c r="DB323">
        <v>0</v>
      </c>
      <c r="DC323">
        <v>0</v>
      </c>
      <c r="DD323">
        <v>5.1124744376278102</v>
      </c>
      <c r="DE323">
        <v>53.783231083844584</v>
      </c>
      <c r="DF323">
        <v>41.104294478527599</v>
      </c>
      <c r="DG323">
        <v>0</v>
      </c>
      <c r="DH323">
        <v>0</v>
      </c>
      <c r="DI323">
        <v>5.1124744376278102</v>
      </c>
      <c r="DJ323">
        <v>53.783231083844584</v>
      </c>
      <c r="DK323">
        <v>41.104294478527599</v>
      </c>
      <c r="DL323">
        <v>0</v>
      </c>
      <c r="DM323">
        <v>0</v>
      </c>
      <c r="DN323">
        <v>5.1124744376278102</v>
      </c>
      <c r="DO323">
        <v>53.783231083844584</v>
      </c>
      <c r="DP323">
        <v>41.104294478527599</v>
      </c>
      <c r="DQ323">
        <v>0</v>
      </c>
      <c r="DR323">
        <v>0</v>
      </c>
      <c r="DS323" t="s">
        <v>312</v>
      </c>
      <c r="DT323" t="s">
        <v>313</v>
      </c>
      <c r="DU323">
        <v>700</v>
      </c>
      <c r="DV323" t="s">
        <v>547</v>
      </c>
      <c r="DW323" t="s">
        <v>548</v>
      </c>
      <c r="DX323">
        <v>86</v>
      </c>
      <c r="DY323">
        <v>130</v>
      </c>
      <c r="DZ323">
        <v>216</v>
      </c>
      <c r="EA323">
        <v>606779</v>
      </c>
      <c r="EB323">
        <v>388178</v>
      </c>
      <c r="EC323">
        <v>994957</v>
      </c>
      <c r="ED323" t="s">
        <v>973</v>
      </c>
      <c r="EE323" t="s">
        <v>974</v>
      </c>
      <c r="EF323" t="s">
        <v>746</v>
      </c>
      <c r="EG323" t="s">
        <v>760</v>
      </c>
    </row>
    <row r="324" spans="1:137" ht="14.55" customHeight="1" x14ac:dyDescent="0.3">
      <c r="A324" t="s">
        <v>1087</v>
      </c>
      <c r="B324">
        <v>74157</v>
      </c>
      <c r="C324" t="s">
        <v>1088</v>
      </c>
      <c r="D324" t="s">
        <v>886</v>
      </c>
      <c r="E324" t="s">
        <v>879</v>
      </c>
      <c r="F324" t="s">
        <v>742</v>
      </c>
      <c r="G324" t="s">
        <v>887</v>
      </c>
      <c r="H324" s="3">
        <v>9206510.4638899993</v>
      </c>
      <c r="I324">
        <v>920</v>
      </c>
      <c r="J324" s="3">
        <v>920.65104638800005</v>
      </c>
      <c r="K324">
        <v>463</v>
      </c>
      <c r="L324">
        <v>1406</v>
      </c>
      <c r="M324">
        <v>753.83461235028301</v>
      </c>
      <c r="N324">
        <v>181.37330333959699</v>
      </c>
      <c r="O324">
        <v>0</v>
      </c>
      <c r="P324">
        <v>52.383811950683601</v>
      </c>
      <c r="Q324">
        <v>13.262175559997599</v>
      </c>
      <c r="R324">
        <v>10.0678615570068</v>
      </c>
      <c r="S324" t="s">
        <v>881</v>
      </c>
      <c r="T324" t="s">
        <v>1089</v>
      </c>
      <c r="U324" t="s">
        <v>1088</v>
      </c>
      <c r="V324" t="s">
        <v>1088</v>
      </c>
      <c r="W324" s="3">
        <v>1729</v>
      </c>
      <c r="X324" s="3">
        <v>9210000</v>
      </c>
      <c r="Y324">
        <v>2</v>
      </c>
      <c r="Z324" s="3">
        <v>641</v>
      </c>
      <c r="AA324" s="3">
        <v>866</v>
      </c>
      <c r="AB324" s="3">
        <v>1043</v>
      </c>
      <c r="AC324" s="3">
        <v>1333</v>
      </c>
      <c r="AD324" s="3">
        <v>1416</v>
      </c>
      <c r="AE324" s="3">
        <v>1449</v>
      </c>
      <c r="AF324" s="3">
        <v>1476</v>
      </c>
      <c r="AG324" s="3">
        <v>1502</v>
      </c>
      <c r="AH324" s="3">
        <v>1519</v>
      </c>
      <c r="AI324" s="3">
        <v>1545</v>
      </c>
      <c r="AJ324" s="3">
        <v>1593</v>
      </c>
      <c r="AK324" s="3">
        <v>1649</v>
      </c>
      <c r="AL324" s="3">
        <v>1704</v>
      </c>
      <c r="AM324" s="3">
        <v>1713</v>
      </c>
      <c r="AN324" s="3">
        <v>1729</v>
      </c>
      <c r="AO324" s="3">
        <v>1737</v>
      </c>
      <c r="AP324" s="3">
        <v>1741</v>
      </c>
      <c r="AQ324" s="3">
        <v>1756</v>
      </c>
      <c r="AR324" s="4">
        <v>189.03365906623236</v>
      </c>
      <c r="AS324" s="5">
        <f t="shared" ref="AS324:AS377" si="50">(AA324-Z324)/Z324/8*100</f>
        <v>4.3876755070202806</v>
      </c>
      <c r="AT324" s="5">
        <f t="shared" ref="AT324:AT377" si="51">(AB324-AA324)/AA324/9*100</f>
        <v>2.270977675134719</v>
      </c>
      <c r="AU324" s="5">
        <f t="shared" ref="AU324:AU377" si="52">(AF324-AB324)/AB324/10*100</f>
        <v>4.1514860977948222</v>
      </c>
      <c r="AV324" s="5">
        <f t="shared" ref="AV324:AV377" si="53">(AP324-AF324)/AF324/10*100</f>
        <v>1.7953929539295395</v>
      </c>
      <c r="AW324" s="5">
        <f t="shared" ref="AW324:AW377" si="54">(AB324-Z324)/Z324/17*100</f>
        <v>3.6890887400201891</v>
      </c>
      <c r="AX324" s="5">
        <f t="shared" ref="AX324:AX377" si="55">(AP324-AB324)/AB324/20*100</f>
        <v>3.3461169702780444</v>
      </c>
      <c r="AY324" s="5">
        <f t="shared" ref="AY324:AY377" si="56">(AP324-Z324)/Z324/37*100</f>
        <v>4.6380233587721893</v>
      </c>
      <c r="AZ324">
        <f t="shared" si="49"/>
        <v>9210000</v>
      </c>
      <c r="BA324">
        <v>0</v>
      </c>
      <c r="BB324">
        <v>950000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70000</v>
      </c>
      <c r="BM324">
        <v>2930000</v>
      </c>
      <c r="BN324">
        <v>140000</v>
      </c>
      <c r="BO324">
        <v>0</v>
      </c>
      <c r="BP324">
        <v>310000</v>
      </c>
      <c r="BQ324">
        <v>1730000</v>
      </c>
      <c r="BR324">
        <v>2890000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190000</v>
      </c>
      <c r="BZ324">
        <v>0</v>
      </c>
      <c r="CA324">
        <v>0</v>
      </c>
      <c r="CT324">
        <v>4.5602605863192194</v>
      </c>
      <c r="CU324">
        <v>38.110749185667743</v>
      </c>
      <c r="CV324">
        <v>55.266015200868601</v>
      </c>
      <c r="CW324">
        <v>2.0629750271444101</v>
      </c>
      <c r="CX324">
        <v>0</v>
      </c>
      <c r="CY324">
        <v>9.1205211726384405</v>
      </c>
      <c r="CZ324">
        <v>34.527687296416921</v>
      </c>
      <c r="DA324">
        <v>54.288816503800199</v>
      </c>
      <c r="DB324">
        <v>2.0629750271444101</v>
      </c>
      <c r="DC324">
        <v>0</v>
      </c>
      <c r="DD324">
        <v>9.3376764386536397</v>
      </c>
      <c r="DE324">
        <v>34.310532030401717</v>
      </c>
      <c r="DF324">
        <v>54.288816503800199</v>
      </c>
      <c r="DG324">
        <v>2.0629750271444101</v>
      </c>
      <c r="DH324">
        <v>0</v>
      </c>
      <c r="DI324">
        <v>10.314875135722</v>
      </c>
      <c r="DJ324">
        <v>34.093376764386512</v>
      </c>
      <c r="DK324">
        <v>53.528773072747001</v>
      </c>
      <c r="DL324">
        <v>2.0629750271444101</v>
      </c>
      <c r="DM324">
        <v>0</v>
      </c>
      <c r="DN324">
        <v>10.314875135722</v>
      </c>
      <c r="DO324">
        <v>34.093376764386512</v>
      </c>
      <c r="DP324">
        <v>53.528773072747001</v>
      </c>
      <c r="DQ324">
        <v>2.0629750271444101</v>
      </c>
      <c r="DR324">
        <v>0</v>
      </c>
      <c r="DS324" t="s">
        <v>768</v>
      </c>
      <c r="DT324" t="s">
        <v>768</v>
      </c>
      <c r="DU324" t="s">
        <v>768</v>
      </c>
      <c r="DV324" t="s">
        <v>768</v>
      </c>
      <c r="DW324" t="s">
        <v>768</v>
      </c>
      <c r="DX324" t="s">
        <v>768</v>
      </c>
      <c r="DY324" t="s">
        <v>768</v>
      </c>
      <c r="DZ324" t="s">
        <v>768</v>
      </c>
      <c r="EA324" t="s">
        <v>768</v>
      </c>
      <c r="EB324" t="s">
        <v>768</v>
      </c>
      <c r="EC324" t="s">
        <v>768</v>
      </c>
      <c r="ED324" t="s">
        <v>909</v>
      </c>
      <c r="EE324" t="s">
        <v>910</v>
      </c>
      <c r="EF324" t="s">
        <v>753</v>
      </c>
      <c r="EG324" t="s">
        <v>754</v>
      </c>
    </row>
    <row r="325" spans="1:137" ht="14.55" customHeight="1" x14ac:dyDescent="0.3">
      <c r="A325" t="s">
        <v>1090</v>
      </c>
      <c r="B325">
        <v>74158</v>
      </c>
      <c r="C325" t="s">
        <v>1091</v>
      </c>
      <c r="D325" t="s">
        <v>543</v>
      </c>
      <c r="E325" t="s">
        <v>879</v>
      </c>
      <c r="F325" t="s">
        <v>742</v>
      </c>
      <c r="G325" t="s">
        <v>924</v>
      </c>
      <c r="H325" s="3">
        <v>5785032.1686100001</v>
      </c>
      <c r="I325">
        <v>576</v>
      </c>
      <c r="J325" s="3">
        <v>578.50321697200002</v>
      </c>
      <c r="K325">
        <v>459</v>
      </c>
      <c r="L325">
        <v>1141</v>
      </c>
      <c r="M325">
        <v>585.30058332380202</v>
      </c>
      <c r="N325">
        <v>134.641223948825</v>
      </c>
      <c r="O325">
        <v>0</v>
      </c>
      <c r="P325">
        <v>35.956493377685597</v>
      </c>
      <c r="Q325">
        <v>7.4597268104553196</v>
      </c>
      <c r="R325">
        <v>6.3101568222045898</v>
      </c>
      <c r="S325" t="s">
        <v>881</v>
      </c>
      <c r="T325" t="s">
        <v>1092</v>
      </c>
      <c r="U325" t="s">
        <v>1091</v>
      </c>
      <c r="V325" t="s">
        <v>1091</v>
      </c>
      <c r="W325" s="3">
        <v>1086</v>
      </c>
      <c r="X325" s="3">
        <v>5750000</v>
      </c>
      <c r="Y325">
        <v>2</v>
      </c>
      <c r="Z325" s="3">
        <v>683</v>
      </c>
      <c r="AA325" s="3">
        <v>829</v>
      </c>
      <c r="AB325" s="3">
        <v>862</v>
      </c>
      <c r="AC325" s="3">
        <v>973</v>
      </c>
      <c r="AD325" s="3">
        <v>976</v>
      </c>
      <c r="AE325" s="3">
        <v>970</v>
      </c>
      <c r="AF325" s="3">
        <v>963</v>
      </c>
      <c r="AG325" s="3">
        <v>957</v>
      </c>
      <c r="AH325" s="3">
        <v>966</v>
      </c>
      <c r="AI325" s="3">
        <v>983</v>
      </c>
      <c r="AJ325" s="3">
        <v>1015</v>
      </c>
      <c r="AK325" s="3">
        <v>1045</v>
      </c>
      <c r="AL325" s="3">
        <v>1075</v>
      </c>
      <c r="AM325" s="3">
        <v>1083</v>
      </c>
      <c r="AN325" s="3">
        <v>1086</v>
      </c>
      <c r="AO325" s="3">
        <v>1091</v>
      </c>
      <c r="AP325" s="3">
        <v>1098</v>
      </c>
      <c r="AQ325" s="3">
        <v>1102</v>
      </c>
      <c r="AR325" s="4">
        <v>190.95652173913044</v>
      </c>
      <c r="AS325" s="5">
        <f t="shared" si="50"/>
        <v>2.6720351390922401</v>
      </c>
      <c r="AT325" s="5">
        <f t="shared" si="51"/>
        <v>0.44229995979091269</v>
      </c>
      <c r="AU325" s="5">
        <f t="shared" si="52"/>
        <v>1.1716937354988399</v>
      </c>
      <c r="AV325" s="5">
        <f t="shared" si="53"/>
        <v>1.4018691588785044</v>
      </c>
      <c r="AW325" s="5">
        <f t="shared" si="54"/>
        <v>1.5416415468090603</v>
      </c>
      <c r="AX325" s="5">
        <f t="shared" si="55"/>
        <v>1.3689095127610209</v>
      </c>
      <c r="AY325" s="5">
        <f t="shared" si="56"/>
        <v>1.6421985675279964</v>
      </c>
      <c r="AZ325">
        <f t="shared" si="49"/>
        <v>5730000</v>
      </c>
      <c r="BA325">
        <v>0</v>
      </c>
      <c r="BB325">
        <v>880000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270000</v>
      </c>
      <c r="BI325">
        <v>0</v>
      </c>
      <c r="BJ325">
        <v>1820000</v>
      </c>
      <c r="BK325">
        <v>0</v>
      </c>
      <c r="BL325">
        <v>0</v>
      </c>
      <c r="BM325">
        <v>280000</v>
      </c>
      <c r="BN325">
        <v>0</v>
      </c>
      <c r="BO325">
        <v>230000</v>
      </c>
      <c r="BP325">
        <v>2070000</v>
      </c>
      <c r="BQ325">
        <v>0</v>
      </c>
      <c r="BR325">
        <v>60000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120000</v>
      </c>
      <c r="BZ325">
        <v>0</v>
      </c>
      <c r="CA325">
        <v>0</v>
      </c>
      <c r="CT325">
        <v>17.801047120418801</v>
      </c>
      <c r="CU325">
        <v>40.663176265270486</v>
      </c>
      <c r="CV325">
        <v>39.441535776614302</v>
      </c>
      <c r="CW325">
        <v>2.09424083769634</v>
      </c>
      <c r="CX325">
        <v>0</v>
      </c>
      <c r="CY325">
        <v>18.673647469458949</v>
      </c>
      <c r="CZ325">
        <v>41.535776614310663</v>
      </c>
      <c r="DA325">
        <v>37.696335078533998</v>
      </c>
      <c r="DB325">
        <v>2.09424083769634</v>
      </c>
      <c r="DC325">
        <v>0</v>
      </c>
      <c r="DD325">
        <v>20.069808027923251</v>
      </c>
      <c r="DE325">
        <v>40.663176265270522</v>
      </c>
      <c r="DF325">
        <v>37.17277486911</v>
      </c>
      <c r="DG325">
        <v>2.09424083769634</v>
      </c>
      <c r="DH325">
        <v>0</v>
      </c>
      <c r="DI325">
        <v>20.069808027923251</v>
      </c>
      <c r="DJ325">
        <v>40.663176265270522</v>
      </c>
      <c r="DK325">
        <v>37.17277486911</v>
      </c>
      <c r="DL325">
        <v>2.09424083769634</v>
      </c>
      <c r="DM325">
        <v>0</v>
      </c>
      <c r="DN325">
        <v>20.069808027923251</v>
      </c>
      <c r="DO325">
        <v>40.663176265270522</v>
      </c>
      <c r="DP325">
        <v>37.17277486911</v>
      </c>
      <c r="DQ325">
        <v>2.09424083769634</v>
      </c>
      <c r="DR325">
        <v>0</v>
      </c>
      <c r="DS325" t="s">
        <v>312</v>
      </c>
      <c r="DT325" t="s">
        <v>313</v>
      </c>
      <c r="DU325">
        <v>1104</v>
      </c>
      <c r="DV325" t="s">
        <v>547</v>
      </c>
      <c r="DW325" t="s">
        <v>548</v>
      </c>
      <c r="DX325">
        <v>86</v>
      </c>
      <c r="DY325">
        <v>130</v>
      </c>
      <c r="DZ325">
        <v>216</v>
      </c>
      <c r="EA325">
        <v>606779</v>
      </c>
      <c r="EB325">
        <v>388178</v>
      </c>
      <c r="EC325">
        <v>994957</v>
      </c>
      <c r="ED325" t="s">
        <v>1067</v>
      </c>
      <c r="EE325" t="s">
        <v>1068</v>
      </c>
      <c r="EF325" t="s">
        <v>746</v>
      </c>
      <c r="EG325" t="s">
        <v>760</v>
      </c>
    </row>
    <row r="326" spans="1:137" ht="14.55" customHeight="1" x14ac:dyDescent="0.3">
      <c r="A326" t="s">
        <v>1093</v>
      </c>
      <c r="B326">
        <v>74163</v>
      </c>
      <c r="C326" t="s">
        <v>1094</v>
      </c>
      <c r="D326" t="s">
        <v>543</v>
      </c>
      <c r="E326" t="s">
        <v>879</v>
      </c>
      <c r="F326" t="s">
        <v>742</v>
      </c>
      <c r="G326" t="s">
        <v>904</v>
      </c>
      <c r="H326" s="3">
        <v>7427175.1882300004</v>
      </c>
      <c r="I326">
        <v>747</v>
      </c>
      <c r="J326" s="3">
        <v>742.71751882300009</v>
      </c>
      <c r="K326">
        <v>375</v>
      </c>
      <c r="L326">
        <v>544</v>
      </c>
      <c r="M326">
        <v>467.34484600320502</v>
      </c>
      <c r="N326">
        <v>33.411683273769903</v>
      </c>
      <c r="O326">
        <v>0</v>
      </c>
      <c r="P326">
        <v>24.236934661865199</v>
      </c>
      <c r="Q326">
        <v>4.9280748367309597</v>
      </c>
      <c r="R326">
        <v>2.98670482635498</v>
      </c>
      <c r="S326" t="s">
        <v>881</v>
      </c>
      <c r="T326" t="s">
        <v>1095</v>
      </c>
      <c r="U326" t="s">
        <v>1094</v>
      </c>
      <c r="V326" t="s">
        <v>1094</v>
      </c>
      <c r="W326" s="3">
        <v>2145</v>
      </c>
      <c r="X326" s="3">
        <v>7420000</v>
      </c>
      <c r="Y326">
        <v>2</v>
      </c>
      <c r="Z326" s="3">
        <v>1035</v>
      </c>
      <c r="AA326" s="3">
        <v>1262</v>
      </c>
      <c r="AB326" s="3">
        <v>1429</v>
      </c>
      <c r="AC326" s="3">
        <v>1666</v>
      </c>
      <c r="AD326" s="3">
        <v>1697</v>
      </c>
      <c r="AE326" s="3">
        <v>1717</v>
      </c>
      <c r="AF326" s="3">
        <v>1758</v>
      </c>
      <c r="AG326" s="3">
        <v>1822</v>
      </c>
      <c r="AH326" s="3">
        <v>1883</v>
      </c>
      <c r="AI326" s="3">
        <v>1945</v>
      </c>
      <c r="AJ326" s="3">
        <v>2049</v>
      </c>
      <c r="AK326" s="3">
        <v>2080</v>
      </c>
      <c r="AL326" s="3">
        <v>2095</v>
      </c>
      <c r="AM326" s="3">
        <v>2120</v>
      </c>
      <c r="AN326" s="3">
        <v>2145</v>
      </c>
      <c r="AO326" s="3">
        <v>2181</v>
      </c>
      <c r="AP326" s="3">
        <v>2197</v>
      </c>
      <c r="AQ326" s="3">
        <v>2249</v>
      </c>
      <c r="AR326" s="4">
        <v>296.09164420485178</v>
      </c>
      <c r="AS326" s="5">
        <f t="shared" si="50"/>
        <v>2.7415458937198069</v>
      </c>
      <c r="AT326" s="5">
        <f t="shared" si="51"/>
        <v>1.4703292833245292</v>
      </c>
      <c r="AU326" s="5">
        <f t="shared" si="52"/>
        <v>2.3023093072078376</v>
      </c>
      <c r="AV326" s="5">
        <f t="shared" si="53"/>
        <v>2.4971558589306029</v>
      </c>
      <c r="AW326" s="5">
        <f t="shared" si="54"/>
        <v>2.239272520602444</v>
      </c>
      <c r="AX326" s="5">
        <f t="shared" si="55"/>
        <v>2.6871938418474453</v>
      </c>
      <c r="AY326" s="5">
        <f t="shared" si="56"/>
        <v>3.0343386865125996</v>
      </c>
      <c r="AZ326">
        <f t="shared" ref="AZ326:AZ377" si="57">SUM(BA326:CA326)</f>
        <v>7480000</v>
      </c>
      <c r="BA326">
        <v>0</v>
      </c>
      <c r="BB326">
        <v>1150000</v>
      </c>
      <c r="BC326">
        <v>400000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570000</v>
      </c>
      <c r="BK326">
        <v>0</v>
      </c>
      <c r="BL326">
        <v>0</v>
      </c>
      <c r="BM326">
        <v>1790000</v>
      </c>
      <c r="BN326">
        <v>660000</v>
      </c>
      <c r="BO326">
        <v>0</v>
      </c>
      <c r="BP326">
        <v>550000</v>
      </c>
      <c r="BQ326">
        <v>0</v>
      </c>
      <c r="BR326">
        <v>2360000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T326">
        <v>14.171122994652389</v>
      </c>
      <c r="CU326">
        <v>46.122994652406398</v>
      </c>
      <c r="CV326">
        <v>39.705882352941202</v>
      </c>
      <c r="CW326">
        <v>0</v>
      </c>
      <c r="CX326">
        <v>0</v>
      </c>
      <c r="CY326">
        <v>17.513368983957221</v>
      </c>
      <c r="CZ326">
        <v>45.989304812834284</v>
      </c>
      <c r="DA326">
        <v>36.497326203208601</v>
      </c>
      <c r="DB326">
        <v>0</v>
      </c>
      <c r="DC326">
        <v>0</v>
      </c>
      <c r="DD326">
        <v>20.721925133689801</v>
      </c>
      <c r="DE326">
        <v>40.374331550802182</v>
      </c>
      <c r="DF326">
        <v>38.903743315508002</v>
      </c>
      <c r="DG326">
        <v>0</v>
      </c>
      <c r="DH326">
        <v>0</v>
      </c>
      <c r="DI326">
        <v>20.721925133689801</v>
      </c>
      <c r="DJ326">
        <v>40.374331550802182</v>
      </c>
      <c r="DK326">
        <v>38.903743315508002</v>
      </c>
      <c r="DL326">
        <v>0</v>
      </c>
      <c r="DM326">
        <v>0</v>
      </c>
      <c r="DN326">
        <v>20.721925133689801</v>
      </c>
      <c r="DO326">
        <v>40.374331550802182</v>
      </c>
      <c r="DP326">
        <v>38.903743315508002</v>
      </c>
      <c r="DQ326">
        <v>0</v>
      </c>
      <c r="DR326">
        <v>0</v>
      </c>
      <c r="DS326" t="s">
        <v>768</v>
      </c>
      <c r="DT326" t="s">
        <v>768</v>
      </c>
      <c r="DU326" t="s">
        <v>768</v>
      </c>
      <c r="DV326" t="s">
        <v>768</v>
      </c>
      <c r="DW326" t="s">
        <v>768</v>
      </c>
      <c r="DX326" t="s">
        <v>768</v>
      </c>
      <c r="DY326" t="s">
        <v>768</v>
      </c>
      <c r="DZ326" t="s">
        <v>768</v>
      </c>
      <c r="EA326" t="s">
        <v>768</v>
      </c>
      <c r="EB326" t="s">
        <v>768</v>
      </c>
      <c r="EC326" t="s">
        <v>768</v>
      </c>
      <c r="ED326" t="s">
        <v>889</v>
      </c>
      <c r="EE326" t="s">
        <v>887</v>
      </c>
      <c r="EF326" t="s">
        <v>746</v>
      </c>
      <c r="EG326" t="s">
        <v>760</v>
      </c>
    </row>
    <row r="327" spans="1:137" ht="14.55" customHeight="1" x14ac:dyDescent="0.3">
      <c r="A327" t="s">
        <v>1096</v>
      </c>
      <c r="B327">
        <v>74164</v>
      </c>
      <c r="C327" t="s">
        <v>1097</v>
      </c>
      <c r="D327" t="s">
        <v>543</v>
      </c>
      <c r="E327" t="s">
        <v>879</v>
      </c>
      <c r="F327" t="s">
        <v>742</v>
      </c>
      <c r="G327" t="s">
        <v>917</v>
      </c>
      <c r="H327" s="3">
        <v>20763171.348700002</v>
      </c>
      <c r="I327">
        <v>2073</v>
      </c>
      <c r="J327" s="3">
        <v>2076.3171348700002</v>
      </c>
      <c r="K327">
        <v>441</v>
      </c>
      <c r="L327">
        <v>1812</v>
      </c>
      <c r="M327">
        <v>700.78307284175503</v>
      </c>
      <c r="N327">
        <v>283.75961604071199</v>
      </c>
      <c r="O327">
        <v>0</v>
      </c>
      <c r="P327">
        <v>62.6771240234375</v>
      </c>
      <c r="Q327">
        <v>15.502779960632299</v>
      </c>
      <c r="R327">
        <v>11.7839298248291</v>
      </c>
      <c r="S327" t="s">
        <v>881</v>
      </c>
      <c r="T327" t="s">
        <v>1098</v>
      </c>
      <c r="U327" t="s">
        <v>1097</v>
      </c>
      <c r="V327" t="s">
        <v>1097</v>
      </c>
      <c r="W327" s="3">
        <v>6445</v>
      </c>
      <c r="X327" s="3">
        <v>20750000</v>
      </c>
      <c r="Y327">
        <v>2</v>
      </c>
      <c r="Z327" s="3">
        <v>3679</v>
      </c>
      <c r="AA327" s="3">
        <v>4322</v>
      </c>
      <c r="AB327" s="3">
        <v>5323</v>
      </c>
      <c r="AC327" s="3">
        <v>6050</v>
      </c>
      <c r="AD327" s="3">
        <v>6114</v>
      </c>
      <c r="AE327" s="3">
        <v>6137</v>
      </c>
      <c r="AF327" s="3">
        <v>6148</v>
      </c>
      <c r="AG327" s="3">
        <v>6159</v>
      </c>
      <c r="AH327" s="3">
        <v>6228</v>
      </c>
      <c r="AI327" s="3">
        <v>6357</v>
      </c>
      <c r="AJ327" s="3">
        <v>6385</v>
      </c>
      <c r="AK327" s="3">
        <v>6424</v>
      </c>
      <c r="AL327" s="3">
        <v>6463</v>
      </c>
      <c r="AM327" s="3">
        <v>6435</v>
      </c>
      <c r="AN327" s="3">
        <v>6445</v>
      </c>
      <c r="AO327" s="3">
        <v>6412</v>
      </c>
      <c r="AP327" s="3">
        <v>6372</v>
      </c>
      <c r="AQ327" s="3">
        <v>6401</v>
      </c>
      <c r="AR327" s="4">
        <v>307.08433734939757</v>
      </c>
      <c r="AS327" s="5">
        <f t="shared" si="50"/>
        <v>2.184696928513183</v>
      </c>
      <c r="AT327" s="5">
        <f t="shared" si="51"/>
        <v>2.5733970898246699</v>
      </c>
      <c r="AU327" s="5">
        <f t="shared" si="52"/>
        <v>1.5498778884087923</v>
      </c>
      <c r="AV327" s="5">
        <f t="shared" si="53"/>
        <v>0.36434612882238127</v>
      </c>
      <c r="AW327" s="5">
        <f t="shared" si="54"/>
        <v>2.6285915290280286</v>
      </c>
      <c r="AX327" s="5">
        <f t="shared" si="55"/>
        <v>0.98534660905504423</v>
      </c>
      <c r="AY327" s="5">
        <f t="shared" si="56"/>
        <v>1.9783578087465015</v>
      </c>
      <c r="AZ327">
        <f t="shared" si="57"/>
        <v>20740000</v>
      </c>
      <c r="BA327">
        <v>0</v>
      </c>
      <c r="BB327">
        <v>3430000</v>
      </c>
      <c r="BC327">
        <v>400000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490000</v>
      </c>
      <c r="BN327">
        <v>2750000</v>
      </c>
      <c r="BO327">
        <v>770000</v>
      </c>
      <c r="BP327">
        <v>3630000</v>
      </c>
      <c r="BQ327">
        <v>0</v>
      </c>
      <c r="BR327">
        <v>8170000</v>
      </c>
      <c r="BS327">
        <v>660000</v>
      </c>
      <c r="BT327">
        <v>0</v>
      </c>
      <c r="BU327">
        <v>0</v>
      </c>
      <c r="BV327">
        <v>440000</v>
      </c>
      <c r="BW327">
        <v>0</v>
      </c>
      <c r="BX327">
        <v>0</v>
      </c>
      <c r="BY327">
        <v>0</v>
      </c>
      <c r="BZ327">
        <v>0</v>
      </c>
      <c r="CA327">
        <v>0</v>
      </c>
      <c r="CT327">
        <v>15.429122468659571</v>
      </c>
      <c r="CU327">
        <v>25.843780135004785</v>
      </c>
      <c r="CV327">
        <v>58.727097396335544</v>
      </c>
      <c r="CW327">
        <v>0</v>
      </c>
      <c r="CX327">
        <v>0</v>
      </c>
      <c r="CY327">
        <v>16.682738669238198</v>
      </c>
      <c r="CZ327">
        <v>24.300867888138839</v>
      </c>
      <c r="DA327">
        <v>59.016393442622942</v>
      </c>
      <c r="DB327">
        <v>0</v>
      </c>
      <c r="DC327">
        <v>0</v>
      </c>
      <c r="DD327">
        <v>20.588235294117638</v>
      </c>
      <c r="DE327">
        <v>19.3346190935391</v>
      </c>
      <c r="DF327">
        <v>60.077145612343344</v>
      </c>
      <c r="DG327">
        <v>0</v>
      </c>
      <c r="DH327">
        <v>0</v>
      </c>
      <c r="DI327">
        <v>18.466730954676947</v>
      </c>
      <c r="DJ327">
        <v>19.3346190935391</v>
      </c>
      <c r="DK327">
        <v>62.198649951784034</v>
      </c>
      <c r="DL327">
        <v>0</v>
      </c>
      <c r="DM327">
        <v>0</v>
      </c>
      <c r="DN327">
        <v>18.466730954676947</v>
      </c>
      <c r="DO327">
        <v>19.3346190935391</v>
      </c>
      <c r="DP327">
        <v>62.198649951784034</v>
      </c>
      <c r="DQ327">
        <v>0</v>
      </c>
      <c r="DR327">
        <v>0</v>
      </c>
      <c r="DS327" t="s">
        <v>768</v>
      </c>
      <c r="DT327" t="s">
        <v>768</v>
      </c>
      <c r="DU327" t="s">
        <v>768</v>
      </c>
      <c r="DV327" t="s">
        <v>768</v>
      </c>
      <c r="DW327" t="s">
        <v>768</v>
      </c>
      <c r="DX327" t="s">
        <v>768</v>
      </c>
      <c r="DY327" t="s">
        <v>768</v>
      </c>
      <c r="DZ327" t="s">
        <v>768</v>
      </c>
      <c r="EA327" t="s">
        <v>768</v>
      </c>
      <c r="EB327" t="s">
        <v>768</v>
      </c>
      <c r="EC327" t="s">
        <v>768</v>
      </c>
      <c r="ED327" t="s">
        <v>894</v>
      </c>
      <c r="EE327" t="s">
        <v>895</v>
      </c>
      <c r="EF327" t="s">
        <v>746</v>
      </c>
      <c r="EG327" t="s">
        <v>760</v>
      </c>
    </row>
    <row r="328" spans="1:137" ht="14.55" customHeight="1" x14ac:dyDescent="0.3">
      <c r="A328" t="s">
        <v>1099</v>
      </c>
      <c r="B328">
        <v>74166</v>
      </c>
      <c r="C328" t="s">
        <v>1100</v>
      </c>
      <c r="D328" t="s">
        <v>878</v>
      </c>
      <c r="E328" t="s">
        <v>879</v>
      </c>
      <c r="F328" t="s">
        <v>742</v>
      </c>
      <c r="G328" t="s">
        <v>880</v>
      </c>
      <c r="H328" s="3">
        <v>5567940.7435299996</v>
      </c>
      <c r="I328">
        <v>558</v>
      </c>
      <c r="J328" s="3">
        <v>556.79407435299993</v>
      </c>
      <c r="K328">
        <v>372</v>
      </c>
      <c r="L328">
        <v>665</v>
      </c>
      <c r="M328">
        <v>529.97442273534602</v>
      </c>
      <c r="N328">
        <v>71.165095850521794</v>
      </c>
      <c r="O328">
        <v>0</v>
      </c>
      <c r="P328">
        <v>48.3097534179688</v>
      </c>
      <c r="Q328">
        <v>8.4516448974609393</v>
      </c>
      <c r="R328">
        <v>6.4834332466125497</v>
      </c>
      <c r="S328" t="s">
        <v>881</v>
      </c>
      <c r="T328" t="s">
        <v>1101</v>
      </c>
      <c r="U328" t="s">
        <v>1100</v>
      </c>
      <c r="V328" t="s">
        <v>1100</v>
      </c>
      <c r="W328" s="3">
        <v>1789</v>
      </c>
      <c r="X328" s="3">
        <v>5570000</v>
      </c>
      <c r="Y328">
        <v>2</v>
      </c>
      <c r="Z328" s="3">
        <v>1196</v>
      </c>
      <c r="AA328" s="3">
        <v>1276</v>
      </c>
      <c r="AB328" s="3">
        <v>1285</v>
      </c>
      <c r="AC328" s="3">
        <v>1450</v>
      </c>
      <c r="AD328" s="3">
        <v>1474</v>
      </c>
      <c r="AE328" s="3">
        <v>1508</v>
      </c>
      <c r="AF328" s="3">
        <v>1542</v>
      </c>
      <c r="AG328" s="3">
        <v>1588</v>
      </c>
      <c r="AH328" s="3">
        <v>1627</v>
      </c>
      <c r="AI328" s="3">
        <v>1666</v>
      </c>
      <c r="AJ328" s="3">
        <v>1673</v>
      </c>
      <c r="AK328" s="3">
        <v>1700</v>
      </c>
      <c r="AL328" s="3">
        <v>1727</v>
      </c>
      <c r="AM328" s="3">
        <v>1758</v>
      </c>
      <c r="AN328" s="3">
        <v>1789</v>
      </c>
      <c r="AO328" s="3">
        <v>1807</v>
      </c>
      <c r="AP328" s="3">
        <v>1842</v>
      </c>
      <c r="AR328" s="4">
        <v>330.70017953321366</v>
      </c>
      <c r="AS328" s="5">
        <f t="shared" si="50"/>
        <v>0.83612040133779264</v>
      </c>
      <c r="AT328" s="5">
        <f t="shared" si="51"/>
        <v>7.8369905956112859E-2</v>
      </c>
      <c r="AU328" s="5">
        <f t="shared" si="52"/>
        <v>2</v>
      </c>
      <c r="AV328" s="5">
        <f t="shared" si="53"/>
        <v>1.9455252918287937</v>
      </c>
      <c r="AW328" s="5">
        <f t="shared" si="54"/>
        <v>0.43773362187684445</v>
      </c>
      <c r="AX328" s="5">
        <f t="shared" si="55"/>
        <v>2.1673151750972766</v>
      </c>
      <c r="AY328" s="5">
        <f t="shared" si="56"/>
        <v>1.4598210250384163</v>
      </c>
      <c r="AZ328">
        <f t="shared" si="57"/>
        <v>5560000</v>
      </c>
      <c r="BA328">
        <v>0</v>
      </c>
      <c r="BB328">
        <v>1160000</v>
      </c>
      <c r="BC328">
        <v>150000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2840000</v>
      </c>
      <c r="BO328">
        <v>440000</v>
      </c>
      <c r="BP328">
        <v>970000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T328">
        <v>20.863309352518009</v>
      </c>
      <c r="CU328">
        <v>61.690647482014398</v>
      </c>
      <c r="CV328">
        <v>17.4460431654676</v>
      </c>
      <c r="CW328">
        <v>0</v>
      </c>
      <c r="CX328">
        <v>0</v>
      </c>
      <c r="CY328">
        <v>23.56115107913671</v>
      </c>
      <c r="CZ328">
        <v>58.9928057553957</v>
      </c>
      <c r="DA328">
        <v>17.4460431654676</v>
      </c>
      <c r="DB328">
        <v>0</v>
      </c>
      <c r="DC328">
        <v>0</v>
      </c>
      <c r="DD328">
        <v>23.56115107913671</v>
      </c>
      <c r="DE328">
        <v>58.9928057553957</v>
      </c>
      <c r="DF328">
        <v>17.4460431654676</v>
      </c>
      <c r="DG328">
        <v>0</v>
      </c>
      <c r="DH328">
        <v>0</v>
      </c>
      <c r="DI328">
        <v>23.56115107913671</v>
      </c>
      <c r="DJ328">
        <v>58.9928057553957</v>
      </c>
      <c r="DK328">
        <v>17.4460431654676</v>
      </c>
      <c r="DL328">
        <v>0</v>
      </c>
      <c r="DM328">
        <v>0</v>
      </c>
      <c r="DN328">
        <v>23.56115107913671</v>
      </c>
      <c r="DO328">
        <v>58.9928057553957</v>
      </c>
      <c r="DP328">
        <v>17.4460431654676</v>
      </c>
      <c r="DQ328">
        <v>0</v>
      </c>
      <c r="DR328">
        <v>0</v>
      </c>
      <c r="DS328" t="s">
        <v>768</v>
      </c>
      <c r="DT328" t="s">
        <v>768</v>
      </c>
      <c r="DU328" t="s">
        <v>768</v>
      </c>
      <c r="DV328" t="s">
        <v>768</v>
      </c>
      <c r="DW328" t="s">
        <v>768</v>
      </c>
      <c r="DX328" t="s">
        <v>768</v>
      </c>
      <c r="DY328" t="s">
        <v>768</v>
      </c>
      <c r="DZ328" t="s">
        <v>768</v>
      </c>
      <c r="EA328" t="s">
        <v>768</v>
      </c>
      <c r="EB328" t="s">
        <v>768</v>
      </c>
      <c r="EC328" t="s">
        <v>768</v>
      </c>
      <c r="ED328" t="s">
        <v>889</v>
      </c>
      <c r="EE328" t="s">
        <v>887</v>
      </c>
      <c r="EF328" t="s">
        <v>746</v>
      </c>
      <c r="EG328" t="s">
        <v>760</v>
      </c>
    </row>
    <row r="329" spans="1:137" ht="14.55" customHeight="1" x14ac:dyDescent="0.3">
      <c r="A329" t="s">
        <v>1102</v>
      </c>
      <c r="B329">
        <v>74171</v>
      </c>
      <c r="C329" t="s">
        <v>1103</v>
      </c>
      <c r="D329" t="s">
        <v>543</v>
      </c>
      <c r="E329" t="s">
        <v>879</v>
      </c>
      <c r="F329" t="s">
        <v>742</v>
      </c>
      <c r="G329" t="s">
        <v>904</v>
      </c>
      <c r="H329" s="3">
        <v>9794295.3511200007</v>
      </c>
      <c r="I329">
        <v>980</v>
      </c>
      <c r="J329" s="3">
        <v>979.42953511200005</v>
      </c>
      <c r="K329">
        <v>395</v>
      </c>
      <c r="L329">
        <v>689</v>
      </c>
      <c r="M329">
        <v>438.25616826210103</v>
      </c>
      <c r="N329">
        <v>46.252464277115202</v>
      </c>
      <c r="O329">
        <v>0</v>
      </c>
      <c r="P329">
        <v>40.530094146728501</v>
      </c>
      <c r="Q329">
        <v>5.3589758872985804</v>
      </c>
      <c r="R329">
        <v>5.1040334701538104</v>
      </c>
      <c r="S329" t="s">
        <v>881</v>
      </c>
      <c r="T329" t="s">
        <v>1104</v>
      </c>
      <c r="U329" t="s">
        <v>1103</v>
      </c>
      <c r="V329" t="s">
        <v>1103</v>
      </c>
      <c r="W329" s="3">
        <v>1494</v>
      </c>
      <c r="X329" s="3">
        <v>9800000</v>
      </c>
      <c r="Y329">
        <v>2</v>
      </c>
      <c r="Z329" s="3">
        <v>717</v>
      </c>
      <c r="AA329" s="3">
        <v>1035</v>
      </c>
      <c r="AB329" s="3">
        <v>1146</v>
      </c>
      <c r="AC329" s="3">
        <v>1265</v>
      </c>
      <c r="AD329" s="3">
        <v>1281</v>
      </c>
      <c r="AE329" s="3">
        <v>1306</v>
      </c>
      <c r="AF329" s="3">
        <v>1347</v>
      </c>
      <c r="AG329" s="3">
        <v>1424</v>
      </c>
      <c r="AH329" s="3">
        <v>1498</v>
      </c>
      <c r="AI329" s="3">
        <v>1571</v>
      </c>
      <c r="AJ329" s="3">
        <v>1598</v>
      </c>
      <c r="AK329" s="3">
        <v>1614</v>
      </c>
      <c r="AL329" s="3">
        <v>1568</v>
      </c>
      <c r="AM329" s="3">
        <v>1531</v>
      </c>
      <c r="AN329" s="3">
        <v>1494</v>
      </c>
      <c r="AO329" s="3">
        <v>1533</v>
      </c>
      <c r="AP329" s="3">
        <v>1534</v>
      </c>
      <c r="AQ329" s="3">
        <v>1616</v>
      </c>
      <c r="AR329" s="4">
        <v>156.53061224489795</v>
      </c>
      <c r="AS329" s="5">
        <f t="shared" si="50"/>
        <v>5.543933054393305</v>
      </c>
      <c r="AT329" s="5">
        <f t="shared" si="51"/>
        <v>1.1916264090177133</v>
      </c>
      <c r="AU329" s="5">
        <f t="shared" si="52"/>
        <v>1.7539267015706805</v>
      </c>
      <c r="AV329" s="5">
        <f t="shared" si="53"/>
        <v>1.3882702301410543</v>
      </c>
      <c r="AW329" s="5">
        <f t="shared" si="54"/>
        <v>3.5195668225449173</v>
      </c>
      <c r="AX329" s="5">
        <f t="shared" si="55"/>
        <v>1.6928446771378707</v>
      </c>
      <c r="AY329" s="5">
        <f t="shared" si="56"/>
        <v>3.0796486863432468</v>
      </c>
      <c r="AZ329">
        <f t="shared" si="57"/>
        <v>9770000</v>
      </c>
      <c r="BA329">
        <v>0</v>
      </c>
      <c r="BB329">
        <v>1210000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3070000</v>
      </c>
      <c r="BK329">
        <v>0</v>
      </c>
      <c r="BL329">
        <v>0</v>
      </c>
      <c r="BM329">
        <v>960000</v>
      </c>
      <c r="BN329">
        <v>1320000</v>
      </c>
      <c r="BO329">
        <v>140000</v>
      </c>
      <c r="BP329">
        <v>2920000</v>
      </c>
      <c r="BQ329">
        <v>0</v>
      </c>
      <c r="BR329">
        <v>120000</v>
      </c>
      <c r="BS329">
        <v>30000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T329">
        <v>13.408393039918099</v>
      </c>
      <c r="CU329">
        <v>52.814738996929378</v>
      </c>
      <c r="CV329">
        <v>33.776867963152462</v>
      </c>
      <c r="CW329">
        <v>0</v>
      </c>
      <c r="CX329">
        <v>0</v>
      </c>
      <c r="CY329">
        <v>13.408393039918099</v>
      </c>
      <c r="CZ329">
        <v>53.326509723643824</v>
      </c>
      <c r="DA329">
        <v>33.265097236438059</v>
      </c>
      <c r="DB329">
        <v>0</v>
      </c>
      <c r="DC329">
        <v>0</v>
      </c>
      <c r="DD329">
        <v>14.2272262026612</v>
      </c>
      <c r="DE329">
        <v>52.712384851586464</v>
      </c>
      <c r="DF329">
        <v>33.060388945752358</v>
      </c>
      <c r="DG329">
        <v>0</v>
      </c>
      <c r="DH329">
        <v>0</v>
      </c>
      <c r="DI329">
        <v>12.384851586489299</v>
      </c>
      <c r="DJ329">
        <v>56.192425793244595</v>
      </c>
      <c r="DK329">
        <v>31.422722620266157</v>
      </c>
      <c r="DL329">
        <v>0</v>
      </c>
      <c r="DM329">
        <v>0</v>
      </c>
      <c r="DN329">
        <v>12.384851586489299</v>
      </c>
      <c r="DO329">
        <v>56.192425793244595</v>
      </c>
      <c r="DP329">
        <v>31.422722620266157</v>
      </c>
      <c r="DQ329">
        <v>0</v>
      </c>
      <c r="DR329">
        <v>0</v>
      </c>
      <c r="DS329" t="s">
        <v>312</v>
      </c>
      <c r="DT329" t="s">
        <v>313</v>
      </c>
      <c r="DU329">
        <v>1540</v>
      </c>
      <c r="DV329" t="s">
        <v>547</v>
      </c>
      <c r="DW329" t="s">
        <v>548</v>
      </c>
      <c r="DX329">
        <v>86</v>
      </c>
      <c r="DY329">
        <v>130</v>
      </c>
      <c r="DZ329">
        <v>216</v>
      </c>
      <c r="EA329">
        <v>606779</v>
      </c>
      <c r="EB329">
        <v>388178</v>
      </c>
      <c r="EC329">
        <v>994957</v>
      </c>
      <c r="ED329" t="s">
        <v>909</v>
      </c>
      <c r="EE329" t="s">
        <v>910</v>
      </c>
      <c r="EF329" t="s">
        <v>753</v>
      </c>
      <c r="EG329" t="s">
        <v>754</v>
      </c>
    </row>
    <row r="330" spans="1:137" ht="14.55" customHeight="1" x14ac:dyDescent="0.3">
      <c r="A330" t="s">
        <v>1105</v>
      </c>
      <c r="B330">
        <v>74172</v>
      </c>
      <c r="C330" t="s">
        <v>1106</v>
      </c>
      <c r="D330" t="s">
        <v>878</v>
      </c>
      <c r="E330" t="s">
        <v>879</v>
      </c>
      <c r="F330" t="s">
        <v>742</v>
      </c>
      <c r="G330" t="s">
        <v>880</v>
      </c>
      <c r="H330" s="3">
        <v>4086503.3868499999</v>
      </c>
      <c r="I330">
        <v>407</v>
      </c>
      <c r="J330" s="3">
        <v>408.65033868500001</v>
      </c>
      <c r="K330">
        <v>374</v>
      </c>
      <c r="L330">
        <v>827</v>
      </c>
      <c r="M330">
        <v>547.40093729799605</v>
      </c>
      <c r="N330">
        <v>119.840885322394</v>
      </c>
      <c r="O330">
        <v>0</v>
      </c>
      <c r="P330">
        <v>36.7146606445313</v>
      </c>
      <c r="Q330">
        <v>10.815976142883301</v>
      </c>
      <c r="R330">
        <v>6.6867651939392099</v>
      </c>
      <c r="S330" t="s">
        <v>881</v>
      </c>
      <c r="T330" t="s">
        <v>1107</v>
      </c>
      <c r="U330" t="s">
        <v>1106</v>
      </c>
      <c r="V330" t="s">
        <v>1106</v>
      </c>
      <c r="W330" s="3">
        <v>1414</v>
      </c>
      <c r="X330" s="3">
        <v>4090000</v>
      </c>
      <c r="Y330">
        <v>2</v>
      </c>
      <c r="Z330" s="3">
        <v>720</v>
      </c>
      <c r="AA330" s="3">
        <v>945</v>
      </c>
      <c r="AB330" s="3">
        <v>1020</v>
      </c>
      <c r="AC330" s="3">
        <v>1195</v>
      </c>
      <c r="AD330" s="3">
        <v>1220</v>
      </c>
      <c r="AE330" s="3">
        <v>1245</v>
      </c>
      <c r="AF330" s="3">
        <v>1254</v>
      </c>
      <c r="AG330" s="3">
        <v>1336</v>
      </c>
      <c r="AH330" s="3">
        <v>1334</v>
      </c>
      <c r="AI330" s="3">
        <v>1332</v>
      </c>
      <c r="AJ330" s="3">
        <v>1330</v>
      </c>
      <c r="AK330" s="3">
        <v>1323</v>
      </c>
      <c r="AL330" s="3">
        <v>1315</v>
      </c>
      <c r="AM330" s="3">
        <v>1365</v>
      </c>
      <c r="AN330" s="3">
        <v>1414</v>
      </c>
      <c r="AO330" s="3">
        <v>1464</v>
      </c>
      <c r="AP330" s="3">
        <v>1453</v>
      </c>
      <c r="AR330" s="4">
        <v>355.25672371638143</v>
      </c>
      <c r="AS330" s="5">
        <f t="shared" si="50"/>
        <v>3.90625</v>
      </c>
      <c r="AT330" s="5">
        <f t="shared" si="51"/>
        <v>0.88183421516754845</v>
      </c>
      <c r="AU330" s="5">
        <f t="shared" si="52"/>
        <v>2.2941176470588234</v>
      </c>
      <c r="AV330" s="5">
        <f t="shared" si="53"/>
        <v>1.5869218500797446</v>
      </c>
      <c r="AW330" s="5">
        <f t="shared" si="54"/>
        <v>2.4509803921568629</v>
      </c>
      <c r="AX330" s="5">
        <f t="shared" si="55"/>
        <v>2.1225490196078431</v>
      </c>
      <c r="AY330" s="5">
        <f t="shared" si="56"/>
        <v>2.7515015015015014</v>
      </c>
      <c r="AZ330">
        <f t="shared" si="57"/>
        <v>4040000</v>
      </c>
      <c r="BA330">
        <v>0</v>
      </c>
      <c r="BB330">
        <v>1570000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390000</v>
      </c>
      <c r="BN330">
        <v>600000</v>
      </c>
      <c r="BO330">
        <v>0</v>
      </c>
      <c r="BP330">
        <v>940000</v>
      </c>
      <c r="BQ330">
        <v>0</v>
      </c>
      <c r="BR330">
        <v>540000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T330">
        <v>29.702970297029701</v>
      </c>
      <c r="CU330">
        <v>33.41584158415845</v>
      </c>
      <c r="CV330">
        <v>36.881188118811899</v>
      </c>
      <c r="CW330">
        <v>0</v>
      </c>
      <c r="CX330">
        <v>0</v>
      </c>
      <c r="CY330">
        <v>37.1287128712871</v>
      </c>
      <c r="CZ330">
        <v>25.990099009900952</v>
      </c>
      <c r="DA330">
        <v>36.881188118811899</v>
      </c>
      <c r="DB330">
        <v>0</v>
      </c>
      <c r="DC330">
        <v>0</v>
      </c>
      <c r="DD330">
        <v>37.3762376237624</v>
      </c>
      <c r="DE330">
        <v>25.990099009900952</v>
      </c>
      <c r="DF330">
        <v>36.633663366336599</v>
      </c>
      <c r="DG330">
        <v>0</v>
      </c>
      <c r="DH330">
        <v>0</v>
      </c>
      <c r="DI330">
        <v>38.861386138613902</v>
      </c>
      <c r="DJ330">
        <v>24.504950495049549</v>
      </c>
      <c r="DK330">
        <v>36.633663366336599</v>
      </c>
      <c r="DL330">
        <v>0</v>
      </c>
      <c r="DM330">
        <v>0</v>
      </c>
      <c r="DN330">
        <v>38.861386138613902</v>
      </c>
      <c r="DO330">
        <v>24.504950495049549</v>
      </c>
      <c r="DP330">
        <v>36.633663366336599</v>
      </c>
      <c r="DQ330">
        <v>0</v>
      </c>
      <c r="DR330">
        <v>0</v>
      </c>
      <c r="DS330" t="s">
        <v>768</v>
      </c>
      <c r="DT330" t="s">
        <v>768</v>
      </c>
      <c r="DU330" t="s">
        <v>768</v>
      </c>
      <c r="DV330" t="s">
        <v>768</v>
      </c>
      <c r="DW330" t="s">
        <v>768</v>
      </c>
      <c r="DX330" t="s">
        <v>768</v>
      </c>
      <c r="DY330" t="s">
        <v>768</v>
      </c>
      <c r="DZ330" t="s">
        <v>768</v>
      </c>
      <c r="EA330" t="s">
        <v>768</v>
      </c>
      <c r="EB330" t="s">
        <v>768</v>
      </c>
      <c r="EC330" t="s">
        <v>768</v>
      </c>
      <c r="ED330" t="s">
        <v>889</v>
      </c>
      <c r="EE330" t="s">
        <v>887</v>
      </c>
      <c r="EF330" t="s">
        <v>746</v>
      </c>
      <c r="EG330" t="s">
        <v>760</v>
      </c>
    </row>
    <row r="331" spans="1:137" ht="14.55" customHeight="1" x14ac:dyDescent="0.3">
      <c r="A331" t="s">
        <v>1108</v>
      </c>
      <c r="B331">
        <v>74175</v>
      </c>
      <c r="C331" t="s">
        <v>1109</v>
      </c>
      <c r="D331" t="s">
        <v>878</v>
      </c>
      <c r="E331" t="s">
        <v>879</v>
      </c>
      <c r="F331" t="s">
        <v>742</v>
      </c>
      <c r="G331" t="s">
        <v>880</v>
      </c>
      <c r="H331" s="3">
        <v>3917040.4555799998</v>
      </c>
      <c r="I331">
        <v>394</v>
      </c>
      <c r="J331" s="3">
        <v>391.70404555799996</v>
      </c>
      <c r="K331">
        <v>374</v>
      </c>
      <c r="L331">
        <v>993</v>
      </c>
      <c r="M331">
        <v>664.88334173810699</v>
      </c>
      <c r="N331">
        <v>171.763134545317</v>
      </c>
      <c r="O331">
        <v>0</v>
      </c>
      <c r="P331">
        <v>65.785194396972699</v>
      </c>
      <c r="Q331">
        <v>26.656639099121101</v>
      </c>
      <c r="R331">
        <v>11.719970703125</v>
      </c>
      <c r="S331" t="s">
        <v>881</v>
      </c>
      <c r="T331" t="s">
        <v>1110</v>
      </c>
      <c r="U331" t="s">
        <v>1109</v>
      </c>
      <c r="V331" t="s">
        <v>1109</v>
      </c>
      <c r="W331" s="3">
        <v>317</v>
      </c>
      <c r="X331" s="3">
        <v>3920000</v>
      </c>
      <c r="Y331">
        <v>3</v>
      </c>
      <c r="Z331" s="3">
        <v>258</v>
      </c>
      <c r="AA331" s="3">
        <v>305</v>
      </c>
      <c r="AB331" s="3">
        <v>280</v>
      </c>
      <c r="AC331" s="3">
        <v>303</v>
      </c>
      <c r="AD331" s="3">
        <v>306</v>
      </c>
      <c r="AE331" s="3">
        <v>309</v>
      </c>
      <c r="AF331" s="3">
        <v>315</v>
      </c>
      <c r="AG331" s="3">
        <v>314</v>
      </c>
      <c r="AH331" s="3">
        <v>320</v>
      </c>
      <c r="AI331" s="3">
        <v>323</v>
      </c>
      <c r="AJ331" s="3">
        <v>326</v>
      </c>
      <c r="AK331" s="3">
        <v>330</v>
      </c>
      <c r="AL331" s="3">
        <v>328</v>
      </c>
      <c r="AM331" s="3">
        <v>322</v>
      </c>
      <c r="AN331" s="3">
        <v>317</v>
      </c>
      <c r="AO331" s="3">
        <v>312</v>
      </c>
      <c r="AP331" s="3">
        <v>314</v>
      </c>
      <c r="AR331" s="4">
        <v>80.102040816326536</v>
      </c>
      <c r="AS331" s="5">
        <f t="shared" si="50"/>
        <v>2.2771317829457365</v>
      </c>
      <c r="AT331" s="5">
        <f t="shared" si="51"/>
        <v>-0.91074681238615651</v>
      </c>
      <c r="AU331" s="5">
        <f t="shared" si="52"/>
        <v>1.25</v>
      </c>
      <c r="AV331" s="5">
        <f t="shared" si="53"/>
        <v>-3.1746031746031744E-2</v>
      </c>
      <c r="AW331" s="5">
        <f t="shared" si="54"/>
        <v>0.50159598723210208</v>
      </c>
      <c r="AX331" s="5">
        <f t="shared" si="55"/>
        <v>0.6071428571428571</v>
      </c>
      <c r="AY331" s="5">
        <f t="shared" si="56"/>
        <v>0.58663314477267969</v>
      </c>
      <c r="AZ331">
        <f t="shared" si="57"/>
        <v>3970000</v>
      </c>
      <c r="BA331">
        <v>0</v>
      </c>
      <c r="BB331">
        <v>80000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80000</v>
      </c>
      <c r="BN331">
        <v>0</v>
      </c>
      <c r="BO331">
        <v>80000</v>
      </c>
      <c r="BP331">
        <v>2760000</v>
      </c>
      <c r="BQ331">
        <v>190000</v>
      </c>
      <c r="BR331">
        <v>720000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60000</v>
      </c>
      <c r="CT331">
        <v>6.5491183879093198</v>
      </c>
      <c r="CU331">
        <v>4.0302267002518901</v>
      </c>
      <c r="CV331">
        <v>87.909319899244295</v>
      </c>
      <c r="CW331">
        <v>0</v>
      </c>
      <c r="CX331">
        <v>1.51133501259446</v>
      </c>
      <c r="CY331">
        <v>0</v>
      </c>
      <c r="CZ331">
        <v>4.0302267002518803</v>
      </c>
      <c r="DA331">
        <v>94.458438287153697</v>
      </c>
      <c r="DB331">
        <v>0</v>
      </c>
      <c r="DC331">
        <v>1.51133501259446</v>
      </c>
      <c r="DD331">
        <v>2.0151133501259402</v>
      </c>
      <c r="DE331">
        <v>4.0302267002518803</v>
      </c>
      <c r="DF331">
        <v>92.443324937027697</v>
      </c>
      <c r="DG331">
        <v>0</v>
      </c>
      <c r="DH331">
        <v>1.51133501259446</v>
      </c>
      <c r="DI331">
        <v>2.0151133501259402</v>
      </c>
      <c r="DJ331">
        <v>4.0302267002518803</v>
      </c>
      <c r="DK331">
        <v>92.443324937027697</v>
      </c>
      <c r="DL331">
        <v>0</v>
      </c>
      <c r="DM331">
        <v>1.51133501259446</v>
      </c>
      <c r="DN331">
        <v>2.0151133501259402</v>
      </c>
      <c r="DO331">
        <v>4.0302267002518803</v>
      </c>
      <c r="DP331">
        <v>92.443324937027697</v>
      </c>
      <c r="DQ331">
        <v>0</v>
      </c>
      <c r="DR331">
        <v>1.51133501259446</v>
      </c>
      <c r="DS331" t="s">
        <v>768</v>
      </c>
      <c r="DT331" t="s">
        <v>768</v>
      </c>
      <c r="DU331" t="s">
        <v>768</v>
      </c>
      <c r="DV331" t="s">
        <v>768</v>
      </c>
      <c r="DW331" t="s">
        <v>768</v>
      </c>
      <c r="DX331" t="s">
        <v>768</v>
      </c>
      <c r="DY331" t="s">
        <v>768</v>
      </c>
      <c r="DZ331" t="s">
        <v>768</v>
      </c>
      <c r="EA331" t="s">
        <v>768</v>
      </c>
      <c r="EB331" t="s">
        <v>768</v>
      </c>
      <c r="EC331" t="s">
        <v>768</v>
      </c>
      <c r="ED331" t="s">
        <v>909</v>
      </c>
      <c r="EE331" t="s">
        <v>910</v>
      </c>
      <c r="EF331" t="s">
        <v>753</v>
      </c>
      <c r="EG331" t="s">
        <v>754</v>
      </c>
    </row>
    <row r="332" spans="1:137" ht="14.55" customHeight="1" x14ac:dyDescent="0.3">
      <c r="A332" t="s">
        <v>1111</v>
      </c>
      <c r="B332">
        <v>74180</v>
      </c>
      <c r="C332" t="s">
        <v>994</v>
      </c>
      <c r="D332" t="s">
        <v>543</v>
      </c>
      <c r="E332" t="s">
        <v>879</v>
      </c>
      <c r="F332" t="s">
        <v>742</v>
      </c>
      <c r="G332" t="s">
        <v>904</v>
      </c>
      <c r="H332" s="3">
        <v>9220701.2008699998</v>
      </c>
      <c r="I332">
        <v>920</v>
      </c>
      <c r="J332" s="3">
        <v>922.07012008699996</v>
      </c>
      <c r="K332">
        <v>372</v>
      </c>
      <c r="L332">
        <v>459</v>
      </c>
      <c r="M332">
        <v>422.59766492371602</v>
      </c>
      <c r="N332">
        <v>18.493786348553598</v>
      </c>
      <c r="O332">
        <v>0</v>
      </c>
      <c r="P332">
        <v>17.439308166503899</v>
      </c>
      <c r="Q332">
        <v>4.2574234008789098</v>
      </c>
      <c r="R332">
        <v>2.4818098545074498</v>
      </c>
      <c r="S332" t="s">
        <v>881</v>
      </c>
      <c r="T332" t="s">
        <v>1112</v>
      </c>
      <c r="U332" t="s">
        <v>994</v>
      </c>
      <c r="V332" t="s">
        <v>994</v>
      </c>
      <c r="W332" s="3">
        <v>2134</v>
      </c>
      <c r="X332" s="3">
        <v>9210000</v>
      </c>
      <c r="Y332">
        <v>3</v>
      </c>
      <c r="Z332" s="3">
        <v>844</v>
      </c>
      <c r="AA332" s="3">
        <v>1145</v>
      </c>
      <c r="AB332" s="3">
        <v>1434</v>
      </c>
      <c r="AC332" s="3">
        <v>1951</v>
      </c>
      <c r="AD332" s="3">
        <v>2025</v>
      </c>
      <c r="AE332" s="3">
        <v>2054</v>
      </c>
      <c r="AF332" s="3">
        <v>2053</v>
      </c>
      <c r="AG332" s="3">
        <v>2103</v>
      </c>
      <c r="AH332" s="3">
        <v>2119</v>
      </c>
      <c r="AI332" s="3">
        <v>2135</v>
      </c>
      <c r="AJ332" s="3">
        <v>2153</v>
      </c>
      <c r="AK332" s="3">
        <v>2235</v>
      </c>
      <c r="AL332" s="3">
        <v>2192</v>
      </c>
      <c r="AM332" s="3">
        <v>2163</v>
      </c>
      <c r="AN332" s="3">
        <v>2134</v>
      </c>
      <c r="AO332" s="3">
        <v>2148</v>
      </c>
      <c r="AP332" s="3">
        <v>2150</v>
      </c>
      <c r="AQ332" s="3">
        <v>2271</v>
      </c>
      <c r="AR332" s="4">
        <v>233.44191096634094</v>
      </c>
      <c r="AS332" s="5">
        <f t="shared" si="50"/>
        <v>4.4579383886255926</v>
      </c>
      <c r="AT332" s="5">
        <f t="shared" si="51"/>
        <v>2.8044638524987873</v>
      </c>
      <c r="AU332" s="5">
        <f t="shared" si="52"/>
        <v>4.316596931659693</v>
      </c>
      <c r="AV332" s="5">
        <f t="shared" si="53"/>
        <v>0.47247929858743304</v>
      </c>
      <c r="AW332" s="5">
        <f t="shared" si="54"/>
        <v>4.1120713688318924</v>
      </c>
      <c r="AX332" s="5">
        <f t="shared" si="55"/>
        <v>2.4965132496513252</v>
      </c>
      <c r="AY332" s="5">
        <f t="shared" si="56"/>
        <v>4.1821442295375943</v>
      </c>
      <c r="AZ332">
        <f t="shared" si="57"/>
        <v>9230000</v>
      </c>
      <c r="BA332">
        <v>0</v>
      </c>
      <c r="BB332">
        <v>1780000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2660000</v>
      </c>
      <c r="BK332">
        <v>0</v>
      </c>
      <c r="BL332">
        <v>0</v>
      </c>
      <c r="BM332">
        <v>0</v>
      </c>
      <c r="BN332">
        <v>250000</v>
      </c>
      <c r="BO332">
        <v>980000</v>
      </c>
      <c r="BP332">
        <v>3470000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90000</v>
      </c>
      <c r="CT332">
        <v>15.492957746478901</v>
      </c>
      <c r="CU332">
        <v>43.011917659805</v>
      </c>
      <c r="CV332">
        <v>40.628385698808202</v>
      </c>
      <c r="CW332">
        <v>0</v>
      </c>
      <c r="CX332">
        <v>0.86673889490790901</v>
      </c>
      <c r="CY332">
        <v>15.492957746478901</v>
      </c>
      <c r="CZ332">
        <v>45.720476706392198</v>
      </c>
      <c r="DA332">
        <v>37.919826652220998</v>
      </c>
      <c r="DB332">
        <v>0</v>
      </c>
      <c r="DC332">
        <v>0.86673889490790901</v>
      </c>
      <c r="DD332">
        <v>19.501625135428</v>
      </c>
      <c r="DE332">
        <v>41.928494041170097</v>
      </c>
      <c r="DF332">
        <v>37.594799566630599</v>
      </c>
      <c r="DG332">
        <v>0</v>
      </c>
      <c r="DH332">
        <v>0.97508125677139801</v>
      </c>
      <c r="DI332">
        <v>19.284940411701001</v>
      </c>
      <c r="DJ332">
        <v>42.145178764897096</v>
      </c>
      <c r="DK332">
        <v>37.594799566630599</v>
      </c>
      <c r="DL332">
        <v>0</v>
      </c>
      <c r="DM332">
        <v>0.97508125677139801</v>
      </c>
      <c r="DN332">
        <v>19.284940411701001</v>
      </c>
      <c r="DO332">
        <v>42.145178764897096</v>
      </c>
      <c r="DP332">
        <v>37.594799566630599</v>
      </c>
      <c r="DQ332">
        <v>0</v>
      </c>
      <c r="DR332">
        <v>0.97508125677139801</v>
      </c>
      <c r="DS332" t="s">
        <v>312</v>
      </c>
      <c r="DT332" t="s">
        <v>313</v>
      </c>
      <c r="DU332">
        <v>2164</v>
      </c>
      <c r="DV332" t="s">
        <v>547</v>
      </c>
      <c r="DW332" t="s">
        <v>548</v>
      </c>
      <c r="DX332">
        <v>86</v>
      </c>
      <c r="DY332">
        <v>130</v>
      </c>
      <c r="DZ332">
        <v>216</v>
      </c>
      <c r="EA332">
        <v>606779</v>
      </c>
      <c r="EB332">
        <v>388178</v>
      </c>
      <c r="EC332">
        <v>994957</v>
      </c>
      <c r="ED332" t="s">
        <v>993</v>
      </c>
      <c r="EE332" t="s">
        <v>994</v>
      </c>
      <c r="EF332" t="s">
        <v>746</v>
      </c>
      <c r="EG332" t="s">
        <v>747</v>
      </c>
    </row>
    <row r="333" spans="1:137" ht="14.55" customHeight="1" x14ac:dyDescent="0.3">
      <c r="A333" t="s">
        <v>1113</v>
      </c>
      <c r="B333">
        <v>74185</v>
      </c>
      <c r="C333" t="s">
        <v>1114</v>
      </c>
      <c r="D333" t="s">
        <v>543</v>
      </c>
      <c r="E333" t="s">
        <v>879</v>
      </c>
      <c r="F333" t="s">
        <v>742</v>
      </c>
      <c r="G333" t="s">
        <v>892</v>
      </c>
      <c r="H333" s="3">
        <v>11399399.1434</v>
      </c>
      <c r="I333">
        <v>1139</v>
      </c>
      <c r="J333" s="3">
        <v>1139.9399143400001</v>
      </c>
      <c r="K333">
        <v>419</v>
      </c>
      <c r="L333">
        <v>1267</v>
      </c>
      <c r="M333">
        <v>781.29951746991503</v>
      </c>
      <c r="N333">
        <v>214.69567139821999</v>
      </c>
      <c r="O333">
        <v>0</v>
      </c>
      <c r="P333">
        <v>70.6776123046875</v>
      </c>
      <c r="Q333">
        <v>14.9148616790772</v>
      </c>
      <c r="R333">
        <v>10.0014953613281</v>
      </c>
      <c r="S333" t="s">
        <v>881</v>
      </c>
      <c r="T333" t="s">
        <v>1115</v>
      </c>
      <c r="U333" t="s">
        <v>1114</v>
      </c>
      <c r="V333" t="s">
        <v>1114</v>
      </c>
      <c r="W333" s="3">
        <v>2295</v>
      </c>
      <c r="X333" s="3">
        <v>11400000</v>
      </c>
      <c r="Y333">
        <v>3</v>
      </c>
      <c r="Z333" s="3">
        <v>1530</v>
      </c>
      <c r="AA333" s="3">
        <v>1794</v>
      </c>
      <c r="AB333" s="3">
        <v>1792</v>
      </c>
      <c r="AC333" s="3">
        <v>2006</v>
      </c>
      <c r="AD333" s="3">
        <v>2032</v>
      </c>
      <c r="AE333" s="3">
        <v>2098</v>
      </c>
      <c r="AF333" s="3">
        <v>2163</v>
      </c>
      <c r="AG333" s="3">
        <v>2229</v>
      </c>
      <c r="AH333" s="3">
        <v>2304</v>
      </c>
      <c r="AI333" s="3">
        <v>2338</v>
      </c>
      <c r="AJ333" s="3">
        <v>2332</v>
      </c>
      <c r="AK333" s="3">
        <v>2321</v>
      </c>
      <c r="AL333" s="3">
        <v>2310</v>
      </c>
      <c r="AM333" s="3">
        <v>2311</v>
      </c>
      <c r="AN333" s="3">
        <v>2295</v>
      </c>
      <c r="AO333" s="3">
        <v>2304</v>
      </c>
      <c r="AP333" s="3">
        <v>2318</v>
      </c>
      <c r="AQ333" s="3">
        <v>2332</v>
      </c>
      <c r="AR333" s="4">
        <v>203.33333333333334</v>
      </c>
      <c r="AS333" s="5">
        <f t="shared" si="50"/>
        <v>2.1568627450980391</v>
      </c>
      <c r="AT333" s="5">
        <f t="shared" si="51"/>
        <v>-1.2386968908708039E-2</v>
      </c>
      <c r="AU333" s="5">
        <f t="shared" si="52"/>
        <v>2.0703125</v>
      </c>
      <c r="AV333" s="5">
        <f t="shared" si="53"/>
        <v>0.71659731853906616</v>
      </c>
      <c r="AW333" s="5">
        <f t="shared" si="54"/>
        <v>1.0073048827374087</v>
      </c>
      <c r="AX333" s="5">
        <f t="shared" si="55"/>
        <v>1.4676339285714286</v>
      </c>
      <c r="AY333" s="5">
        <f t="shared" si="56"/>
        <v>1.391980215509627</v>
      </c>
      <c r="AZ333">
        <f t="shared" si="57"/>
        <v>11390000</v>
      </c>
      <c r="BA333">
        <v>0</v>
      </c>
      <c r="BB333">
        <v>1640000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280000</v>
      </c>
      <c r="BN333">
        <v>1360000</v>
      </c>
      <c r="BO333">
        <v>710000</v>
      </c>
      <c r="BP333">
        <v>5680000</v>
      </c>
      <c r="BQ333">
        <v>0</v>
      </c>
      <c r="BR333">
        <v>1300000</v>
      </c>
      <c r="BS333">
        <v>120000</v>
      </c>
      <c r="BT333">
        <v>0</v>
      </c>
      <c r="BU333">
        <v>300000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T333">
        <v>11.852502194907773</v>
      </c>
      <c r="CU333">
        <v>21.422300263388909</v>
      </c>
      <c r="CV333">
        <v>66.725197541703281</v>
      </c>
      <c r="CW333">
        <v>0</v>
      </c>
      <c r="CX333">
        <v>0</v>
      </c>
      <c r="CY333">
        <v>13.608428446005274</v>
      </c>
      <c r="CZ333">
        <v>21.422300263388909</v>
      </c>
      <c r="DA333">
        <v>64.969271290605775</v>
      </c>
      <c r="DB333">
        <v>0</v>
      </c>
      <c r="DC333">
        <v>0</v>
      </c>
      <c r="DD333">
        <v>13.959613696224773</v>
      </c>
      <c r="DE333">
        <v>21.15891132572434</v>
      </c>
      <c r="DF333">
        <v>64.881474978050946</v>
      </c>
      <c r="DG333">
        <v>0</v>
      </c>
      <c r="DH333">
        <v>0</v>
      </c>
      <c r="DI333">
        <v>14.3985952589991</v>
      </c>
      <c r="DJ333">
        <v>20.632133450395042</v>
      </c>
      <c r="DK333">
        <v>64.969271290605846</v>
      </c>
      <c r="DL333">
        <v>0</v>
      </c>
      <c r="DM333">
        <v>0</v>
      </c>
      <c r="DN333">
        <v>14.3985952589991</v>
      </c>
      <c r="DO333">
        <v>20.632133450395042</v>
      </c>
      <c r="DP333">
        <v>64.969271290605846</v>
      </c>
      <c r="DQ333">
        <v>0</v>
      </c>
      <c r="DR333">
        <v>0</v>
      </c>
      <c r="DS333" t="s">
        <v>312</v>
      </c>
      <c r="DT333" t="s">
        <v>313</v>
      </c>
      <c r="DU333">
        <v>2332</v>
      </c>
      <c r="DV333" t="s">
        <v>547</v>
      </c>
      <c r="DW333" t="s">
        <v>548</v>
      </c>
      <c r="DX333">
        <v>86</v>
      </c>
      <c r="DY333">
        <v>130</v>
      </c>
      <c r="DZ333">
        <v>216</v>
      </c>
      <c r="EA333">
        <v>606779</v>
      </c>
      <c r="EB333">
        <v>388178</v>
      </c>
      <c r="EC333">
        <v>994957</v>
      </c>
      <c r="ED333" t="s">
        <v>807</v>
      </c>
      <c r="EE333" t="s">
        <v>808</v>
      </c>
      <c r="EF333" t="s">
        <v>746</v>
      </c>
      <c r="EG333" t="s">
        <v>760</v>
      </c>
    </row>
    <row r="334" spans="1:137" ht="14.55" customHeight="1" x14ac:dyDescent="0.3">
      <c r="A334" t="s">
        <v>1116</v>
      </c>
      <c r="B334">
        <v>74188</v>
      </c>
      <c r="C334" t="s">
        <v>1117</v>
      </c>
      <c r="D334" t="s">
        <v>878</v>
      </c>
      <c r="E334" t="s">
        <v>879</v>
      </c>
      <c r="F334" t="s">
        <v>742</v>
      </c>
      <c r="G334" t="s">
        <v>880</v>
      </c>
      <c r="H334" s="3">
        <v>24817377.417300001</v>
      </c>
      <c r="I334">
        <v>2483</v>
      </c>
      <c r="J334" s="3">
        <v>2481.7377417299999</v>
      </c>
      <c r="K334">
        <v>874</v>
      </c>
      <c r="L334">
        <v>2323</v>
      </c>
      <c r="M334">
        <v>1491.80655484146</v>
      </c>
      <c r="N334">
        <v>317.82155208178398</v>
      </c>
      <c r="O334">
        <v>0</v>
      </c>
      <c r="P334">
        <v>74.419548034667997</v>
      </c>
      <c r="Q334">
        <v>24.3012599945068</v>
      </c>
      <c r="R334">
        <v>12.090506553649901</v>
      </c>
      <c r="S334" t="s">
        <v>881</v>
      </c>
      <c r="T334" t="s">
        <v>1118</v>
      </c>
      <c r="U334" t="s">
        <v>1117</v>
      </c>
      <c r="V334" t="s">
        <v>1117</v>
      </c>
      <c r="W334" s="3">
        <v>905</v>
      </c>
      <c r="X334" s="3">
        <v>24810000</v>
      </c>
      <c r="Y334">
        <v>3</v>
      </c>
      <c r="Z334" s="3">
        <v>562</v>
      </c>
      <c r="AA334" s="3">
        <v>653</v>
      </c>
      <c r="AB334" s="3">
        <v>769</v>
      </c>
      <c r="AC334" s="3">
        <v>819</v>
      </c>
      <c r="AD334" s="3">
        <v>808</v>
      </c>
      <c r="AE334" s="3">
        <v>809</v>
      </c>
      <c r="AF334" s="3">
        <v>812</v>
      </c>
      <c r="AG334" s="3">
        <v>819</v>
      </c>
      <c r="AH334" s="3">
        <v>827</v>
      </c>
      <c r="AI334" s="3">
        <v>829</v>
      </c>
      <c r="AJ334" s="3">
        <v>893</v>
      </c>
      <c r="AK334" s="3">
        <v>898</v>
      </c>
      <c r="AL334" s="3">
        <v>902</v>
      </c>
      <c r="AM334" s="3">
        <v>907</v>
      </c>
      <c r="AN334" s="3">
        <v>905</v>
      </c>
      <c r="AO334" s="3">
        <v>918</v>
      </c>
      <c r="AP334" s="3">
        <v>939</v>
      </c>
      <c r="AR334" s="4">
        <v>37.847642079806526</v>
      </c>
      <c r="AS334" s="5">
        <f t="shared" si="50"/>
        <v>2.0240213523131674</v>
      </c>
      <c r="AT334" s="5">
        <f t="shared" si="51"/>
        <v>1.9737961545005955</v>
      </c>
      <c r="AU334" s="5">
        <f t="shared" si="52"/>
        <v>0.55916775032509758</v>
      </c>
      <c r="AV334" s="5">
        <f t="shared" si="53"/>
        <v>1.5640394088669951</v>
      </c>
      <c r="AW334" s="5">
        <f t="shared" si="54"/>
        <v>2.1666317772660664</v>
      </c>
      <c r="AX334" s="5">
        <f t="shared" si="55"/>
        <v>1.1053315994798438</v>
      </c>
      <c r="AY334" s="5">
        <f t="shared" si="56"/>
        <v>1.8130229874002115</v>
      </c>
      <c r="AZ334">
        <f t="shared" si="57"/>
        <v>24810000</v>
      </c>
      <c r="BA334">
        <v>0</v>
      </c>
      <c r="BB334">
        <v>1150000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260000</v>
      </c>
      <c r="BN334">
        <v>0</v>
      </c>
      <c r="BO334">
        <v>0</v>
      </c>
      <c r="BP334">
        <v>1860000</v>
      </c>
      <c r="BQ334">
        <v>7660000</v>
      </c>
      <c r="BR334">
        <v>5260000</v>
      </c>
      <c r="BS334">
        <v>6390000</v>
      </c>
      <c r="BT334">
        <v>20000</v>
      </c>
      <c r="BU334">
        <v>0</v>
      </c>
      <c r="BV334">
        <v>0</v>
      </c>
      <c r="BW334">
        <v>390000</v>
      </c>
      <c r="BX334">
        <v>1530000</v>
      </c>
      <c r="BY334">
        <v>0</v>
      </c>
      <c r="BZ334">
        <v>0</v>
      </c>
      <c r="CA334">
        <v>290000</v>
      </c>
      <c r="CT334">
        <v>4.6755340588472398</v>
      </c>
      <c r="CU334">
        <v>1.08827085852479</v>
      </c>
      <c r="CV334">
        <v>93.067311567916235</v>
      </c>
      <c r="CW334">
        <v>0</v>
      </c>
      <c r="CX334">
        <v>1.16888351471181</v>
      </c>
      <c r="CY334">
        <v>4.7158403869407497</v>
      </c>
      <c r="CZ334">
        <v>1.08827085852479</v>
      </c>
      <c r="DA334">
        <v>93.027005239822685</v>
      </c>
      <c r="DB334">
        <v>0</v>
      </c>
      <c r="DC334">
        <v>1.16888351471181</v>
      </c>
      <c r="DD334">
        <v>4.63522773075373</v>
      </c>
      <c r="DE334">
        <v>1.0479645304312799</v>
      </c>
      <c r="DF334">
        <v>93.147924224103249</v>
      </c>
      <c r="DG334">
        <v>0</v>
      </c>
      <c r="DH334">
        <v>1.16888351471181</v>
      </c>
      <c r="DI334">
        <v>4.63522773075373</v>
      </c>
      <c r="DJ334">
        <v>1.0479645304312799</v>
      </c>
      <c r="DK334">
        <v>93.147924224103249</v>
      </c>
      <c r="DL334">
        <v>0</v>
      </c>
      <c r="DM334">
        <v>1.16888351471181</v>
      </c>
      <c r="DN334">
        <v>4.63522773075373</v>
      </c>
      <c r="DO334">
        <v>1.0479645304312799</v>
      </c>
      <c r="DP334">
        <v>93.147924224103249</v>
      </c>
      <c r="DQ334">
        <v>0</v>
      </c>
      <c r="DR334">
        <v>1.16888351471181</v>
      </c>
      <c r="DS334" t="s">
        <v>768</v>
      </c>
      <c r="DT334" t="s">
        <v>768</v>
      </c>
      <c r="DU334" t="s">
        <v>768</v>
      </c>
      <c r="DV334" t="s">
        <v>768</v>
      </c>
      <c r="DW334" t="s">
        <v>768</v>
      </c>
      <c r="DX334" t="s">
        <v>768</v>
      </c>
      <c r="DY334" t="s">
        <v>768</v>
      </c>
      <c r="DZ334" t="s">
        <v>768</v>
      </c>
      <c r="EA334" t="s">
        <v>768</v>
      </c>
      <c r="EB334" t="s">
        <v>768</v>
      </c>
      <c r="EC334" t="s">
        <v>768</v>
      </c>
      <c r="ED334" t="s">
        <v>1015</v>
      </c>
      <c r="EE334" t="s">
        <v>1016</v>
      </c>
      <c r="EF334" t="s">
        <v>746</v>
      </c>
      <c r="EG334" t="s">
        <v>760</v>
      </c>
    </row>
    <row r="335" spans="1:137" ht="14.55" customHeight="1" x14ac:dyDescent="0.3">
      <c r="A335" t="s">
        <v>1119</v>
      </c>
      <c r="B335">
        <v>74191</v>
      </c>
      <c r="C335" t="s">
        <v>1016</v>
      </c>
      <c r="D335" t="s">
        <v>878</v>
      </c>
      <c r="E335" t="s">
        <v>879</v>
      </c>
      <c r="F335" t="s">
        <v>742</v>
      </c>
      <c r="G335" t="s">
        <v>880</v>
      </c>
      <c r="H335" s="3">
        <v>44096816.348700002</v>
      </c>
      <c r="I335">
        <v>4406</v>
      </c>
      <c r="J335" s="3">
        <v>4409.6816348700004</v>
      </c>
      <c r="K335">
        <v>893</v>
      </c>
      <c r="L335">
        <v>2435</v>
      </c>
      <c r="M335">
        <v>1549.7580911740799</v>
      </c>
      <c r="N335">
        <v>349.83133262129002</v>
      </c>
      <c r="O335">
        <v>0</v>
      </c>
      <c r="P335">
        <v>74.772232055664105</v>
      </c>
      <c r="Q335">
        <v>23.119735717773398</v>
      </c>
      <c r="R335">
        <v>11.950111389160201</v>
      </c>
      <c r="S335" t="s">
        <v>881</v>
      </c>
      <c r="T335" t="s">
        <v>1120</v>
      </c>
      <c r="U335" t="s">
        <v>1016</v>
      </c>
      <c r="V335" t="s">
        <v>1016</v>
      </c>
      <c r="W335" s="3">
        <v>2785</v>
      </c>
      <c r="X335" s="3">
        <v>44090000</v>
      </c>
      <c r="Y335">
        <v>3</v>
      </c>
      <c r="Z335" s="3">
        <v>2838</v>
      </c>
      <c r="AA335" s="3">
        <v>2967</v>
      </c>
      <c r="AB335" s="3">
        <v>2948</v>
      </c>
      <c r="AC335" s="3">
        <v>2940</v>
      </c>
      <c r="AD335" s="3">
        <v>2937</v>
      </c>
      <c r="AE335" s="3">
        <v>2933</v>
      </c>
      <c r="AF335" s="3">
        <v>2930</v>
      </c>
      <c r="AG335" s="3">
        <v>2908</v>
      </c>
      <c r="AH335" s="3">
        <v>2895</v>
      </c>
      <c r="AI335" s="3">
        <v>2889</v>
      </c>
      <c r="AJ335" s="3">
        <v>2882</v>
      </c>
      <c r="AK335" s="3">
        <v>2893</v>
      </c>
      <c r="AL335" s="3">
        <v>2870</v>
      </c>
      <c r="AM335" s="3">
        <v>2827</v>
      </c>
      <c r="AN335" s="3">
        <v>2785</v>
      </c>
      <c r="AO335" s="3">
        <v>2743</v>
      </c>
      <c r="AP335" s="3">
        <v>2717</v>
      </c>
      <c r="AR335" s="4">
        <v>61.623951009299162</v>
      </c>
      <c r="AS335" s="5">
        <f t="shared" si="50"/>
        <v>0.56818181818181823</v>
      </c>
      <c r="AT335" s="5">
        <f t="shared" si="51"/>
        <v>-7.1153053963974075E-2</v>
      </c>
      <c r="AU335" s="5">
        <f t="shared" si="52"/>
        <v>-6.1058344640434192E-2</v>
      </c>
      <c r="AV335" s="5">
        <f t="shared" si="53"/>
        <v>-0.726962457337884</v>
      </c>
      <c r="AW335" s="5">
        <f t="shared" si="54"/>
        <v>0.22799817601459188</v>
      </c>
      <c r="AX335" s="5">
        <f t="shared" si="55"/>
        <v>-0.39179104477611948</v>
      </c>
      <c r="AY335" s="5">
        <f t="shared" si="56"/>
        <v>-0.11523151058034778</v>
      </c>
      <c r="AZ335">
        <f t="shared" si="57"/>
        <v>44070000</v>
      </c>
      <c r="BA335">
        <v>0</v>
      </c>
      <c r="BB335">
        <v>3260000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610000</v>
      </c>
      <c r="BJ335">
        <v>0</v>
      </c>
      <c r="BK335">
        <v>0</v>
      </c>
      <c r="BL335">
        <v>0</v>
      </c>
      <c r="BM335">
        <v>1670000</v>
      </c>
      <c r="BN335">
        <v>1210000</v>
      </c>
      <c r="BO335">
        <v>0</v>
      </c>
      <c r="BP335">
        <v>370000</v>
      </c>
      <c r="BQ335">
        <v>8100000</v>
      </c>
      <c r="BR335">
        <v>8630000</v>
      </c>
      <c r="BS335">
        <v>11970000</v>
      </c>
      <c r="BT335">
        <v>1890000</v>
      </c>
      <c r="BU335">
        <v>0</v>
      </c>
      <c r="BV335">
        <v>0</v>
      </c>
      <c r="BW335">
        <v>3700000</v>
      </c>
      <c r="BX335">
        <v>2660000</v>
      </c>
      <c r="BY335">
        <v>0</v>
      </c>
      <c r="BZ335">
        <v>0</v>
      </c>
      <c r="CA335">
        <v>0</v>
      </c>
      <c r="CT335">
        <v>8.6680281370546908</v>
      </c>
      <c r="CU335">
        <v>6.19469026548673</v>
      </c>
      <c r="CV335">
        <v>85.13728159745861</v>
      </c>
      <c r="CW335">
        <v>0</v>
      </c>
      <c r="CX335">
        <v>0</v>
      </c>
      <c r="CY335">
        <v>8.6680281370546908</v>
      </c>
      <c r="CZ335">
        <v>6.4216019968232398</v>
      </c>
      <c r="DA335">
        <v>84.910369866122096</v>
      </c>
      <c r="DB335">
        <v>0</v>
      </c>
      <c r="DC335">
        <v>0</v>
      </c>
      <c r="DD335">
        <v>8.7814840027229408</v>
      </c>
      <c r="DE335">
        <v>6.5350578624914899</v>
      </c>
      <c r="DF335">
        <v>84.683458134785496</v>
      </c>
      <c r="DG335">
        <v>0</v>
      </c>
      <c r="DH335">
        <v>0</v>
      </c>
      <c r="DI335">
        <v>8.7814840027229408</v>
      </c>
      <c r="DJ335">
        <v>6.5350578624914899</v>
      </c>
      <c r="DK335">
        <v>84.683458134785496</v>
      </c>
      <c r="DL335">
        <v>0</v>
      </c>
      <c r="DM335">
        <v>0</v>
      </c>
      <c r="DN335">
        <v>8.7814840027229408</v>
      </c>
      <c r="DO335">
        <v>6.5350578624914899</v>
      </c>
      <c r="DP335">
        <v>84.683458134785496</v>
      </c>
      <c r="DQ335">
        <v>0</v>
      </c>
      <c r="DR335">
        <v>0</v>
      </c>
      <c r="DS335" t="s">
        <v>768</v>
      </c>
      <c r="DT335" t="s">
        <v>768</v>
      </c>
      <c r="DU335" t="s">
        <v>768</v>
      </c>
      <c r="DV335" t="s">
        <v>768</v>
      </c>
      <c r="DW335" t="s">
        <v>768</v>
      </c>
      <c r="DX335" t="s">
        <v>768</v>
      </c>
      <c r="DY335" t="s">
        <v>768</v>
      </c>
      <c r="DZ335" t="s">
        <v>768</v>
      </c>
      <c r="EA335" t="s">
        <v>768</v>
      </c>
      <c r="EB335" t="s">
        <v>768</v>
      </c>
      <c r="EC335" t="s">
        <v>768</v>
      </c>
      <c r="ED335" t="s">
        <v>1015</v>
      </c>
      <c r="EE335" t="s">
        <v>1016</v>
      </c>
      <c r="EF335" t="s">
        <v>746</v>
      </c>
      <c r="EG335" t="s">
        <v>747</v>
      </c>
    </row>
    <row r="336" spans="1:137" ht="14.55" customHeight="1" x14ac:dyDescent="0.3">
      <c r="A336" t="s">
        <v>1121</v>
      </c>
      <c r="B336">
        <v>74193</v>
      </c>
      <c r="C336" t="s">
        <v>1122</v>
      </c>
      <c r="D336" t="s">
        <v>543</v>
      </c>
      <c r="E336" t="s">
        <v>879</v>
      </c>
      <c r="F336" t="s">
        <v>742</v>
      </c>
      <c r="G336" t="s">
        <v>892</v>
      </c>
      <c r="H336" s="3">
        <v>14354248.312100001</v>
      </c>
      <c r="I336">
        <v>1431</v>
      </c>
      <c r="J336" s="3">
        <v>1435.4248312100001</v>
      </c>
      <c r="K336">
        <v>541</v>
      </c>
      <c r="L336">
        <v>1306</v>
      </c>
      <c r="M336">
        <v>868.77301689906699</v>
      </c>
      <c r="N336">
        <v>198.85501648225701</v>
      </c>
      <c r="O336">
        <v>0</v>
      </c>
      <c r="P336">
        <v>37.502307891845703</v>
      </c>
      <c r="Q336">
        <v>11.846702575683601</v>
      </c>
      <c r="R336">
        <v>6.3278903961181596</v>
      </c>
      <c r="S336" t="s">
        <v>881</v>
      </c>
      <c r="T336" t="s">
        <v>1123</v>
      </c>
      <c r="U336" t="s">
        <v>1122</v>
      </c>
      <c r="V336" t="s">
        <v>1122</v>
      </c>
      <c r="W336" s="3">
        <v>1063</v>
      </c>
      <c r="X336" s="3">
        <v>14340000</v>
      </c>
      <c r="Y336">
        <v>3</v>
      </c>
      <c r="Z336" s="3">
        <v>537</v>
      </c>
      <c r="AA336" s="3">
        <v>579</v>
      </c>
      <c r="AB336" s="3">
        <v>700</v>
      </c>
      <c r="AC336" s="3">
        <v>804</v>
      </c>
      <c r="AD336" s="3">
        <v>845</v>
      </c>
      <c r="AE336" s="3">
        <v>926</v>
      </c>
      <c r="AF336" s="3">
        <v>965</v>
      </c>
      <c r="AG336" s="3">
        <v>1005</v>
      </c>
      <c r="AH336" s="3">
        <v>1045</v>
      </c>
      <c r="AI336" s="3">
        <v>1051</v>
      </c>
      <c r="AJ336" s="3">
        <v>1060</v>
      </c>
      <c r="AK336" s="3">
        <v>1059</v>
      </c>
      <c r="AL336" s="3">
        <v>1059</v>
      </c>
      <c r="AM336" s="3">
        <v>1058</v>
      </c>
      <c r="AN336" s="3">
        <v>1063</v>
      </c>
      <c r="AO336" s="3">
        <v>1052</v>
      </c>
      <c r="AP336" s="3">
        <v>1061</v>
      </c>
      <c r="AQ336" s="3">
        <v>1057</v>
      </c>
      <c r="AR336" s="4">
        <v>73.988842398884245</v>
      </c>
      <c r="AS336" s="5">
        <f t="shared" si="50"/>
        <v>0.97765363128491622</v>
      </c>
      <c r="AT336" s="5">
        <f t="shared" si="51"/>
        <v>2.322011130301286</v>
      </c>
      <c r="AU336" s="5">
        <f t="shared" si="52"/>
        <v>3.7857142857142851</v>
      </c>
      <c r="AV336" s="5">
        <f t="shared" si="53"/>
        <v>0.9948186528497408</v>
      </c>
      <c r="AW336" s="5">
        <f t="shared" si="54"/>
        <v>1.7855186767444409</v>
      </c>
      <c r="AX336" s="5">
        <f t="shared" si="55"/>
        <v>2.5785714285714283</v>
      </c>
      <c r="AY336" s="5">
        <f t="shared" si="56"/>
        <v>2.6372741456540338</v>
      </c>
      <c r="AZ336">
        <f t="shared" si="57"/>
        <v>14290000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360000</v>
      </c>
      <c r="BK336">
        <v>0</v>
      </c>
      <c r="BL336">
        <v>0</v>
      </c>
      <c r="BM336">
        <v>1070000</v>
      </c>
      <c r="BN336">
        <v>4100000</v>
      </c>
      <c r="BO336">
        <v>1400000</v>
      </c>
      <c r="BP336">
        <v>3380000</v>
      </c>
      <c r="BQ336">
        <v>1100000</v>
      </c>
      <c r="BR336">
        <v>1750000</v>
      </c>
      <c r="BS336">
        <v>1130000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T336">
        <v>0</v>
      </c>
      <c r="CU336">
        <v>49.825052484254691</v>
      </c>
      <c r="CV336">
        <v>50.174947515745288</v>
      </c>
      <c r="CW336">
        <v>0</v>
      </c>
      <c r="CX336">
        <v>0</v>
      </c>
      <c r="CY336">
        <v>0</v>
      </c>
      <c r="CZ336">
        <v>48.425472358292517</v>
      </c>
      <c r="DA336">
        <v>51.57452764170749</v>
      </c>
      <c r="DB336">
        <v>0</v>
      </c>
      <c r="DC336">
        <v>0</v>
      </c>
      <c r="DD336">
        <v>0</v>
      </c>
      <c r="DE336">
        <v>48.42547235829251</v>
      </c>
      <c r="DF336">
        <v>51.57452764170749</v>
      </c>
      <c r="DG336">
        <v>0</v>
      </c>
      <c r="DH336">
        <v>0</v>
      </c>
      <c r="DI336">
        <v>0</v>
      </c>
      <c r="DJ336">
        <v>48.495451364590608</v>
      </c>
      <c r="DK336">
        <v>51.504548635409385</v>
      </c>
      <c r="DL336">
        <v>0</v>
      </c>
      <c r="DM336">
        <v>0</v>
      </c>
      <c r="DN336">
        <v>0</v>
      </c>
      <c r="DO336">
        <v>48.495451364590608</v>
      </c>
      <c r="DP336">
        <v>51.504548635409385</v>
      </c>
      <c r="DQ336">
        <v>0</v>
      </c>
      <c r="DR336">
        <v>0</v>
      </c>
      <c r="DS336" t="s">
        <v>312</v>
      </c>
      <c r="DT336" t="s">
        <v>313</v>
      </c>
      <c r="DU336">
        <v>1059</v>
      </c>
      <c r="DV336" t="s">
        <v>547</v>
      </c>
      <c r="DW336" t="s">
        <v>548</v>
      </c>
      <c r="DX336">
        <v>86</v>
      </c>
      <c r="DY336">
        <v>130</v>
      </c>
      <c r="DZ336">
        <v>216</v>
      </c>
      <c r="EA336">
        <v>606779</v>
      </c>
      <c r="EB336">
        <v>388178</v>
      </c>
      <c r="EC336">
        <v>994957</v>
      </c>
      <c r="ED336" t="s">
        <v>909</v>
      </c>
      <c r="EE336" t="s">
        <v>910</v>
      </c>
      <c r="EF336" t="s">
        <v>753</v>
      </c>
      <c r="EG336" t="s">
        <v>754</v>
      </c>
    </row>
    <row r="337" spans="1:137" ht="14.55" customHeight="1" x14ac:dyDescent="0.3">
      <c r="A337" t="s">
        <v>1124</v>
      </c>
      <c r="B337">
        <v>74197</v>
      </c>
      <c r="C337" t="s">
        <v>1125</v>
      </c>
      <c r="D337" t="s">
        <v>543</v>
      </c>
      <c r="E337" t="s">
        <v>879</v>
      </c>
      <c r="F337" t="s">
        <v>742</v>
      </c>
      <c r="G337" t="s">
        <v>892</v>
      </c>
      <c r="H337" s="3">
        <v>4347819.0906300005</v>
      </c>
      <c r="I337">
        <v>433</v>
      </c>
      <c r="J337" s="3">
        <v>434.78190906200001</v>
      </c>
      <c r="K337">
        <v>422</v>
      </c>
      <c r="L337">
        <v>531</v>
      </c>
      <c r="M337">
        <v>465.25068702290099</v>
      </c>
      <c r="N337">
        <v>20.025267900575798</v>
      </c>
      <c r="O337">
        <v>0</v>
      </c>
      <c r="P337">
        <v>23.374486923217798</v>
      </c>
      <c r="Q337">
        <v>4.4236421585082999</v>
      </c>
      <c r="R337">
        <v>3.03974580764771</v>
      </c>
      <c r="S337" t="s">
        <v>881</v>
      </c>
      <c r="T337" t="s">
        <v>1126</v>
      </c>
      <c r="U337" t="s">
        <v>1125</v>
      </c>
      <c r="V337" t="s">
        <v>1125</v>
      </c>
      <c r="W337" s="3">
        <v>1618</v>
      </c>
      <c r="X337" s="3">
        <v>4350000</v>
      </c>
      <c r="Y337">
        <v>2</v>
      </c>
      <c r="Z337" s="3">
        <v>674</v>
      </c>
      <c r="AA337" s="3">
        <v>774</v>
      </c>
      <c r="AB337" s="3">
        <v>780</v>
      </c>
      <c r="AC337" s="3">
        <v>1111</v>
      </c>
      <c r="AD337" s="3">
        <v>1159</v>
      </c>
      <c r="AE337" s="3">
        <v>1207</v>
      </c>
      <c r="AF337" s="3">
        <v>1504</v>
      </c>
      <c r="AG337" s="3">
        <v>1506</v>
      </c>
      <c r="AH337" s="3">
        <v>1540</v>
      </c>
      <c r="AI337" s="3">
        <v>1574</v>
      </c>
      <c r="AJ337" s="3">
        <v>1608</v>
      </c>
      <c r="AK337" s="3">
        <v>1685</v>
      </c>
      <c r="AL337" s="3">
        <v>1695</v>
      </c>
      <c r="AM337" s="3">
        <v>1657</v>
      </c>
      <c r="AN337" s="3">
        <v>1618</v>
      </c>
      <c r="AO337" s="3">
        <v>1578</v>
      </c>
      <c r="AP337" s="3">
        <v>1604</v>
      </c>
      <c r="AQ337" s="3">
        <v>1645</v>
      </c>
      <c r="AR337" s="4">
        <v>368.73563218390802</v>
      </c>
      <c r="AS337" s="5">
        <f t="shared" si="50"/>
        <v>1.8545994065281897</v>
      </c>
      <c r="AT337" s="5">
        <f t="shared" si="51"/>
        <v>8.6132644272179162E-2</v>
      </c>
      <c r="AU337" s="5">
        <f t="shared" si="52"/>
        <v>9.282051282051281</v>
      </c>
      <c r="AV337" s="5">
        <f t="shared" si="53"/>
        <v>0.66489361702127658</v>
      </c>
      <c r="AW337" s="5">
        <f t="shared" si="54"/>
        <v>0.92511782160935585</v>
      </c>
      <c r="AX337" s="5">
        <f t="shared" si="55"/>
        <v>5.2820512820512828</v>
      </c>
      <c r="AY337" s="5">
        <f t="shared" si="56"/>
        <v>3.7292485363701977</v>
      </c>
      <c r="AZ337">
        <f t="shared" si="57"/>
        <v>4350000</v>
      </c>
      <c r="BA337">
        <v>0</v>
      </c>
      <c r="BB337">
        <v>730000</v>
      </c>
      <c r="BC337">
        <v>30000</v>
      </c>
      <c r="BD337">
        <v>230000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2210000</v>
      </c>
      <c r="BN337">
        <v>420000</v>
      </c>
      <c r="BO337">
        <v>180000</v>
      </c>
      <c r="BP337">
        <v>390000</v>
      </c>
      <c r="BQ337">
        <v>0</v>
      </c>
      <c r="BR337">
        <v>160000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T337">
        <v>19.310344827586221</v>
      </c>
      <c r="CU337">
        <v>67.816091954023022</v>
      </c>
      <c r="CV337">
        <v>12.8735632183908</v>
      </c>
      <c r="CW337">
        <v>0</v>
      </c>
      <c r="CX337">
        <v>0</v>
      </c>
      <c r="CY337">
        <v>22.068965517241349</v>
      </c>
      <c r="CZ337">
        <v>65.057471264367791</v>
      </c>
      <c r="DA337">
        <v>12.8735632183908</v>
      </c>
      <c r="DB337">
        <v>0</v>
      </c>
      <c r="DC337">
        <v>0</v>
      </c>
      <c r="DD337">
        <v>22.52873563218391</v>
      </c>
      <c r="DE337">
        <v>64.827586206896498</v>
      </c>
      <c r="DF337">
        <v>12.643678160919499</v>
      </c>
      <c r="DG337">
        <v>0</v>
      </c>
      <c r="DH337">
        <v>0</v>
      </c>
      <c r="DI337">
        <v>22.758620689655171</v>
      </c>
      <c r="DJ337">
        <v>64.597701149425291</v>
      </c>
      <c r="DK337">
        <v>12.643678160919499</v>
      </c>
      <c r="DL337">
        <v>0</v>
      </c>
      <c r="DM337">
        <v>0</v>
      </c>
      <c r="DN337">
        <v>22.758620689655171</v>
      </c>
      <c r="DO337">
        <v>64.597701149425291</v>
      </c>
      <c r="DP337">
        <v>12.643678160919499</v>
      </c>
      <c r="DQ337">
        <v>0</v>
      </c>
      <c r="DR337">
        <v>0</v>
      </c>
      <c r="DS337" t="s">
        <v>312</v>
      </c>
      <c r="DT337" t="s">
        <v>313</v>
      </c>
      <c r="DU337">
        <v>1629</v>
      </c>
      <c r="DV337" t="s">
        <v>547</v>
      </c>
      <c r="DW337" t="s">
        <v>548</v>
      </c>
      <c r="DX337">
        <v>86</v>
      </c>
      <c r="DY337">
        <v>130</v>
      </c>
      <c r="DZ337">
        <v>216</v>
      </c>
      <c r="EA337">
        <v>606779</v>
      </c>
      <c r="EB337">
        <v>388178</v>
      </c>
      <c r="EC337">
        <v>994957</v>
      </c>
      <c r="ED337" t="s">
        <v>807</v>
      </c>
      <c r="EE337" t="s">
        <v>808</v>
      </c>
      <c r="EF337" t="s">
        <v>746</v>
      </c>
      <c r="EG337" t="s">
        <v>760</v>
      </c>
    </row>
    <row r="338" spans="1:137" ht="14.55" customHeight="1" x14ac:dyDescent="0.3">
      <c r="A338" t="s">
        <v>1127</v>
      </c>
      <c r="B338">
        <v>74199</v>
      </c>
      <c r="C338" t="s">
        <v>1128</v>
      </c>
      <c r="D338" t="s">
        <v>543</v>
      </c>
      <c r="E338" t="s">
        <v>879</v>
      </c>
      <c r="F338" t="s">
        <v>742</v>
      </c>
      <c r="G338" t="s">
        <v>904</v>
      </c>
      <c r="H338" s="3">
        <v>1832823.20893</v>
      </c>
      <c r="I338">
        <v>185</v>
      </c>
      <c r="J338" s="3">
        <v>183.28232089299999</v>
      </c>
      <c r="K338">
        <v>369</v>
      </c>
      <c r="L338">
        <v>420</v>
      </c>
      <c r="M338">
        <v>393.59043509528999</v>
      </c>
      <c r="N338">
        <v>10.862226105984799</v>
      </c>
      <c r="O338">
        <v>0</v>
      </c>
      <c r="P338">
        <v>15.757300376892101</v>
      </c>
      <c r="Q338">
        <v>4.1938304901123002</v>
      </c>
      <c r="R338">
        <v>2.4961578845977801</v>
      </c>
      <c r="S338" t="s">
        <v>881</v>
      </c>
      <c r="T338" t="s">
        <v>1129</v>
      </c>
      <c r="U338" t="s">
        <v>1128</v>
      </c>
      <c r="V338" t="s">
        <v>1128</v>
      </c>
      <c r="W338" s="3">
        <v>380</v>
      </c>
      <c r="X338" s="3">
        <v>1830000</v>
      </c>
      <c r="Y338">
        <v>3</v>
      </c>
      <c r="Z338" s="3">
        <v>205</v>
      </c>
      <c r="AA338" s="3">
        <v>290</v>
      </c>
      <c r="AB338" s="3">
        <v>361</v>
      </c>
      <c r="AC338" s="3">
        <v>420</v>
      </c>
      <c r="AD338" s="3">
        <v>423</v>
      </c>
      <c r="AE338" s="3">
        <v>428</v>
      </c>
      <c r="AF338" s="3">
        <v>450</v>
      </c>
      <c r="AG338" s="3">
        <v>459</v>
      </c>
      <c r="AH338" s="3">
        <v>467</v>
      </c>
      <c r="AI338" s="3">
        <v>477</v>
      </c>
      <c r="AJ338" s="3">
        <v>476</v>
      </c>
      <c r="AK338" s="3">
        <v>435</v>
      </c>
      <c r="AL338" s="3">
        <v>409</v>
      </c>
      <c r="AM338" s="3">
        <v>382</v>
      </c>
      <c r="AN338" s="3">
        <v>380</v>
      </c>
      <c r="AO338" s="3">
        <v>376</v>
      </c>
      <c r="AP338" s="3">
        <v>378</v>
      </c>
      <c r="AQ338" s="3">
        <v>411</v>
      </c>
      <c r="AR338" s="4">
        <v>206.55737704918033</v>
      </c>
      <c r="AS338" s="5">
        <f t="shared" si="50"/>
        <v>5.1829268292682924</v>
      </c>
      <c r="AT338" s="5">
        <f t="shared" si="51"/>
        <v>2.7203065134099615</v>
      </c>
      <c r="AU338" s="5">
        <f t="shared" si="52"/>
        <v>2.4653739612188366</v>
      </c>
      <c r="AV338" s="5">
        <f t="shared" si="53"/>
        <v>-1.6</v>
      </c>
      <c r="AW338" s="5">
        <f t="shared" si="54"/>
        <v>4.4763271162123388</v>
      </c>
      <c r="AX338" s="5">
        <f t="shared" si="55"/>
        <v>0.23545706371191139</v>
      </c>
      <c r="AY338" s="5">
        <f t="shared" si="56"/>
        <v>2.2808174027686223</v>
      </c>
      <c r="AZ338">
        <f t="shared" si="57"/>
        <v>1840000</v>
      </c>
      <c r="BA338">
        <v>0</v>
      </c>
      <c r="BB338">
        <v>630000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750000</v>
      </c>
      <c r="BK338">
        <v>0</v>
      </c>
      <c r="BL338">
        <v>0</v>
      </c>
      <c r="BM338">
        <v>0</v>
      </c>
      <c r="BN338">
        <v>70000</v>
      </c>
      <c r="BO338">
        <v>0</v>
      </c>
      <c r="BP338">
        <v>360000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30000</v>
      </c>
      <c r="CT338">
        <v>32.065217391304301</v>
      </c>
      <c r="CU338">
        <v>47.282608695652257</v>
      </c>
      <c r="CV338">
        <v>19.565217391304301</v>
      </c>
      <c r="CW338">
        <v>0</v>
      </c>
      <c r="CX338">
        <v>1.0869565217391299</v>
      </c>
      <c r="CY338">
        <v>32.065217391304301</v>
      </c>
      <c r="CZ338">
        <v>47.282608695652158</v>
      </c>
      <c r="DA338">
        <v>19.565217391304301</v>
      </c>
      <c r="DB338">
        <v>0</v>
      </c>
      <c r="DC338">
        <v>1.0869565217391299</v>
      </c>
      <c r="DD338">
        <v>34.239130434782602</v>
      </c>
      <c r="DE338">
        <v>44.565217391304358</v>
      </c>
      <c r="DF338">
        <v>19.565217391304301</v>
      </c>
      <c r="DG338">
        <v>0</v>
      </c>
      <c r="DH338">
        <v>1.6304347826087</v>
      </c>
      <c r="DI338">
        <v>34.239130434782602</v>
      </c>
      <c r="DJ338">
        <v>44.565217391304358</v>
      </c>
      <c r="DK338">
        <v>19.565217391304301</v>
      </c>
      <c r="DL338">
        <v>0</v>
      </c>
      <c r="DM338">
        <v>1.6304347826087</v>
      </c>
      <c r="DN338">
        <v>34.239130434782602</v>
      </c>
      <c r="DO338">
        <v>44.565217391304358</v>
      </c>
      <c r="DP338">
        <v>19.565217391304301</v>
      </c>
      <c r="DQ338">
        <v>0</v>
      </c>
      <c r="DR338">
        <v>1.6304347826087</v>
      </c>
      <c r="DS338" t="s">
        <v>312</v>
      </c>
      <c r="DT338" t="s">
        <v>313</v>
      </c>
      <c r="DU338">
        <v>398</v>
      </c>
      <c r="DV338" t="s">
        <v>547</v>
      </c>
      <c r="DW338" t="s">
        <v>548</v>
      </c>
      <c r="DX338">
        <v>86</v>
      </c>
      <c r="DY338">
        <v>130</v>
      </c>
      <c r="DZ338">
        <v>216</v>
      </c>
      <c r="EA338">
        <v>606779</v>
      </c>
      <c r="EB338">
        <v>388178</v>
      </c>
      <c r="EC338">
        <v>994957</v>
      </c>
      <c r="ED338" t="s">
        <v>993</v>
      </c>
      <c r="EE338" t="s">
        <v>994</v>
      </c>
      <c r="EF338" t="s">
        <v>746</v>
      </c>
      <c r="EG338" t="s">
        <v>760</v>
      </c>
    </row>
    <row r="339" spans="1:137" ht="14.55" customHeight="1" x14ac:dyDescent="0.3">
      <c r="A339" t="s">
        <v>1130</v>
      </c>
      <c r="B339">
        <v>74200</v>
      </c>
      <c r="C339" t="s">
        <v>1131</v>
      </c>
      <c r="D339" t="s">
        <v>878</v>
      </c>
      <c r="E339" t="s">
        <v>879</v>
      </c>
      <c r="F339" t="s">
        <v>742</v>
      </c>
      <c r="G339" t="s">
        <v>880</v>
      </c>
      <c r="H339" s="3">
        <v>4000857.34675</v>
      </c>
      <c r="I339">
        <v>395</v>
      </c>
      <c r="J339" s="3">
        <v>400.08573467500003</v>
      </c>
      <c r="K339">
        <v>374</v>
      </c>
      <c r="L339">
        <v>774</v>
      </c>
      <c r="M339">
        <v>537.48103562005304</v>
      </c>
      <c r="N339">
        <v>95.154288870676893</v>
      </c>
      <c r="O339">
        <v>0</v>
      </c>
      <c r="P339">
        <v>31.444307327270501</v>
      </c>
      <c r="Q339">
        <v>10.216093063354499</v>
      </c>
      <c r="R339">
        <v>5.9252090454101598</v>
      </c>
      <c r="S339" t="s">
        <v>881</v>
      </c>
      <c r="T339" t="s">
        <v>1132</v>
      </c>
      <c r="U339" t="s">
        <v>1131</v>
      </c>
      <c r="V339" t="s">
        <v>1131</v>
      </c>
      <c r="W339" s="3">
        <v>3048</v>
      </c>
      <c r="X339" s="3">
        <v>4010000</v>
      </c>
      <c r="Y339">
        <v>2</v>
      </c>
      <c r="Z339" s="3">
        <v>1559</v>
      </c>
      <c r="AA339" s="3">
        <v>1949</v>
      </c>
      <c r="AB339" s="3">
        <v>2211</v>
      </c>
      <c r="AC339" s="3">
        <v>2481</v>
      </c>
      <c r="AD339" s="3">
        <v>2520</v>
      </c>
      <c r="AE339" s="3">
        <v>2558</v>
      </c>
      <c r="AF339" s="3">
        <v>2563</v>
      </c>
      <c r="AG339" s="3">
        <v>2564</v>
      </c>
      <c r="AH339" s="3">
        <v>2657</v>
      </c>
      <c r="AI339" s="3">
        <v>2750</v>
      </c>
      <c r="AJ339" s="3">
        <v>2843</v>
      </c>
      <c r="AK339" s="3">
        <v>2959</v>
      </c>
      <c r="AL339" s="3">
        <v>2991</v>
      </c>
      <c r="AM339" s="3">
        <v>3019</v>
      </c>
      <c r="AN339" s="3">
        <v>3048</v>
      </c>
      <c r="AO339" s="3">
        <v>3076</v>
      </c>
      <c r="AP339" s="3">
        <v>3122</v>
      </c>
      <c r="AR339" s="4">
        <v>778.55361596009971</v>
      </c>
      <c r="AS339" s="5">
        <f t="shared" si="50"/>
        <v>3.127004490057729</v>
      </c>
      <c r="AT339" s="5">
        <f t="shared" si="51"/>
        <v>1.4936434638846132</v>
      </c>
      <c r="AU339" s="5">
        <f t="shared" si="52"/>
        <v>1.5920398009950247</v>
      </c>
      <c r="AV339" s="5">
        <f t="shared" si="53"/>
        <v>2.181037846273898</v>
      </c>
      <c r="AW339" s="5">
        <f t="shared" si="54"/>
        <v>2.4600988567332003</v>
      </c>
      <c r="AX339" s="5">
        <f t="shared" si="55"/>
        <v>2.0601537765716871</v>
      </c>
      <c r="AY339" s="5">
        <f t="shared" si="56"/>
        <v>2.709637154794307</v>
      </c>
      <c r="AZ339">
        <f t="shared" si="57"/>
        <v>3960000</v>
      </c>
      <c r="BA339">
        <v>0</v>
      </c>
      <c r="BB339">
        <v>2560000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180000</v>
      </c>
      <c r="BN339">
        <v>20000</v>
      </c>
      <c r="BO339">
        <v>0</v>
      </c>
      <c r="BP339">
        <v>890000</v>
      </c>
      <c r="BQ339">
        <v>0</v>
      </c>
      <c r="BR339">
        <v>310000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T339">
        <v>59.090909090909101</v>
      </c>
      <c r="CU339">
        <v>10.606060606060611</v>
      </c>
      <c r="CV339">
        <v>30.303030303030301</v>
      </c>
      <c r="CW339">
        <v>0</v>
      </c>
      <c r="CX339">
        <v>0</v>
      </c>
      <c r="CY339">
        <v>59.090909090909101</v>
      </c>
      <c r="CZ339">
        <v>10.606060606060606</v>
      </c>
      <c r="DA339">
        <v>30.303030303030301</v>
      </c>
      <c r="DB339">
        <v>0</v>
      </c>
      <c r="DC339">
        <v>0</v>
      </c>
      <c r="DD339">
        <v>64.646464646464693</v>
      </c>
      <c r="DE339">
        <v>5.0505050505050555</v>
      </c>
      <c r="DF339">
        <v>30.303030303030301</v>
      </c>
      <c r="DG339">
        <v>0</v>
      </c>
      <c r="DH339">
        <v>0</v>
      </c>
      <c r="DI339">
        <v>64.646464646464693</v>
      </c>
      <c r="DJ339">
        <v>5.0505050505050555</v>
      </c>
      <c r="DK339">
        <v>30.303030303030301</v>
      </c>
      <c r="DL339">
        <v>0</v>
      </c>
      <c r="DM339">
        <v>0</v>
      </c>
      <c r="DN339">
        <v>64.646464646464693</v>
      </c>
      <c r="DO339">
        <v>5.0505050505050555</v>
      </c>
      <c r="DP339">
        <v>30.303030303030301</v>
      </c>
      <c r="DQ339">
        <v>0</v>
      </c>
      <c r="DR339">
        <v>0</v>
      </c>
      <c r="DS339" t="s">
        <v>768</v>
      </c>
      <c r="DT339" t="s">
        <v>768</v>
      </c>
      <c r="DU339" t="s">
        <v>768</v>
      </c>
      <c r="DV339" t="s">
        <v>768</v>
      </c>
      <c r="DW339" t="s">
        <v>768</v>
      </c>
      <c r="DX339" t="s">
        <v>768</v>
      </c>
      <c r="DY339" t="s">
        <v>768</v>
      </c>
      <c r="DZ339" t="s">
        <v>768</v>
      </c>
      <c r="EA339" t="s">
        <v>768</v>
      </c>
      <c r="EB339" t="s">
        <v>768</v>
      </c>
      <c r="EC339" t="s">
        <v>768</v>
      </c>
      <c r="ED339" t="s">
        <v>889</v>
      </c>
      <c r="EE339" t="s">
        <v>887</v>
      </c>
      <c r="EF339" t="s">
        <v>746</v>
      </c>
      <c r="EG339" t="s">
        <v>760</v>
      </c>
    </row>
    <row r="340" spans="1:137" ht="14.55" customHeight="1" x14ac:dyDescent="0.3">
      <c r="A340" t="s">
        <v>1133</v>
      </c>
      <c r="B340">
        <v>74201</v>
      </c>
      <c r="C340" t="s">
        <v>1134</v>
      </c>
      <c r="D340" t="s">
        <v>543</v>
      </c>
      <c r="E340" t="s">
        <v>879</v>
      </c>
      <c r="F340" t="s">
        <v>742</v>
      </c>
      <c r="G340" t="s">
        <v>913</v>
      </c>
      <c r="H340" s="3">
        <v>7017809.0947899995</v>
      </c>
      <c r="I340">
        <v>699</v>
      </c>
      <c r="J340" s="3">
        <v>701.780909479</v>
      </c>
      <c r="K340">
        <v>494</v>
      </c>
      <c r="L340">
        <v>892</v>
      </c>
      <c r="M340">
        <v>575.50382833916296</v>
      </c>
      <c r="N340">
        <v>66.457262844310407</v>
      </c>
      <c r="O340">
        <v>0</v>
      </c>
      <c r="P340">
        <v>25.757610321044901</v>
      </c>
      <c r="Q340">
        <v>5.1566090583801296</v>
      </c>
      <c r="R340">
        <v>3.29750275611877</v>
      </c>
      <c r="S340" t="s">
        <v>881</v>
      </c>
      <c r="T340" t="s">
        <v>1135</v>
      </c>
      <c r="U340" t="s">
        <v>1134</v>
      </c>
      <c r="V340" t="s">
        <v>1134</v>
      </c>
      <c r="W340" s="3">
        <v>1915</v>
      </c>
      <c r="X340" s="3">
        <v>7000000</v>
      </c>
      <c r="Y340">
        <v>2</v>
      </c>
      <c r="Z340" s="3">
        <v>840</v>
      </c>
      <c r="AA340" s="3">
        <v>957</v>
      </c>
      <c r="AB340" s="3">
        <v>1100</v>
      </c>
      <c r="AC340" s="3">
        <v>1417</v>
      </c>
      <c r="AD340" s="3">
        <v>1431</v>
      </c>
      <c r="AE340" s="3">
        <v>1458</v>
      </c>
      <c r="AF340" s="3">
        <v>1486</v>
      </c>
      <c r="AG340" s="3">
        <v>1513</v>
      </c>
      <c r="AH340" s="3">
        <v>1528</v>
      </c>
      <c r="AI340" s="3">
        <v>1617</v>
      </c>
      <c r="AJ340" s="3">
        <v>1677</v>
      </c>
      <c r="AK340" s="3">
        <v>1736</v>
      </c>
      <c r="AL340" s="3">
        <v>1794</v>
      </c>
      <c r="AM340" s="3">
        <v>1776</v>
      </c>
      <c r="AN340" s="3">
        <v>1915</v>
      </c>
      <c r="AO340" s="3">
        <v>2032</v>
      </c>
      <c r="AP340" s="3">
        <v>2152</v>
      </c>
      <c r="AQ340" s="3">
        <v>2251</v>
      </c>
      <c r="AR340" s="4">
        <v>307.42857142857144</v>
      </c>
      <c r="AS340" s="5">
        <f t="shared" si="50"/>
        <v>1.7410714285714286</v>
      </c>
      <c r="AT340" s="5">
        <f t="shared" si="51"/>
        <v>1.6602809706257982</v>
      </c>
      <c r="AU340" s="5">
        <f t="shared" si="52"/>
        <v>3.5090909090909088</v>
      </c>
      <c r="AV340" s="5">
        <f t="shared" si="53"/>
        <v>4.4818304172274566</v>
      </c>
      <c r="AW340" s="5">
        <f t="shared" si="54"/>
        <v>1.8207282913165268</v>
      </c>
      <c r="AX340" s="5">
        <f t="shared" si="55"/>
        <v>4.7818181818181822</v>
      </c>
      <c r="AY340" s="5">
        <f t="shared" si="56"/>
        <v>4.2213642213642206</v>
      </c>
      <c r="AZ340">
        <f t="shared" si="57"/>
        <v>6990000</v>
      </c>
      <c r="BA340">
        <v>0</v>
      </c>
      <c r="BB340">
        <v>1390000</v>
      </c>
      <c r="BC340">
        <v>0</v>
      </c>
      <c r="BD340">
        <v>610000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3270000</v>
      </c>
      <c r="BK340">
        <v>0</v>
      </c>
      <c r="BL340">
        <v>0</v>
      </c>
      <c r="BM340">
        <v>250000</v>
      </c>
      <c r="BN340">
        <v>10000</v>
      </c>
      <c r="BO340">
        <v>1180000</v>
      </c>
      <c r="BP340">
        <v>280000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T340">
        <v>12.58941344778254</v>
      </c>
      <c r="CU340">
        <v>84.120171673819769</v>
      </c>
      <c r="CV340">
        <v>3.2904148783977099</v>
      </c>
      <c r="CW340">
        <v>0</v>
      </c>
      <c r="CX340">
        <v>0</v>
      </c>
      <c r="CY340">
        <v>14.30615164520747</v>
      </c>
      <c r="CZ340">
        <v>82.403433476394852</v>
      </c>
      <c r="DA340">
        <v>3.2904148783977099</v>
      </c>
      <c r="DB340">
        <v>0</v>
      </c>
      <c r="DC340">
        <v>0</v>
      </c>
      <c r="DD340">
        <v>22.460658082975641</v>
      </c>
      <c r="DE340">
        <v>73.533619456366253</v>
      </c>
      <c r="DF340">
        <v>4.0057224606580801</v>
      </c>
      <c r="DG340">
        <v>0</v>
      </c>
      <c r="DH340">
        <v>0</v>
      </c>
      <c r="DI340">
        <v>28.612303290414843</v>
      </c>
      <c r="DJ340">
        <v>67.381974248927065</v>
      </c>
      <c r="DK340">
        <v>4.0057224606580801</v>
      </c>
      <c r="DL340">
        <v>0</v>
      </c>
      <c r="DM340">
        <v>0</v>
      </c>
      <c r="DN340">
        <v>28.612303290414843</v>
      </c>
      <c r="DO340">
        <v>67.381974248927065</v>
      </c>
      <c r="DP340">
        <v>4.0057224606580801</v>
      </c>
      <c r="DQ340">
        <v>0</v>
      </c>
      <c r="DR340">
        <v>0</v>
      </c>
      <c r="DS340" t="s">
        <v>312</v>
      </c>
      <c r="DT340" t="s">
        <v>313</v>
      </c>
      <c r="DU340">
        <v>2271</v>
      </c>
      <c r="DV340" t="s">
        <v>547</v>
      </c>
      <c r="DW340" t="s">
        <v>548</v>
      </c>
      <c r="DX340">
        <v>86</v>
      </c>
      <c r="DY340">
        <v>130</v>
      </c>
      <c r="DZ340">
        <v>216</v>
      </c>
      <c r="EA340">
        <v>606779</v>
      </c>
      <c r="EB340">
        <v>388178</v>
      </c>
      <c r="EC340">
        <v>994957</v>
      </c>
      <c r="ED340" t="s">
        <v>807</v>
      </c>
      <c r="EE340" t="s">
        <v>808</v>
      </c>
      <c r="EF340" t="s">
        <v>746</v>
      </c>
      <c r="EG340" t="s">
        <v>760</v>
      </c>
    </row>
    <row r="341" spans="1:137" ht="14.55" customHeight="1" x14ac:dyDescent="0.3">
      <c r="A341" t="s">
        <v>1136</v>
      </c>
      <c r="B341">
        <v>74203</v>
      </c>
      <c r="C341" t="s">
        <v>1137</v>
      </c>
      <c r="D341" t="s">
        <v>878</v>
      </c>
      <c r="E341" t="s">
        <v>879</v>
      </c>
      <c r="F341" t="s">
        <v>742</v>
      </c>
      <c r="G341" t="s">
        <v>880</v>
      </c>
      <c r="H341" s="3">
        <v>9419404.2515099999</v>
      </c>
      <c r="I341">
        <v>943</v>
      </c>
      <c r="J341" s="3">
        <v>941.94042516100001</v>
      </c>
      <c r="K341">
        <v>798</v>
      </c>
      <c r="L341">
        <v>2148</v>
      </c>
      <c r="M341">
        <v>1523.7003855590599</v>
      </c>
      <c r="N341">
        <v>289.866781039047</v>
      </c>
      <c r="O341">
        <v>0.33761471509933499</v>
      </c>
      <c r="P341">
        <v>64.379089355468807</v>
      </c>
      <c r="Q341">
        <v>25.876340866088899</v>
      </c>
      <c r="R341">
        <v>11.6417427062988</v>
      </c>
      <c r="S341" t="s">
        <v>881</v>
      </c>
      <c r="T341" t="s">
        <v>1067</v>
      </c>
      <c r="U341" t="s">
        <v>1137</v>
      </c>
      <c r="V341" t="s">
        <v>1137</v>
      </c>
      <c r="W341" s="3">
        <v>48</v>
      </c>
      <c r="X341" s="3">
        <v>9420000</v>
      </c>
      <c r="Y341">
        <v>3</v>
      </c>
      <c r="Z341" s="3">
        <v>48</v>
      </c>
      <c r="AA341" s="3">
        <v>63</v>
      </c>
      <c r="AB341" s="3">
        <v>58</v>
      </c>
      <c r="AC341" s="3">
        <v>53</v>
      </c>
      <c r="AD341" s="3">
        <v>51</v>
      </c>
      <c r="AE341" s="3">
        <v>51</v>
      </c>
      <c r="AF341" s="3">
        <v>52</v>
      </c>
      <c r="AG341" s="3">
        <v>53</v>
      </c>
      <c r="AH341" s="3">
        <v>55</v>
      </c>
      <c r="AI341" s="3">
        <v>54</v>
      </c>
      <c r="AJ341" s="3">
        <v>51</v>
      </c>
      <c r="AK341" s="3">
        <v>49</v>
      </c>
      <c r="AL341" s="3">
        <v>46</v>
      </c>
      <c r="AM341" s="3">
        <v>46</v>
      </c>
      <c r="AN341" s="3">
        <v>48</v>
      </c>
      <c r="AO341" s="3">
        <v>49</v>
      </c>
      <c r="AP341" s="3">
        <v>49</v>
      </c>
      <c r="AR341" s="4">
        <v>5.2016985138004248</v>
      </c>
      <c r="AS341" s="5">
        <f t="shared" si="50"/>
        <v>3.90625</v>
      </c>
      <c r="AT341" s="5">
        <f t="shared" si="51"/>
        <v>-0.88183421516754845</v>
      </c>
      <c r="AU341" s="5">
        <f t="shared" si="52"/>
        <v>-1.0344827586206897</v>
      </c>
      <c r="AV341" s="5">
        <f t="shared" si="53"/>
        <v>-0.57692307692307698</v>
      </c>
      <c r="AW341" s="5">
        <f t="shared" si="54"/>
        <v>1.2254901960784315</v>
      </c>
      <c r="AX341" s="5">
        <f t="shared" si="55"/>
        <v>-0.77586206896551724</v>
      </c>
      <c r="AY341" s="5">
        <f t="shared" si="56"/>
        <v>5.6306306306306307E-2</v>
      </c>
      <c r="AZ341">
        <f t="shared" si="57"/>
        <v>9420000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300000</v>
      </c>
      <c r="BP341">
        <v>1400000</v>
      </c>
      <c r="BQ341">
        <v>2430000</v>
      </c>
      <c r="BR341">
        <v>130000</v>
      </c>
      <c r="BS341">
        <v>4030000</v>
      </c>
      <c r="BT341">
        <v>0</v>
      </c>
      <c r="BU341">
        <v>0</v>
      </c>
      <c r="BV341">
        <v>0</v>
      </c>
      <c r="BW341">
        <v>0</v>
      </c>
      <c r="BX341">
        <v>1130000</v>
      </c>
      <c r="BY341">
        <v>0</v>
      </c>
      <c r="BZ341">
        <v>0</v>
      </c>
      <c r="CA341">
        <v>0</v>
      </c>
      <c r="CT341">
        <v>0</v>
      </c>
      <c r="CU341">
        <v>0</v>
      </c>
      <c r="CV341">
        <v>100</v>
      </c>
      <c r="CW341">
        <v>0</v>
      </c>
      <c r="CX341">
        <v>0</v>
      </c>
      <c r="CY341">
        <v>0</v>
      </c>
      <c r="CZ341">
        <v>3.3970276008492601</v>
      </c>
      <c r="DA341">
        <v>96.602972399150701</v>
      </c>
      <c r="DB341">
        <v>0</v>
      </c>
      <c r="DC341">
        <v>0</v>
      </c>
      <c r="DD341">
        <v>0</v>
      </c>
      <c r="DE341">
        <v>3.0785562632696402</v>
      </c>
      <c r="DF341">
        <v>96.921443736730311</v>
      </c>
      <c r="DG341">
        <v>0</v>
      </c>
      <c r="DH341">
        <v>0</v>
      </c>
      <c r="DI341">
        <v>0</v>
      </c>
      <c r="DJ341">
        <v>3.1847133757961799</v>
      </c>
      <c r="DK341">
        <v>96.815286624203793</v>
      </c>
      <c r="DL341">
        <v>0</v>
      </c>
      <c r="DM341">
        <v>0</v>
      </c>
      <c r="DN341">
        <v>0</v>
      </c>
      <c r="DO341">
        <v>3.1847133757961799</v>
      </c>
      <c r="DP341">
        <v>96.815286624203793</v>
      </c>
      <c r="DQ341">
        <v>0</v>
      </c>
      <c r="DR341">
        <v>0</v>
      </c>
      <c r="DS341" t="s">
        <v>768</v>
      </c>
      <c r="DT341" t="s">
        <v>768</v>
      </c>
      <c r="DU341" t="s">
        <v>768</v>
      </c>
      <c r="DV341" t="s">
        <v>768</v>
      </c>
      <c r="DW341" t="s">
        <v>768</v>
      </c>
      <c r="DX341" t="s">
        <v>768</v>
      </c>
      <c r="DY341" t="s">
        <v>768</v>
      </c>
      <c r="DZ341" t="s">
        <v>768</v>
      </c>
      <c r="EA341" t="s">
        <v>768</v>
      </c>
      <c r="EB341" t="s">
        <v>768</v>
      </c>
      <c r="EC341" t="s">
        <v>768</v>
      </c>
      <c r="ED341" t="s">
        <v>909</v>
      </c>
      <c r="EE341" t="s">
        <v>910</v>
      </c>
      <c r="EF341" t="s">
        <v>753</v>
      </c>
      <c r="EG341" t="s">
        <v>754</v>
      </c>
    </row>
    <row r="342" spans="1:137" ht="14.55" customHeight="1" x14ac:dyDescent="0.3">
      <c r="A342" t="s">
        <v>1138</v>
      </c>
      <c r="B342">
        <v>74206</v>
      </c>
      <c r="C342" t="s">
        <v>1139</v>
      </c>
      <c r="D342" t="s">
        <v>886</v>
      </c>
      <c r="E342" t="s">
        <v>879</v>
      </c>
      <c r="F342" t="s">
        <v>742</v>
      </c>
      <c r="G342" t="s">
        <v>887</v>
      </c>
      <c r="H342" s="3">
        <v>9406132.1599400006</v>
      </c>
      <c r="I342">
        <v>943</v>
      </c>
      <c r="J342" s="3">
        <v>940.61321599400003</v>
      </c>
      <c r="K342">
        <v>572</v>
      </c>
      <c r="L342">
        <v>1389</v>
      </c>
      <c r="M342">
        <v>832.09690113133297</v>
      </c>
      <c r="N342">
        <v>206.903182203174</v>
      </c>
      <c r="O342">
        <v>0</v>
      </c>
      <c r="P342">
        <v>51.1427001953125</v>
      </c>
      <c r="Q342">
        <v>14.2557029724121</v>
      </c>
      <c r="R342">
        <v>10.3530368804932</v>
      </c>
      <c r="S342" t="s">
        <v>881</v>
      </c>
      <c r="T342" t="s">
        <v>1140</v>
      </c>
      <c r="U342" t="s">
        <v>1139</v>
      </c>
      <c r="V342" t="s">
        <v>1139</v>
      </c>
      <c r="W342" s="3">
        <v>981</v>
      </c>
      <c r="X342" s="3">
        <v>9400000</v>
      </c>
      <c r="Y342">
        <v>3</v>
      </c>
      <c r="Z342" s="3">
        <v>543</v>
      </c>
      <c r="AA342" s="3">
        <v>594</v>
      </c>
      <c r="AB342" s="3">
        <v>686</v>
      </c>
      <c r="AC342" s="3">
        <v>773</v>
      </c>
      <c r="AD342" s="3">
        <v>786</v>
      </c>
      <c r="AE342" s="3">
        <v>798</v>
      </c>
      <c r="AF342" s="3">
        <v>790</v>
      </c>
      <c r="AG342" s="3">
        <v>800</v>
      </c>
      <c r="AH342" s="3">
        <v>822</v>
      </c>
      <c r="AI342" s="3">
        <v>845</v>
      </c>
      <c r="AJ342" s="3">
        <v>867</v>
      </c>
      <c r="AK342" s="3">
        <v>898</v>
      </c>
      <c r="AL342" s="3">
        <v>906</v>
      </c>
      <c r="AM342" s="3">
        <v>943</v>
      </c>
      <c r="AN342" s="3">
        <v>981</v>
      </c>
      <c r="AO342" s="3">
        <v>1018</v>
      </c>
      <c r="AP342" s="3">
        <v>1030</v>
      </c>
      <c r="AQ342" s="3">
        <v>1067</v>
      </c>
      <c r="AR342" s="4">
        <v>109.57446808510639</v>
      </c>
      <c r="AS342" s="5">
        <f t="shared" si="50"/>
        <v>1.1740331491712708</v>
      </c>
      <c r="AT342" s="5">
        <f t="shared" si="51"/>
        <v>1.7209128320239429</v>
      </c>
      <c r="AU342" s="5">
        <f t="shared" si="52"/>
        <v>1.5160349854227406</v>
      </c>
      <c r="AV342" s="5">
        <f t="shared" si="53"/>
        <v>3.037974683544304</v>
      </c>
      <c r="AW342" s="5">
        <f t="shared" si="54"/>
        <v>1.5491279384682048</v>
      </c>
      <c r="AX342" s="5">
        <f t="shared" si="55"/>
        <v>2.5072886297376096</v>
      </c>
      <c r="AY342" s="5">
        <f t="shared" si="56"/>
        <v>2.423970932258225</v>
      </c>
      <c r="AZ342">
        <f t="shared" si="57"/>
        <v>9430000</v>
      </c>
      <c r="BA342">
        <v>0</v>
      </c>
      <c r="BB342">
        <v>360000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190000</v>
      </c>
      <c r="BM342">
        <v>1950000</v>
      </c>
      <c r="BN342">
        <v>1940000</v>
      </c>
      <c r="BO342">
        <v>650000</v>
      </c>
      <c r="BP342">
        <v>410000</v>
      </c>
      <c r="BQ342">
        <v>440000</v>
      </c>
      <c r="BR342">
        <v>3160000</v>
      </c>
      <c r="BS342">
        <v>50000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280000</v>
      </c>
      <c r="BZ342">
        <v>0</v>
      </c>
      <c r="CA342">
        <v>0</v>
      </c>
      <c r="CT342">
        <v>3.81760339342524</v>
      </c>
      <c r="CU342">
        <v>49.840933191940636</v>
      </c>
      <c r="CV342">
        <v>43.47826086956524</v>
      </c>
      <c r="CW342">
        <v>2.8632025450689298</v>
      </c>
      <c r="CX342">
        <v>0</v>
      </c>
      <c r="CY342">
        <v>3.81760339342524</v>
      </c>
      <c r="CZ342">
        <v>50.159066808059379</v>
      </c>
      <c r="DA342">
        <v>43.16012725344644</v>
      </c>
      <c r="DB342">
        <v>2.8632025450689298</v>
      </c>
      <c r="DC342">
        <v>0</v>
      </c>
      <c r="DD342">
        <v>3.81760339342524</v>
      </c>
      <c r="DE342">
        <v>50.159066808059379</v>
      </c>
      <c r="DF342">
        <v>43.054082714740183</v>
      </c>
      <c r="DG342">
        <v>2.9692470837751901</v>
      </c>
      <c r="DH342">
        <v>0</v>
      </c>
      <c r="DI342">
        <v>3.81760339342524</v>
      </c>
      <c r="DJ342">
        <v>50.159066808059379</v>
      </c>
      <c r="DK342">
        <v>43.054082714740183</v>
      </c>
      <c r="DL342">
        <v>2.9692470837751901</v>
      </c>
      <c r="DM342">
        <v>0</v>
      </c>
      <c r="DN342">
        <v>3.81760339342524</v>
      </c>
      <c r="DO342">
        <v>50.159066808059379</v>
      </c>
      <c r="DP342">
        <v>43.054082714740183</v>
      </c>
      <c r="DQ342">
        <v>2.9692470837751901</v>
      </c>
      <c r="DR342">
        <v>0</v>
      </c>
      <c r="DS342" t="s">
        <v>768</v>
      </c>
      <c r="DT342" t="s">
        <v>768</v>
      </c>
      <c r="DU342" t="s">
        <v>768</v>
      </c>
      <c r="DV342" t="s">
        <v>768</v>
      </c>
      <c r="DW342" t="s">
        <v>768</v>
      </c>
      <c r="DX342" t="s">
        <v>768</v>
      </c>
      <c r="DY342" t="s">
        <v>768</v>
      </c>
      <c r="DZ342" t="s">
        <v>768</v>
      </c>
      <c r="EA342" t="s">
        <v>768</v>
      </c>
      <c r="EB342" t="s">
        <v>768</v>
      </c>
      <c r="EC342" t="s">
        <v>768</v>
      </c>
      <c r="ED342" t="s">
        <v>909</v>
      </c>
      <c r="EE342" t="s">
        <v>910</v>
      </c>
      <c r="EF342" t="s">
        <v>753</v>
      </c>
      <c r="EG342" t="s">
        <v>754</v>
      </c>
    </row>
    <row r="343" spans="1:137" ht="14.55" customHeight="1" x14ac:dyDescent="0.3">
      <c r="A343" t="s">
        <v>1141</v>
      </c>
      <c r="B343">
        <v>74210</v>
      </c>
      <c r="C343" t="s">
        <v>974</v>
      </c>
      <c r="D343" t="s">
        <v>886</v>
      </c>
      <c r="E343" t="s">
        <v>879</v>
      </c>
      <c r="F343" t="s">
        <v>742</v>
      </c>
      <c r="G343" t="s">
        <v>887</v>
      </c>
      <c r="H343" s="3">
        <v>7868995.6291300002</v>
      </c>
      <c r="I343">
        <v>780</v>
      </c>
      <c r="J343" s="3">
        <v>786.89956291300007</v>
      </c>
      <c r="K343">
        <v>483</v>
      </c>
      <c r="L343">
        <v>751</v>
      </c>
      <c r="M343">
        <v>563.35638163967405</v>
      </c>
      <c r="N343">
        <v>51.323164871501397</v>
      </c>
      <c r="O343">
        <v>0</v>
      </c>
      <c r="P343">
        <v>29.433479309081999</v>
      </c>
      <c r="Q343">
        <v>5.6373057365417498</v>
      </c>
      <c r="R343">
        <v>3.8861503601074201</v>
      </c>
      <c r="S343" t="s">
        <v>881</v>
      </c>
      <c r="T343" t="s">
        <v>1142</v>
      </c>
      <c r="U343" t="s">
        <v>974</v>
      </c>
      <c r="V343" t="s">
        <v>974</v>
      </c>
      <c r="W343" s="3">
        <v>1845</v>
      </c>
      <c r="X343" s="3">
        <v>7870000</v>
      </c>
      <c r="Y343">
        <v>3</v>
      </c>
      <c r="Z343" s="3">
        <v>1090</v>
      </c>
      <c r="AA343" s="3">
        <v>1305</v>
      </c>
      <c r="AB343" s="3">
        <v>1357</v>
      </c>
      <c r="AC343" s="3">
        <v>1439</v>
      </c>
      <c r="AD343" s="3">
        <v>1466</v>
      </c>
      <c r="AE343" s="3">
        <v>1564</v>
      </c>
      <c r="AF343" s="3">
        <v>1585</v>
      </c>
      <c r="AG343" s="3">
        <v>1611</v>
      </c>
      <c r="AH343" s="3">
        <v>1637</v>
      </c>
      <c r="AI343" s="3">
        <v>1635</v>
      </c>
      <c r="AJ343" s="3">
        <v>1647</v>
      </c>
      <c r="AK343" s="3">
        <v>1720</v>
      </c>
      <c r="AL343" s="3">
        <v>1780</v>
      </c>
      <c r="AM343" s="3">
        <v>1839</v>
      </c>
      <c r="AN343" s="3">
        <v>1845</v>
      </c>
      <c r="AO343" s="3">
        <v>1868</v>
      </c>
      <c r="AP343" s="3">
        <v>1885</v>
      </c>
      <c r="AQ343" s="3">
        <v>1878</v>
      </c>
      <c r="AR343" s="4">
        <v>239.51715374841169</v>
      </c>
      <c r="AS343" s="5">
        <f t="shared" si="50"/>
        <v>2.4655963302752295</v>
      </c>
      <c r="AT343" s="5">
        <f t="shared" si="51"/>
        <v>0.44274159216687958</v>
      </c>
      <c r="AU343" s="5">
        <f t="shared" si="52"/>
        <v>1.6801768607221812</v>
      </c>
      <c r="AV343" s="5">
        <f t="shared" si="53"/>
        <v>1.8927444794952681</v>
      </c>
      <c r="AW343" s="5">
        <f t="shared" si="54"/>
        <v>1.4409066378845117</v>
      </c>
      <c r="AX343" s="5">
        <f t="shared" si="55"/>
        <v>1.9454679439941047</v>
      </c>
      <c r="AY343" s="5">
        <f t="shared" si="56"/>
        <v>1.9712372923382095</v>
      </c>
      <c r="AZ343">
        <f t="shared" si="57"/>
        <v>7810000</v>
      </c>
      <c r="BA343">
        <v>0</v>
      </c>
      <c r="BB343">
        <v>690000</v>
      </c>
      <c r="BC343">
        <v>630000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390000</v>
      </c>
      <c r="BK343">
        <v>0</v>
      </c>
      <c r="BL343">
        <v>460000</v>
      </c>
      <c r="BM343">
        <v>760000</v>
      </c>
      <c r="BN343">
        <v>1740000</v>
      </c>
      <c r="BO343">
        <v>1710000</v>
      </c>
      <c r="BP343">
        <v>430000</v>
      </c>
      <c r="BQ343">
        <v>140000</v>
      </c>
      <c r="BR343">
        <v>820000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40000</v>
      </c>
      <c r="BZ343">
        <v>0</v>
      </c>
      <c r="CA343">
        <v>0</v>
      </c>
      <c r="CT343">
        <v>11.90781049935979</v>
      </c>
      <c r="CU343">
        <v>68.117797695262496</v>
      </c>
      <c r="CV343">
        <v>19.4622279129321</v>
      </c>
      <c r="CW343">
        <v>0.51216389244558302</v>
      </c>
      <c r="CX343">
        <v>0</v>
      </c>
      <c r="CY343">
        <v>14.08450704225352</v>
      </c>
      <c r="CZ343">
        <v>66.965428937259901</v>
      </c>
      <c r="DA343">
        <v>18.437900128041001</v>
      </c>
      <c r="DB343">
        <v>0.51216389244558302</v>
      </c>
      <c r="DC343">
        <v>0</v>
      </c>
      <c r="DD343">
        <v>15.10883482714469</v>
      </c>
      <c r="DE343">
        <v>66.581306017925698</v>
      </c>
      <c r="DF343">
        <v>17.797695262484002</v>
      </c>
      <c r="DG343">
        <v>0.51216389244558302</v>
      </c>
      <c r="DH343">
        <v>0</v>
      </c>
      <c r="DI343">
        <v>16.901408450704231</v>
      </c>
      <c r="DJ343">
        <v>64.788732394366207</v>
      </c>
      <c r="DK343">
        <v>17.797695262484002</v>
      </c>
      <c r="DL343">
        <v>0.51216389244558302</v>
      </c>
      <c r="DM343">
        <v>0</v>
      </c>
      <c r="DN343">
        <v>16.901408450704231</v>
      </c>
      <c r="DO343">
        <v>64.788732394366207</v>
      </c>
      <c r="DP343">
        <v>17.797695262484002</v>
      </c>
      <c r="DQ343">
        <v>0.51216389244558302</v>
      </c>
      <c r="DR343">
        <v>0</v>
      </c>
      <c r="DS343" t="s">
        <v>768</v>
      </c>
      <c r="DT343" t="s">
        <v>768</v>
      </c>
      <c r="DU343" t="s">
        <v>768</v>
      </c>
      <c r="DV343" t="s">
        <v>768</v>
      </c>
      <c r="DW343" t="s">
        <v>768</v>
      </c>
      <c r="DX343" t="s">
        <v>768</v>
      </c>
      <c r="DY343" t="s">
        <v>768</v>
      </c>
      <c r="DZ343" t="s">
        <v>768</v>
      </c>
      <c r="EA343" t="s">
        <v>768</v>
      </c>
      <c r="EB343" t="s">
        <v>768</v>
      </c>
      <c r="EC343" t="s">
        <v>768</v>
      </c>
      <c r="ED343" t="s">
        <v>973</v>
      </c>
      <c r="EE343" t="s">
        <v>974</v>
      </c>
      <c r="EF343" t="s">
        <v>746</v>
      </c>
      <c r="EG343" t="s">
        <v>747</v>
      </c>
    </row>
    <row r="344" spans="1:137" ht="14.55" customHeight="1" x14ac:dyDescent="0.3">
      <c r="A344" t="s">
        <v>1143</v>
      </c>
      <c r="B344">
        <v>74211</v>
      </c>
      <c r="C344" t="s">
        <v>1144</v>
      </c>
      <c r="D344" t="s">
        <v>543</v>
      </c>
      <c r="E344" t="s">
        <v>879</v>
      </c>
      <c r="F344" t="s">
        <v>742</v>
      </c>
      <c r="G344" t="s">
        <v>892</v>
      </c>
      <c r="H344" s="3">
        <v>18628377.2161</v>
      </c>
      <c r="I344">
        <v>1859</v>
      </c>
      <c r="J344" s="3">
        <v>1862.83772161</v>
      </c>
      <c r="K344">
        <v>478</v>
      </c>
      <c r="L344">
        <v>935</v>
      </c>
      <c r="M344">
        <v>679.25690066602601</v>
      </c>
      <c r="N344">
        <v>128.809138681657</v>
      </c>
      <c r="O344">
        <v>0</v>
      </c>
      <c r="P344">
        <v>35.234352111816399</v>
      </c>
      <c r="Q344">
        <v>6.3626756668090803</v>
      </c>
      <c r="R344">
        <v>3.9007589817047101</v>
      </c>
      <c r="S344" t="s">
        <v>881</v>
      </c>
      <c r="T344" t="s">
        <v>1145</v>
      </c>
      <c r="U344" t="s">
        <v>1144</v>
      </c>
      <c r="V344" t="s">
        <v>1144</v>
      </c>
      <c r="W344" s="3">
        <v>3052</v>
      </c>
      <c r="X344" s="3">
        <v>18650000</v>
      </c>
      <c r="Y344">
        <v>3</v>
      </c>
      <c r="Z344" s="3">
        <v>1435</v>
      </c>
      <c r="AA344" s="3">
        <v>1800</v>
      </c>
      <c r="AB344" s="3">
        <v>2105</v>
      </c>
      <c r="AC344" s="3">
        <v>2426</v>
      </c>
      <c r="AD344" s="3">
        <v>2473</v>
      </c>
      <c r="AE344" s="3">
        <v>2519</v>
      </c>
      <c r="AF344" s="3">
        <v>2563</v>
      </c>
      <c r="AG344" s="3">
        <v>2587</v>
      </c>
      <c r="AH344" s="3">
        <v>2660</v>
      </c>
      <c r="AI344" s="3">
        <v>2734</v>
      </c>
      <c r="AJ344" s="3">
        <v>2807</v>
      </c>
      <c r="AK344" s="3">
        <v>2891</v>
      </c>
      <c r="AL344" s="3">
        <v>2997</v>
      </c>
      <c r="AM344" s="3">
        <v>3025</v>
      </c>
      <c r="AN344" s="3">
        <v>3052</v>
      </c>
      <c r="AO344" s="3">
        <v>3080</v>
      </c>
      <c r="AP344" s="3">
        <v>3108</v>
      </c>
      <c r="AQ344" s="3">
        <v>3170</v>
      </c>
      <c r="AR344" s="4">
        <v>166.64879356568363</v>
      </c>
      <c r="AS344" s="5">
        <f t="shared" si="50"/>
        <v>3.1794425087108018</v>
      </c>
      <c r="AT344" s="5">
        <f t="shared" si="51"/>
        <v>1.8827160493827162</v>
      </c>
      <c r="AU344" s="5">
        <f t="shared" si="52"/>
        <v>2.1757719714964372</v>
      </c>
      <c r="AV344" s="5">
        <f t="shared" si="53"/>
        <v>2.1264143581740149</v>
      </c>
      <c r="AW344" s="5">
        <f t="shared" si="54"/>
        <v>2.7464644394343103</v>
      </c>
      <c r="AX344" s="5">
        <f t="shared" si="55"/>
        <v>2.3824228028503565</v>
      </c>
      <c r="AY344" s="5">
        <f t="shared" si="56"/>
        <v>3.1509558338826626</v>
      </c>
      <c r="AZ344">
        <f t="shared" si="57"/>
        <v>18590000</v>
      </c>
      <c r="BA344">
        <v>0</v>
      </c>
      <c r="BB344">
        <v>1850000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50000</v>
      </c>
      <c r="BK344">
        <v>0</v>
      </c>
      <c r="BL344">
        <v>0</v>
      </c>
      <c r="BM344">
        <v>20000</v>
      </c>
      <c r="BN344">
        <v>7840000</v>
      </c>
      <c r="BO344">
        <v>4720000</v>
      </c>
      <c r="BP344">
        <v>660000</v>
      </c>
      <c r="BQ344">
        <v>150000</v>
      </c>
      <c r="BR344">
        <v>3300000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T344">
        <v>7.853684776761698</v>
      </c>
      <c r="CU344">
        <v>69.983862291554601</v>
      </c>
      <c r="CV344">
        <v>22.162452931683699</v>
      </c>
      <c r="CW344">
        <v>0</v>
      </c>
      <c r="CX344">
        <v>0</v>
      </c>
      <c r="CY344">
        <v>7.6923076923076898</v>
      </c>
      <c r="CZ344">
        <v>70.145239376008576</v>
      </c>
      <c r="DA344">
        <v>22.162452931683699</v>
      </c>
      <c r="DB344">
        <v>0</v>
      </c>
      <c r="DC344">
        <v>0</v>
      </c>
      <c r="DD344">
        <v>9.0909090909090899</v>
      </c>
      <c r="DE344">
        <v>68.800430338891886</v>
      </c>
      <c r="DF344">
        <v>22.108660570199</v>
      </c>
      <c r="DG344">
        <v>0</v>
      </c>
      <c r="DH344">
        <v>0</v>
      </c>
      <c r="DI344">
        <v>9.9515868746637999</v>
      </c>
      <c r="DJ344">
        <v>67.93975255513719</v>
      </c>
      <c r="DK344">
        <v>22.108660570199</v>
      </c>
      <c r="DL344">
        <v>0</v>
      </c>
      <c r="DM344">
        <v>0</v>
      </c>
      <c r="DN344">
        <v>9.9515868746637999</v>
      </c>
      <c r="DO344">
        <v>67.93975255513719</v>
      </c>
      <c r="DP344">
        <v>22.108660570199</v>
      </c>
      <c r="DQ344">
        <v>0</v>
      </c>
      <c r="DR344">
        <v>0</v>
      </c>
      <c r="DS344" t="s">
        <v>312</v>
      </c>
      <c r="DT344" t="s">
        <v>313</v>
      </c>
      <c r="DU344">
        <v>3145</v>
      </c>
      <c r="DV344" t="s">
        <v>547</v>
      </c>
      <c r="DW344" t="s">
        <v>548</v>
      </c>
      <c r="DX344">
        <v>86</v>
      </c>
      <c r="DY344">
        <v>130</v>
      </c>
      <c r="DZ344">
        <v>216</v>
      </c>
      <c r="EA344">
        <v>606779</v>
      </c>
      <c r="EB344">
        <v>388178</v>
      </c>
      <c r="EC344">
        <v>994957</v>
      </c>
      <c r="ED344" t="s">
        <v>807</v>
      </c>
      <c r="EE344" t="s">
        <v>808</v>
      </c>
      <c r="EF344" t="s">
        <v>746</v>
      </c>
      <c r="EG344" t="s">
        <v>760</v>
      </c>
    </row>
    <row r="345" spans="1:137" ht="14.55" customHeight="1" x14ac:dyDescent="0.3">
      <c r="A345" t="s">
        <v>1146</v>
      </c>
      <c r="B345">
        <v>74212</v>
      </c>
      <c r="C345" t="s">
        <v>1147</v>
      </c>
      <c r="D345" t="s">
        <v>543</v>
      </c>
      <c r="E345" t="s">
        <v>879</v>
      </c>
      <c r="F345" t="s">
        <v>742</v>
      </c>
      <c r="G345" t="s">
        <v>917</v>
      </c>
      <c r="H345" s="3">
        <v>71591503.348800004</v>
      </c>
      <c r="I345">
        <v>7152</v>
      </c>
      <c r="J345" s="3">
        <v>7159.1503348800006</v>
      </c>
      <c r="K345">
        <v>597</v>
      </c>
      <c r="L345">
        <v>2381</v>
      </c>
      <c r="M345">
        <v>1319.55916244951</v>
      </c>
      <c r="N345">
        <v>344.242967667176</v>
      </c>
      <c r="O345">
        <v>0</v>
      </c>
      <c r="P345">
        <v>73.503601074218807</v>
      </c>
      <c r="Q345">
        <v>24.479179382324201</v>
      </c>
      <c r="R345">
        <v>12.276463508606</v>
      </c>
      <c r="S345" t="s">
        <v>881</v>
      </c>
      <c r="T345" t="s">
        <v>1148</v>
      </c>
      <c r="U345" t="s">
        <v>1147</v>
      </c>
      <c r="V345" t="s">
        <v>1147</v>
      </c>
      <c r="W345" s="3">
        <v>1798</v>
      </c>
      <c r="X345" s="3">
        <v>71580000</v>
      </c>
      <c r="Y345">
        <v>3</v>
      </c>
      <c r="Z345" s="3">
        <v>908</v>
      </c>
      <c r="AA345" s="3">
        <v>1089</v>
      </c>
      <c r="AB345" s="3">
        <v>1332</v>
      </c>
      <c r="AC345" s="3">
        <v>1599</v>
      </c>
      <c r="AD345" s="3">
        <v>1650</v>
      </c>
      <c r="AE345" s="3">
        <v>1701</v>
      </c>
      <c r="AF345" s="3">
        <v>1731</v>
      </c>
      <c r="AG345" s="3">
        <v>1761</v>
      </c>
      <c r="AH345" s="3">
        <v>1747</v>
      </c>
      <c r="AI345" s="3">
        <v>1755</v>
      </c>
      <c r="AJ345" s="3">
        <v>1763</v>
      </c>
      <c r="AK345" s="3">
        <v>1775</v>
      </c>
      <c r="AL345" s="3">
        <v>1782</v>
      </c>
      <c r="AM345" s="3">
        <v>1787</v>
      </c>
      <c r="AN345" s="3">
        <v>1798</v>
      </c>
      <c r="AO345" s="3">
        <v>1809</v>
      </c>
      <c r="AP345" s="3">
        <v>1814</v>
      </c>
      <c r="AQ345" s="3">
        <v>1827</v>
      </c>
      <c r="AR345" s="4">
        <v>25.342274378317967</v>
      </c>
      <c r="AS345" s="5">
        <f t="shared" si="50"/>
        <v>2.4917400881057268</v>
      </c>
      <c r="AT345" s="5">
        <f t="shared" si="51"/>
        <v>2.4793388429752068</v>
      </c>
      <c r="AU345" s="5">
        <f t="shared" si="52"/>
        <v>2.9954954954954953</v>
      </c>
      <c r="AV345" s="5">
        <f t="shared" si="53"/>
        <v>0.47949162333911033</v>
      </c>
      <c r="AW345" s="5">
        <f t="shared" si="54"/>
        <v>2.7468256024876911</v>
      </c>
      <c r="AX345" s="5">
        <f t="shared" si="55"/>
        <v>1.8093093093093093</v>
      </c>
      <c r="AY345" s="5">
        <f t="shared" si="56"/>
        <v>2.6967496130491724</v>
      </c>
      <c r="AZ345">
        <f t="shared" si="57"/>
        <v>71500000</v>
      </c>
      <c r="BA345">
        <v>0</v>
      </c>
      <c r="BB345">
        <v>1190000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3950000</v>
      </c>
      <c r="BN345">
        <v>2350000</v>
      </c>
      <c r="BO345">
        <v>410000</v>
      </c>
      <c r="BP345">
        <v>1930000</v>
      </c>
      <c r="BQ345">
        <v>20210000</v>
      </c>
      <c r="BR345">
        <v>19480000</v>
      </c>
      <c r="BS345">
        <v>13930000</v>
      </c>
      <c r="BT345">
        <v>1130000</v>
      </c>
      <c r="BU345">
        <v>0</v>
      </c>
      <c r="BV345">
        <v>0</v>
      </c>
      <c r="BW345">
        <v>4730000</v>
      </c>
      <c r="BX345">
        <v>2190000</v>
      </c>
      <c r="BY345">
        <v>0</v>
      </c>
      <c r="BZ345">
        <v>0</v>
      </c>
      <c r="CA345">
        <v>0</v>
      </c>
      <c r="CT345">
        <v>0.95091595581037602</v>
      </c>
      <c r="CU345">
        <v>9.4951754999300793</v>
      </c>
      <c r="CV345">
        <v>89.553908544259613</v>
      </c>
      <c r="CW345">
        <v>0</v>
      </c>
      <c r="CX345">
        <v>0</v>
      </c>
      <c r="CY345">
        <v>0.95091595581037602</v>
      </c>
      <c r="CZ345">
        <v>9.4951754999300793</v>
      </c>
      <c r="DA345">
        <v>89.553908544259599</v>
      </c>
      <c r="DB345">
        <v>0</v>
      </c>
      <c r="DC345">
        <v>0</v>
      </c>
      <c r="DD345">
        <v>1.6641029226681601</v>
      </c>
      <c r="DE345">
        <v>9.383303034540619</v>
      </c>
      <c r="DF345">
        <v>88.952594042791205</v>
      </c>
      <c r="DG345">
        <v>0</v>
      </c>
      <c r="DH345">
        <v>0</v>
      </c>
      <c r="DI345">
        <v>1.6641029226681601</v>
      </c>
      <c r="DJ345">
        <v>9.383303034540619</v>
      </c>
      <c r="DK345">
        <v>88.952594042791247</v>
      </c>
      <c r="DL345">
        <v>0</v>
      </c>
      <c r="DM345">
        <v>0</v>
      </c>
      <c r="DN345">
        <v>1.6641029226681601</v>
      </c>
      <c r="DO345">
        <v>9.383303034540619</v>
      </c>
      <c r="DP345">
        <v>88.952594042791247</v>
      </c>
      <c r="DQ345">
        <v>0</v>
      </c>
      <c r="DR345">
        <v>0</v>
      </c>
      <c r="DS345" t="s">
        <v>768</v>
      </c>
      <c r="DT345" t="s">
        <v>768</v>
      </c>
      <c r="DU345" t="s">
        <v>768</v>
      </c>
      <c r="DV345" t="s">
        <v>768</v>
      </c>
      <c r="DW345" t="s">
        <v>768</v>
      </c>
      <c r="DX345" t="s">
        <v>768</v>
      </c>
      <c r="DY345" t="s">
        <v>768</v>
      </c>
      <c r="DZ345" t="s">
        <v>768</v>
      </c>
      <c r="EA345" t="s">
        <v>768</v>
      </c>
      <c r="EB345" t="s">
        <v>768</v>
      </c>
      <c r="EC345" t="s">
        <v>768</v>
      </c>
      <c r="ED345" t="s">
        <v>909</v>
      </c>
      <c r="EE345" t="s">
        <v>910</v>
      </c>
      <c r="EF345" t="s">
        <v>753</v>
      </c>
      <c r="EG345" t="s">
        <v>754</v>
      </c>
    </row>
    <row r="346" spans="1:137" ht="14.55" customHeight="1" x14ac:dyDescent="0.3">
      <c r="A346" t="s">
        <v>1149</v>
      </c>
      <c r="B346">
        <v>74216</v>
      </c>
      <c r="C346" t="s">
        <v>1150</v>
      </c>
      <c r="D346" t="s">
        <v>543</v>
      </c>
      <c r="E346" t="s">
        <v>879</v>
      </c>
      <c r="F346" t="s">
        <v>742</v>
      </c>
      <c r="G346" t="s">
        <v>913</v>
      </c>
      <c r="H346" s="3">
        <v>8621772.9837400001</v>
      </c>
      <c r="I346">
        <v>869</v>
      </c>
      <c r="J346" s="3">
        <v>862.17729837399997</v>
      </c>
      <c r="K346">
        <v>588</v>
      </c>
      <c r="L346">
        <v>1316</v>
      </c>
      <c r="M346">
        <v>782.25405987839599</v>
      </c>
      <c r="N346">
        <v>172.46867685730399</v>
      </c>
      <c r="O346">
        <v>0</v>
      </c>
      <c r="P346">
        <v>55.831306457519503</v>
      </c>
      <c r="Q346">
        <v>10.387444496154799</v>
      </c>
      <c r="R346">
        <v>8.4156694412231499</v>
      </c>
      <c r="S346" t="s">
        <v>881</v>
      </c>
      <c r="T346" t="s">
        <v>1151</v>
      </c>
      <c r="U346" t="s">
        <v>1150</v>
      </c>
      <c r="V346" t="s">
        <v>1150</v>
      </c>
      <c r="W346" s="3">
        <v>960</v>
      </c>
      <c r="X346" s="3">
        <v>8620000</v>
      </c>
      <c r="Y346">
        <v>3</v>
      </c>
      <c r="Z346" s="3">
        <v>474</v>
      </c>
      <c r="AA346" s="3">
        <v>562</v>
      </c>
      <c r="AB346" s="3">
        <v>622</v>
      </c>
      <c r="AC346" s="3">
        <v>655</v>
      </c>
      <c r="AD346" s="3">
        <v>660</v>
      </c>
      <c r="AE346" s="3">
        <v>665</v>
      </c>
      <c r="AF346" s="3">
        <v>679</v>
      </c>
      <c r="AG346" s="3">
        <v>681</v>
      </c>
      <c r="AH346" s="3">
        <v>713</v>
      </c>
      <c r="AI346" s="3">
        <v>735</v>
      </c>
      <c r="AJ346" s="3">
        <v>757</v>
      </c>
      <c r="AK346" s="3">
        <v>760</v>
      </c>
      <c r="AL346" s="3">
        <v>774</v>
      </c>
      <c r="AM346" s="3">
        <v>868</v>
      </c>
      <c r="AN346" s="3">
        <v>960</v>
      </c>
      <c r="AO346" s="3">
        <v>1051</v>
      </c>
      <c r="AP346" s="3">
        <v>1054</v>
      </c>
      <c r="AQ346" s="3">
        <v>1063</v>
      </c>
      <c r="AR346" s="4">
        <v>122.2737819025522</v>
      </c>
      <c r="AS346" s="5">
        <f t="shared" si="50"/>
        <v>2.3206751054852321</v>
      </c>
      <c r="AT346" s="5">
        <f t="shared" si="51"/>
        <v>1.1862396204033214</v>
      </c>
      <c r="AU346" s="5">
        <f t="shared" si="52"/>
        <v>0.91639871382636662</v>
      </c>
      <c r="AV346" s="5">
        <f t="shared" si="53"/>
        <v>5.5228276877761422</v>
      </c>
      <c r="AW346" s="5">
        <f t="shared" si="54"/>
        <v>1.8366840407048897</v>
      </c>
      <c r="AX346" s="5">
        <f t="shared" si="55"/>
        <v>3.4726688102893895</v>
      </c>
      <c r="AY346" s="5">
        <f t="shared" si="56"/>
        <v>3.3071045729273574</v>
      </c>
      <c r="AZ346">
        <f t="shared" si="57"/>
        <v>8730000</v>
      </c>
      <c r="BA346">
        <v>0</v>
      </c>
      <c r="BB346">
        <v>500000</v>
      </c>
      <c r="BC346">
        <v>0</v>
      </c>
      <c r="BD346">
        <v>380000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910000</v>
      </c>
      <c r="BK346">
        <v>0</v>
      </c>
      <c r="BL346">
        <v>0</v>
      </c>
      <c r="BM346">
        <v>2790000</v>
      </c>
      <c r="BN346">
        <v>470000</v>
      </c>
      <c r="BO346">
        <v>570000</v>
      </c>
      <c r="BP346">
        <v>1600000</v>
      </c>
      <c r="BQ346">
        <v>0</v>
      </c>
      <c r="BR346">
        <v>1100000</v>
      </c>
      <c r="BS346">
        <v>410000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T346">
        <v>5.72737686139748</v>
      </c>
      <c r="CU346">
        <v>56.128293241695324</v>
      </c>
      <c r="CV346">
        <v>38.144329896907195</v>
      </c>
      <c r="CW346">
        <v>0</v>
      </c>
      <c r="CX346">
        <v>0</v>
      </c>
      <c r="CY346">
        <v>5.8419243986254301</v>
      </c>
      <c r="CZ346">
        <v>56.013745704467389</v>
      </c>
      <c r="DA346">
        <v>38.14432989690723</v>
      </c>
      <c r="DB346">
        <v>0</v>
      </c>
      <c r="DC346">
        <v>0</v>
      </c>
      <c r="DD346">
        <v>9.8510882016036696</v>
      </c>
      <c r="DE346">
        <v>52.348224513173001</v>
      </c>
      <c r="DF346">
        <v>37.800687285223333</v>
      </c>
      <c r="DG346">
        <v>0</v>
      </c>
      <c r="DH346">
        <v>0</v>
      </c>
      <c r="DI346">
        <v>10.080183276059561</v>
      </c>
      <c r="DJ346">
        <v>54.295532646048102</v>
      </c>
      <c r="DK346">
        <v>35.624284077892327</v>
      </c>
      <c r="DL346">
        <v>0</v>
      </c>
      <c r="DM346">
        <v>0</v>
      </c>
      <c r="DN346">
        <v>10.080183276059561</v>
      </c>
      <c r="DO346">
        <v>54.295532646048102</v>
      </c>
      <c r="DP346">
        <v>35.624284077892327</v>
      </c>
      <c r="DQ346">
        <v>0</v>
      </c>
      <c r="DR346">
        <v>0</v>
      </c>
      <c r="DS346" t="s">
        <v>312</v>
      </c>
      <c r="DT346" t="s">
        <v>313</v>
      </c>
      <c r="DU346">
        <v>1053</v>
      </c>
      <c r="DV346" t="s">
        <v>547</v>
      </c>
      <c r="DW346" t="s">
        <v>548</v>
      </c>
      <c r="DX346">
        <v>86</v>
      </c>
      <c r="DY346">
        <v>130</v>
      </c>
      <c r="DZ346">
        <v>216</v>
      </c>
      <c r="EA346">
        <v>606779</v>
      </c>
      <c r="EB346">
        <v>388178</v>
      </c>
      <c r="EC346">
        <v>994957</v>
      </c>
      <c r="ED346" t="s">
        <v>909</v>
      </c>
      <c r="EE346" t="s">
        <v>910</v>
      </c>
      <c r="EF346" t="s">
        <v>753</v>
      </c>
      <c r="EG346" t="s">
        <v>754</v>
      </c>
    </row>
    <row r="347" spans="1:137" ht="14.55" customHeight="1" x14ac:dyDescent="0.3">
      <c r="A347" t="s">
        <v>1152</v>
      </c>
      <c r="B347">
        <v>74218</v>
      </c>
      <c r="C347" t="s">
        <v>1153</v>
      </c>
      <c r="D347" t="s">
        <v>878</v>
      </c>
      <c r="E347" t="s">
        <v>879</v>
      </c>
      <c r="F347" t="s">
        <v>742</v>
      </c>
      <c r="G347" t="s">
        <v>880</v>
      </c>
      <c r="H347" s="3">
        <v>8976263.19111</v>
      </c>
      <c r="I347">
        <v>892</v>
      </c>
      <c r="J347" s="3">
        <v>897.62631911200003</v>
      </c>
      <c r="K347">
        <v>356</v>
      </c>
      <c r="L347">
        <v>726</v>
      </c>
      <c r="M347">
        <v>463.97536402412101</v>
      </c>
      <c r="N347">
        <v>95.267651057746804</v>
      </c>
      <c r="O347">
        <v>0</v>
      </c>
      <c r="P347">
        <v>32.312656402587898</v>
      </c>
      <c r="Q347">
        <v>7.7075061798095703</v>
      </c>
      <c r="R347">
        <v>5.31030225753784</v>
      </c>
      <c r="S347" t="s">
        <v>881</v>
      </c>
      <c r="T347" t="s">
        <v>1154</v>
      </c>
      <c r="U347" t="s">
        <v>1153</v>
      </c>
      <c r="V347" t="s">
        <v>1153</v>
      </c>
      <c r="W347" s="3">
        <v>7148</v>
      </c>
      <c r="X347" s="3">
        <v>8970000</v>
      </c>
      <c r="Y347">
        <v>2</v>
      </c>
      <c r="Z347" s="3">
        <v>3701</v>
      </c>
      <c r="AA347" s="3">
        <v>4312</v>
      </c>
      <c r="AB347" s="3">
        <v>4954</v>
      </c>
      <c r="AC347" s="3">
        <v>5889</v>
      </c>
      <c r="AD347" s="3">
        <v>6032</v>
      </c>
      <c r="AE347" s="3">
        <v>6130</v>
      </c>
      <c r="AF347" s="3">
        <v>6191</v>
      </c>
      <c r="AG347" s="3">
        <v>6240</v>
      </c>
      <c r="AH347" s="3">
        <v>6288</v>
      </c>
      <c r="AI347" s="3">
        <v>6506</v>
      </c>
      <c r="AJ347" s="3">
        <v>6589</v>
      </c>
      <c r="AK347" s="3">
        <v>6753</v>
      </c>
      <c r="AL347" s="3">
        <v>6912</v>
      </c>
      <c r="AM347" s="3">
        <v>7072</v>
      </c>
      <c r="AN347" s="3">
        <v>7148</v>
      </c>
      <c r="AO347" s="3">
        <v>7264</v>
      </c>
      <c r="AP347" s="3">
        <v>7341</v>
      </c>
      <c r="AR347" s="4">
        <v>818.39464882943139</v>
      </c>
      <c r="AS347" s="5">
        <f t="shared" si="50"/>
        <v>2.0636314509592002</v>
      </c>
      <c r="AT347" s="5">
        <f t="shared" si="51"/>
        <v>1.6542980828695111</v>
      </c>
      <c r="AU347" s="5">
        <f t="shared" si="52"/>
        <v>2.4969721437222447</v>
      </c>
      <c r="AV347" s="5">
        <f t="shared" si="53"/>
        <v>1.8575351316427073</v>
      </c>
      <c r="AW347" s="5">
        <f t="shared" si="54"/>
        <v>1.9915126277476676</v>
      </c>
      <c r="AX347" s="5">
        <f t="shared" si="55"/>
        <v>2.4091643116673396</v>
      </c>
      <c r="AY347" s="5">
        <f t="shared" si="56"/>
        <v>2.6581566705857438</v>
      </c>
      <c r="AZ347">
        <f t="shared" si="57"/>
        <v>8950000</v>
      </c>
      <c r="BA347">
        <v>0</v>
      </c>
      <c r="BB347">
        <v>4840000</v>
      </c>
      <c r="BC347">
        <v>670000</v>
      </c>
      <c r="BD347">
        <v>0</v>
      </c>
      <c r="BE347">
        <v>70000</v>
      </c>
      <c r="BF347">
        <v>0</v>
      </c>
      <c r="BG347">
        <v>0</v>
      </c>
      <c r="BH347">
        <v>0</v>
      </c>
      <c r="BI347">
        <v>690000</v>
      </c>
      <c r="BJ347">
        <v>40000</v>
      </c>
      <c r="BK347">
        <v>0</v>
      </c>
      <c r="BL347">
        <v>0</v>
      </c>
      <c r="BM347">
        <v>390000</v>
      </c>
      <c r="BN347">
        <v>540000</v>
      </c>
      <c r="BO347">
        <v>770000</v>
      </c>
      <c r="BP347">
        <v>890000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50000</v>
      </c>
      <c r="CT347">
        <v>62.458100558659183</v>
      </c>
      <c r="CU347">
        <v>22.234636871508382</v>
      </c>
      <c r="CV347">
        <v>14.7486033519553</v>
      </c>
      <c r="CW347">
        <v>0</v>
      </c>
      <c r="CX347">
        <v>0.55865921787709505</v>
      </c>
      <c r="CY347">
        <v>68.826815642458101</v>
      </c>
      <c r="CZ347">
        <v>20.446927374301676</v>
      </c>
      <c r="DA347">
        <v>10.1675977653631</v>
      </c>
      <c r="DB347">
        <v>0</v>
      </c>
      <c r="DC347">
        <v>0.55865921787709505</v>
      </c>
      <c r="DD347">
        <v>69.832402234636845</v>
      </c>
      <c r="DE347">
        <v>19.664804469273754</v>
      </c>
      <c r="DF347">
        <v>9.94413407821229</v>
      </c>
      <c r="DG347">
        <v>0</v>
      </c>
      <c r="DH347">
        <v>0.55865921787709505</v>
      </c>
      <c r="DI347">
        <v>70.055865921787714</v>
      </c>
      <c r="DJ347">
        <v>19.441340782122914</v>
      </c>
      <c r="DK347">
        <v>9.94413407821229</v>
      </c>
      <c r="DL347">
        <v>0</v>
      </c>
      <c r="DM347">
        <v>0.55865921787709505</v>
      </c>
      <c r="DN347">
        <v>70.055865921787714</v>
      </c>
      <c r="DO347">
        <v>19.441340782122914</v>
      </c>
      <c r="DP347">
        <v>9.94413407821229</v>
      </c>
      <c r="DQ347">
        <v>0</v>
      </c>
      <c r="DR347">
        <v>0.55865921787709505</v>
      </c>
      <c r="DS347" t="s">
        <v>768</v>
      </c>
      <c r="DT347" t="s">
        <v>768</v>
      </c>
      <c r="DU347" t="s">
        <v>768</v>
      </c>
      <c r="DV347" t="s">
        <v>768</v>
      </c>
      <c r="DW347" t="s">
        <v>768</v>
      </c>
      <c r="DX347" t="s">
        <v>768</v>
      </c>
      <c r="DY347" t="s">
        <v>768</v>
      </c>
      <c r="DZ347" t="s">
        <v>768</v>
      </c>
      <c r="EA347" t="s">
        <v>768</v>
      </c>
      <c r="EB347" t="s">
        <v>768</v>
      </c>
      <c r="EC347" t="s">
        <v>768</v>
      </c>
      <c r="ED347" t="s">
        <v>889</v>
      </c>
      <c r="EE347" t="s">
        <v>887</v>
      </c>
      <c r="EF347" t="s">
        <v>746</v>
      </c>
      <c r="EG347" t="s">
        <v>760</v>
      </c>
    </row>
    <row r="348" spans="1:137" ht="14.55" customHeight="1" x14ac:dyDescent="0.3">
      <c r="A348" t="s">
        <v>1155</v>
      </c>
      <c r="B348">
        <v>74220</v>
      </c>
      <c r="C348" t="s">
        <v>1156</v>
      </c>
      <c r="D348" t="s">
        <v>543</v>
      </c>
      <c r="E348" t="s">
        <v>879</v>
      </c>
      <c r="F348" t="s">
        <v>742</v>
      </c>
      <c r="G348" t="s">
        <v>892</v>
      </c>
      <c r="H348" s="3">
        <v>25078067.600299999</v>
      </c>
      <c r="I348">
        <v>2514</v>
      </c>
      <c r="J348" s="3">
        <v>2507.8067600300001</v>
      </c>
      <c r="K348">
        <v>402</v>
      </c>
      <c r="L348">
        <v>825</v>
      </c>
      <c r="M348">
        <v>529.69908790482498</v>
      </c>
      <c r="N348">
        <v>97.775032802271795</v>
      </c>
      <c r="O348">
        <v>0</v>
      </c>
      <c r="P348">
        <v>31.525806427001999</v>
      </c>
      <c r="Q348">
        <v>5.5931653976440403</v>
      </c>
      <c r="R348">
        <v>3.84033155441284</v>
      </c>
      <c r="S348" t="s">
        <v>881</v>
      </c>
      <c r="T348" t="s">
        <v>1157</v>
      </c>
      <c r="U348" t="s">
        <v>1156</v>
      </c>
      <c r="V348" t="s">
        <v>1156</v>
      </c>
      <c r="W348" s="3">
        <v>7994</v>
      </c>
      <c r="X348" s="3">
        <v>25070000</v>
      </c>
      <c r="Y348">
        <v>2</v>
      </c>
      <c r="Z348" s="3">
        <v>3652</v>
      </c>
      <c r="AA348" s="3">
        <v>4067</v>
      </c>
      <c r="AB348" s="3">
        <v>5269</v>
      </c>
      <c r="AC348" s="3">
        <v>5924</v>
      </c>
      <c r="AD348" s="3">
        <v>6141</v>
      </c>
      <c r="AE348" s="3">
        <v>6365</v>
      </c>
      <c r="AF348" s="3">
        <v>6589</v>
      </c>
      <c r="AG348" s="3">
        <v>6956</v>
      </c>
      <c r="AH348" s="3">
        <v>7008</v>
      </c>
      <c r="AI348" s="3">
        <v>7125</v>
      </c>
      <c r="AJ348" s="3">
        <v>7245</v>
      </c>
      <c r="AK348" s="3">
        <v>7366</v>
      </c>
      <c r="AL348" s="3">
        <v>7585</v>
      </c>
      <c r="AM348" s="3">
        <v>7923</v>
      </c>
      <c r="AN348" s="3">
        <v>7994</v>
      </c>
      <c r="AO348" s="3">
        <v>8033</v>
      </c>
      <c r="AP348" s="3">
        <v>8072</v>
      </c>
      <c r="AQ348" s="3">
        <v>8170</v>
      </c>
      <c r="AR348" s="4">
        <v>321.97846031112886</v>
      </c>
      <c r="AS348" s="5">
        <f t="shared" si="50"/>
        <v>1.4204545454545454</v>
      </c>
      <c r="AT348" s="5">
        <f t="shared" si="51"/>
        <v>3.283883834658361</v>
      </c>
      <c r="AU348" s="5">
        <f t="shared" si="52"/>
        <v>2.5052192066805845</v>
      </c>
      <c r="AV348" s="5">
        <f t="shared" si="53"/>
        <v>2.2507208984671423</v>
      </c>
      <c r="AW348" s="5">
        <f t="shared" si="54"/>
        <v>2.6045357902197024</v>
      </c>
      <c r="AX348" s="5">
        <f t="shared" si="55"/>
        <v>2.6598975137597272</v>
      </c>
      <c r="AY348" s="5">
        <f t="shared" si="56"/>
        <v>3.2710695361297772</v>
      </c>
      <c r="AZ348">
        <f t="shared" si="57"/>
        <v>25150000</v>
      </c>
      <c r="BA348">
        <v>0</v>
      </c>
      <c r="BB348">
        <v>3640000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750000</v>
      </c>
      <c r="BJ348">
        <v>5820000</v>
      </c>
      <c r="BK348">
        <v>0</v>
      </c>
      <c r="BL348">
        <v>0</v>
      </c>
      <c r="BM348">
        <v>630000</v>
      </c>
      <c r="BN348">
        <v>6590000</v>
      </c>
      <c r="BO348">
        <v>1230000</v>
      </c>
      <c r="BP348">
        <v>2240000</v>
      </c>
      <c r="BQ348">
        <v>90000</v>
      </c>
      <c r="BR348">
        <v>4160000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T348">
        <v>13.399602385685931</v>
      </c>
      <c r="CU348">
        <v>62.306163021868784</v>
      </c>
      <c r="CV348">
        <v>24.294234592445299</v>
      </c>
      <c r="CW348">
        <v>0</v>
      </c>
      <c r="CX348">
        <v>0</v>
      </c>
      <c r="CY348">
        <v>15.62624254473163</v>
      </c>
      <c r="CZ348">
        <v>57.733598409542779</v>
      </c>
      <c r="DA348">
        <v>26.640159045725682</v>
      </c>
      <c r="DB348">
        <v>0</v>
      </c>
      <c r="DC348">
        <v>0</v>
      </c>
      <c r="DD348">
        <v>16.58051689860833</v>
      </c>
      <c r="DE348">
        <v>57.335984095427442</v>
      </c>
      <c r="DF348">
        <v>26.0834990059642</v>
      </c>
      <c r="DG348">
        <v>0</v>
      </c>
      <c r="DH348">
        <v>0</v>
      </c>
      <c r="DI348">
        <v>17.45526838966201</v>
      </c>
      <c r="DJ348">
        <v>56.739562624254447</v>
      </c>
      <c r="DK348">
        <v>25.805168986083501</v>
      </c>
      <c r="DL348">
        <v>0</v>
      </c>
      <c r="DM348">
        <v>0</v>
      </c>
      <c r="DN348">
        <v>17.45526838966201</v>
      </c>
      <c r="DO348">
        <v>56.739562624254447</v>
      </c>
      <c r="DP348">
        <v>25.805168986083501</v>
      </c>
      <c r="DQ348">
        <v>0</v>
      </c>
      <c r="DR348">
        <v>0</v>
      </c>
      <c r="DS348" t="s">
        <v>312</v>
      </c>
      <c r="DT348" t="s">
        <v>313</v>
      </c>
      <c r="DU348">
        <v>8150</v>
      </c>
      <c r="DV348" t="s">
        <v>547</v>
      </c>
      <c r="DW348" t="s">
        <v>548</v>
      </c>
      <c r="DX348">
        <v>86</v>
      </c>
      <c r="DY348">
        <v>130</v>
      </c>
      <c r="DZ348">
        <v>216</v>
      </c>
      <c r="EA348">
        <v>606779</v>
      </c>
      <c r="EB348">
        <v>388178</v>
      </c>
      <c r="EC348">
        <v>994957</v>
      </c>
      <c r="ED348" t="s">
        <v>807</v>
      </c>
      <c r="EE348" t="s">
        <v>808</v>
      </c>
      <c r="EF348" t="s">
        <v>746</v>
      </c>
      <c r="EG348" t="s">
        <v>760</v>
      </c>
    </row>
    <row r="349" spans="1:137" ht="14.55" customHeight="1" x14ac:dyDescent="0.3">
      <c r="A349" t="s">
        <v>1158</v>
      </c>
      <c r="B349">
        <v>74222</v>
      </c>
      <c r="C349" t="s">
        <v>1159</v>
      </c>
      <c r="D349" t="s">
        <v>878</v>
      </c>
      <c r="E349" t="s">
        <v>879</v>
      </c>
      <c r="F349" t="s">
        <v>742</v>
      </c>
      <c r="G349" t="s">
        <v>887</v>
      </c>
      <c r="H349" s="3">
        <v>9788750.0975100007</v>
      </c>
      <c r="I349">
        <v>976</v>
      </c>
      <c r="J349" s="3">
        <v>978.87500975199998</v>
      </c>
      <c r="K349">
        <v>465</v>
      </c>
      <c r="L349">
        <v>1494</v>
      </c>
      <c r="M349">
        <v>844.37672064777303</v>
      </c>
      <c r="N349">
        <v>210.84860443570599</v>
      </c>
      <c r="O349">
        <v>0</v>
      </c>
      <c r="P349">
        <v>62.861888885498097</v>
      </c>
      <c r="Q349">
        <v>19.238059997558601</v>
      </c>
      <c r="R349">
        <v>10.6652889251709</v>
      </c>
      <c r="S349" t="s">
        <v>881</v>
      </c>
      <c r="T349" t="s">
        <v>1160</v>
      </c>
      <c r="U349" t="s">
        <v>1159</v>
      </c>
      <c r="V349" t="s">
        <v>1159</v>
      </c>
      <c r="W349" s="3">
        <v>510</v>
      </c>
      <c r="X349" s="3">
        <v>9800000</v>
      </c>
      <c r="Y349">
        <v>3</v>
      </c>
      <c r="Z349" s="3">
        <v>342</v>
      </c>
      <c r="AA349" s="3">
        <v>367</v>
      </c>
      <c r="AB349" s="3">
        <v>420</v>
      </c>
      <c r="AC349" s="3">
        <v>447</v>
      </c>
      <c r="AD349" s="3">
        <v>452</v>
      </c>
      <c r="AE349" s="3">
        <v>466</v>
      </c>
      <c r="AF349" s="3">
        <v>472</v>
      </c>
      <c r="AG349" s="3">
        <v>477</v>
      </c>
      <c r="AH349" s="3">
        <v>482</v>
      </c>
      <c r="AI349" s="3">
        <v>486</v>
      </c>
      <c r="AJ349" s="3">
        <v>486</v>
      </c>
      <c r="AK349" s="3">
        <v>495</v>
      </c>
      <c r="AL349" s="3">
        <v>504</v>
      </c>
      <c r="AM349" s="3">
        <v>513</v>
      </c>
      <c r="AN349" s="3">
        <v>510</v>
      </c>
      <c r="AO349" s="3">
        <v>507</v>
      </c>
      <c r="AP349" s="3">
        <v>504</v>
      </c>
      <c r="AR349" s="4">
        <v>51.428571428571431</v>
      </c>
      <c r="AS349" s="5">
        <f t="shared" si="50"/>
        <v>0.91374269005847952</v>
      </c>
      <c r="AT349" s="5">
        <f t="shared" si="51"/>
        <v>1.6046018770814412</v>
      </c>
      <c r="AU349" s="5">
        <f t="shared" si="52"/>
        <v>1.2380952380952381</v>
      </c>
      <c r="AV349" s="5">
        <f t="shared" si="53"/>
        <v>0.67796610169491522</v>
      </c>
      <c r="AW349" s="5">
        <f t="shared" si="54"/>
        <v>1.3415892672858616</v>
      </c>
      <c r="AX349" s="5">
        <f t="shared" si="55"/>
        <v>1</v>
      </c>
      <c r="AY349" s="5">
        <f t="shared" si="56"/>
        <v>1.2802275960170697</v>
      </c>
      <c r="AZ349">
        <f t="shared" si="57"/>
        <v>9790000</v>
      </c>
      <c r="BA349">
        <v>0</v>
      </c>
      <c r="BB349">
        <v>360000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2550000</v>
      </c>
      <c r="BN349">
        <v>0</v>
      </c>
      <c r="BO349">
        <v>10000</v>
      </c>
      <c r="BP349">
        <v>0</v>
      </c>
      <c r="BQ349">
        <v>1920000</v>
      </c>
      <c r="BR349">
        <v>4600000</v>
      </c>
      <c r="BS349">
        <v>350000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T349">
        <v>3.5750766087844701</v>
      </c>
      <c r="CU349">
        <v>26.2512768130746</v>
      </c>
      <c r="CV349">
        <v>70.173646578140975</v>
      </c>
      <c r="CW349">
        <v>0</v>
      </c>
      <c r="CX349">
        <v>0</v>
      </c>
      <c r="CY349">
        <v>3.5750766087844701</v>
      </c>
      <c r="CZ349">
        <v>26.353421859039873</v>
      </c>
      <c r="DA349">
        <v>70.071501532175674</v>
      </c>
      <c r="DB349">
        <v>0</v>
      </c>
      <c r="DC349">
        <v>0</v>
      </c>
      <c r="DD349">
        <v>3.6772216547497401</v>
      </c>
      <c r="DE349">
        <v>26.149131767109271</v>
      </c>
      <c r="DF349">
        <v>70.173646578140975</v>
      </c>
      <c r="DG349">
        <v>0</v>
      </c>
      <c r="DH349">
        <v>0</v>
      </c>
      <c r="DI349">
        <v>3.6772216547497401</v>
      </c>
      <c r="DJ349">
        <v>26.149131767109271</v>
      </c>
      <c r="DK349">
        <v>70.173646578140975</v>
      </c>
      <c r="DL349">
        <v>0</v>
      </c>
      <c r="DM349">
        <v>0</v>
      </c>
      <c r="DN349">
        <v>3.6772216547497401</v>
      </c>
      <c r="DO349">
        <v>26.149131767109271</v>
      </c>
      <c r="DP349">
        <v>70.173646578140975</v>
      </c>
      <c r="DQ349">
        <v>0</v>
      </c>
      <c r="DR349">
        <v>0</v>
      </c>
      <c r="DS349" t="s">
        <v>768</v>
      </c>
      <c r="DT349" t="s">
        <v>768</v>
      </c>
      <c r="DU349" t="s">
        <v>768</v>
      </c>
      <c r="DV349" t="s">
        <v>768</v>
      </c>
      <c r="DW349" t="s">
        <v>768</v>
      </c>
      <c r="DX349" t="s">
        <v>768</v>
      </c>
      <c r="DY349" t="s">
        <v>768</v>
      </c>
      <c r="DZ349" t="s">
        <v>768</v>
      </c>
      <c r="EA349" t="s">
        <v>768</v>
      </c>
      <c r="EB349" t="s">
        <v>768</v>
      </c>
      <c r="EC349" t="s">
        <v>768</v>
      </c>
      <c r="ED349" t="s">
        <v>909</v>
      </c>
      <c r="EE349" t="s">
        <v>910</v>
      </c>
      <c r="EF349" t="s">
        <v>753</v>
      </c>
      <c r="EG349" t="s">
        <v>754</v>
      </c>
    </row>
    <row r="350" spans="1:137" ht="14.55" customHeight="1" x14ac:dyDescent="0.3">
      <c r="A350" t="s">
        <v>1161</v>
      </c>
      <c r="B350">
        <v>74224</v>
      </c>
      <c r="C350" t="s">
        <v>892</v>
      </c>
      <c r="D350" t="s">
        <v>543</v>
      </c>
      <c r="E350" t="s">
        <v>879</v>
      </c>
      <c r="F350" t="s">
        <v>742</v>
      </c>
      <c r="G350" t="s">
        <v>892</v>
      </c>
      <c r="H350" s="3">
        <v>17884026.659600001</v>
      </c>
      <c r="I350">
        <v>1786</v>
      </c>
      <c r="J350" s="3">
        <v>1788.4026659600001</v>
      </c>
      <c r="K350">
        <v>497</v>
      </c>
      <c r="L350">
        <v>1838</v>
      </c>
      <c r="M350">
        <v>835.420917799064</v>
      </c>
      <c r="N350">
        <v>265.629940900669</v>
      </c>
      <c r="O350">
        <v>0</v>
      </c>
      <c r="P350">
        <v>66.718940734863295</v>
      </c>
      <c r="Q350">
        <v>8.0249567031860405</v>
      </c>
      <c r="R350">
        <v>6.4118003845214799</v>
      </c>
      <c r="S350" t="s">
        <v>881</v>
      </c>
      <c r="T350" t="s">
        <v>1162</v>
      </c>
      <c r="U350" t="s">
        <v>892</v>
      </c>
      <c r="V350" t="s">
        <v>892</v>
      </c>
      <c r="W350" s="3">
        <v>11339</v>
      </c>
      <c r="X350" s="3">
        <v>17890000</v>
      </c>
      <c r="Y350">
        <v>2</v>
      </c>
      <c r="Z350" s="3">
        <v>6627</v>
      </c>
      <c r="AA350" s="3">
        <v>7116</v>
      </c>
      <c r="AB350" s="3">
        <v>8538</v>
      </c>
      <c r="AC350" s="3">
        <v>9763</v>
      </c>
      <c r="AD350" s="3">
        <v>9912</v>
      </c>
      <c r="AE350" s="3">
        <v>10061</v>
      </c>
      <c r="AF350" s="3">
        <v>10345</v>
      </c>
      <c r="AG350" s="3">
        <v>10446</v>
      </c>
      <c r="AH350" s="3">
        <v>10510</v>
      </c>
      <c r="AI350" s="3">
        <v>10635</v>
      </c>
      <c r="AJ350" s="3">
        <v>11184</v>
      </c>
      <c r="AK350" s="3">
        <v>11465</v>
      </c>
      <c r="AL350" s="3">
        <v>11659</v>
      </c>
      <c r="AM350" s="3">
        <v>11795</v>
      </c>
      <c r="AN350" s="3">
        <v>11339</v>
      </c>
      <c r="AO350" s="3">
        <v>11175</v>
      </c>
      <c r="AP350" s="3">
        <v>11149</v>
      </c>
      <c r="AQ350" s="3">
        <v>11263</v>
      </c>
      <c r="AR350" s="4">
        <v>623.19731693683627</v>
      </c>
      <c r="AS350" s="5">
        <f t="shared" si="50"/>
        <v>0.92236306020823911</v>
      </c>
      <c r="AT350" s="5">
        <f t="shared" si="51"/>
        <v>2.2203485103991003</v>
      </c>
      <c r="AU350" s="5">
        <f t="shared" si="52"/>
        <v>2.1164207074256267</v>
      </c>
      <c r="AV350" s="5">
        <f t="shared" si="53"/>
        <v>0.77718704688255202</v>
      </c>
      <c r="AW350" s="5">
        <f t="shared" si="54"/>
        <v>1.6962692727611643</v>
      </c>
      <c r="AX350" s="5">
        <f t="shared" si="55"/>
        <v>1.5290466151323494</v>
      </c>
      <c r="AY350" s="5">
        <f t="shared" si="56"/>
        <v>1.8442163304091777</v>
      </c>
      <c r="AZ350">
        <f t="shared" si="57"/>
        <v>17860000</v>
      </c>
      <c r="BA350">
        <v>290000</v>
      </c>
      <c r="BB350">
        <v>2440000</v>
      </c>
      <c r="BC350">
        <v>930000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9260000</v>
      </c>
      <c r="BN350">
        <v>90000</v>
      </c>
      <c r="BO350">
        <v>810000</v>
      </c>
      <c r="BP350">
        <v>380000</v>
      </c>
      <c r="BQ350">
        <v>1580000</v>
      </c>
      <c r="BR350">
        <v>1560000</v>
      </c>
      <c r="BS350">
        <v>520000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T350">
        <v>17.021276595744638</v>
      </c>
      <c r="CU350">
        <v>60.526315789473657</v>
      </c>
      <c r="CV350">
        <v>22.452407614781677</v>
      </c>
      <c r="CW350">
        <v>0</v>
      </c>
      <c r="CX350">
        <v>0</v>
      </c>
      <c r="CY350">
        <v>18.924972004479269</v>
      </c>
      <c r="CZ350">
        <v>58.622620380739107</v>
      </c>
      <c r="DA350">
        <v>22.45240761478167</v>
      </c>
      <c r="DB350">
        <v>0</v>
      </c>
      <c r="DC350">
        <v>0</v>
      </c>
      <c r="DD350">
        <v>19.428891377379571</v>
      </c>
      <c r="DE350">
        <v>57.950727883538661</v>
      </c>
      <c r="DF350">
        <v>22.620380739081771</v>
      </c>
      <c r="DG350">
        <v>0</v>
      </c>
      <c r="DH350">
        <v>0</v>
      </c>
      <c r="DI350">
        <v>20.49272116461367</v>
      </c>
      <c r="DJ350">
        <v>56.886898096304556</v>
      </c>
      <c r="DK350">
        <v>22.620380739081771</v>
      </c>
      <c r="DL350">
        <v>0</v>
      </c>
      <c r="DM350">
        <v>0</v>
      </c>
      <c r="DN350">
        <v>20.49272116461367</v>
      </c>
      <c r="DO350">
        <v>56.886898096304556</v>
      </c>
      <c r="DP350">
        <v>22.620380739081771</v>
      </c>
      <c r="DQ350">
        <v>0</v>
      </c>
      <c r="DR350">
        <v>0</v>
      </c>
      <c r="DS350" t="s">
        <v>564</v>
      </c>
      <c r="DT350" t="s">
        <v>337</v>
      </c>
      <c r="DU350">
        <v>11155</v>
      </c>
      <c r="DV350" t="s">
        <v>547</v>
      </c>
      <c r="DW350" t="s">
        <v>548</v>
      </c>
      <c r="DX350">
        <v>86</v>
      </c>
      <c r="DY350">
        <v>130</v>
      </c>
      <c r="DZ350">
        <v>216</v>
      </c>
      <c r="EA350">
        <v>606779</v>
      </c>
      <c r="EB350">
        <v>388178</v>
      </c>
      <c r="EC350">
        <v>994957</v>
      </c>
      <c r="ED350" t="s">
        <v>894</v>
      </c>
      <c r="EE350" t="s">
        <v>895</v>
      </c>
      <c r="EF350" t="s">
        <v>746</v>
      </c>
      <c r="EG350" t="s">
        <v>747</v>
      </c>
    </row>
    <row r="351" spans="1:137" ht="14.55" customHeight="1" x14ac:dyDescent="0.3">
      <c r="A351" t="s">
        <v>1163</v>
      </c>
      <c r="B351">
        <v>74229</v>
      </c>
      <c r="C351" t="s">
        <v>1068</v>
      </c>
      <c r="D351" t="s">
        <v>543</v>
      </c>
      <c r="E351" t="s">
        <v>879</v>
      </c>
      <c r="F351" t="s">
        <v>742</v>
      </c>
      <c r="G351" t="s">
        <v>924</v>
      </c>
      <c r="H351" s="3">
        <v>12510548.630100001</v>
      </c>
      <c r="I351">
        <v>1256</v>
      </c>
      <c r="J351" s="3">
        <v>1251.05486301</v>
      </c>
      <c r="K351">
        <v>490</v>
      </c>
      <c r="L351">
        <v>1468</v>
      </c>
      <c r="M351">
        <v>734.11490847529399</v>
      </c>
      <c r="N351">
        <v>254.41320244847</v>
      </c>
      <c r="O351">
        <v>0</v>
      </c>
      <c r="P351">
        <v>46.789031982421903</v>
      </c>
      <c r="Q351">
        <v>10.2262372970581</v>
      </c>
      <c r="R351">
        <v>7.7130312919616699</v>
      </c>
      <c r="S351" t="s">
        <v>881</v>
      </c>
      <c r="T351" t="s">
        <v>1164</v>
      </c>
      <c r="U351" t="s">
        <v>1068</v>
      </c>
      <c r="V351" t="s">
        <v>1068</v>
      </c>
      <c r="W351" s="3">
        <v>3613</v>
      </c>
      <c r="X351" s="3">
        <v>12490000</v>
      </c>
      <c r="Y351">
        <v>2</v>
      </c>
      <c r="Z351" s="3">
        <v>2088</v>
      </c>
      <c r="AA351" s="3">
        <v>2337</v>
      </c>
      <c r="AB351" s="3">
        <v>2513</v>
      </c>
      <c r="AC351" s="3">
        <v>2939</v>
      </c>
      <c r="AD351" s="3">
        <v>3001</v>
      </c>
      <c r="AE351" s="3">
        <v>3064</v>
      </c>
      <c r="AF351" s="3">
        <v>3114</v>
      </c>
      <c r="AG351" s="3">
        <v>3157</v>
      </c>
      <c r="AH351" s="3">
        <v>3232</v>
      </c>
      <c r="AI351" s="3">
        <v>3297</v>
      </c>
      <c r="AJ351" s="3">
        <v>3362</v>
      </c>
      <c r="AK351" s="3">
        <v>3549</v>
      </c>
      <c r="AL351" s="3">
        <v>3571</v>
      </c>
      <c r="AM351" s="3">
        <v>3601</v>
      </c>
      <c r="AN351" s="3">
        <v>3613</v>
      </c>
      <c r="AO351" s="3">
        <v>3624</v>
      </c>
      <c r="AP351" s="3">
        <v>3671</v>
      </c>
      <c r="AQ351" s="3">
        <v>3714</v>
      </c>
      <c r="AR351" s="4">
        <v>293.91513210568456</v>
      </c>
      <c r="AS351" s="5">
        <f t="shared" si="50"/>
        <v>1.4906609195402298</v>
      </c>
      <c r="AT351" s="5">
        <f t="shared" si="51"/>
        <v>0.83678029762753769</v>
      </c>
      <c r="AU351" s="5">
        <f t="shared" si="52"/>
        <v>2.3915638678869877</v>
      </c>
      <c r="AV351" s="5">
        <f t="shared" si="53"/>
        <v>1.7886962106615285</v>
      </c>
      <c r="AW351" s="5">
        <f t="shared" si="54"/>
        <v>1.1973180076628354</v>
      </c>
      <c r="AX351" s="5">
        <f t="shared" si="55"/>
        <v>2.3040191006764821</v>
      </c>
      <c r="AY351" s="5">
        <f t="shared" si="56"/>
        <v>2.0490317904111008</v>
      </c>
      <c r="AZ351">
        <f t="shared" si="57"/>
        <v>12560000</v>
      </c>
      <c r="BA351">
        <v>0</v>
      </c>
      <c r="BB351">
        <v>2600000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1290000</v>
      </c>
      <c r="BK351">
        <v>0</v>
      </c>
      <c r="BL351">
        <v>0</v>
      </c>
      <c r="BM351">
        <v>740000</v>
      </c>
      <c r="BN351">
        <v>2230000</v>
      </c>
      <c r="BO351">
        <v>0</v>
      </c>
      <c r="BP351">
        <v>2670000</v>
      </c>
      <c r="BQ351">
        <v>2620000</v>
      </c>
      <c r="BR351">
        <v>90000</v>
      </c>
      <c r="BS351">
        <v>320000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T351">
        <v>21.5764331210191</v>
      </c>
      <c r="CU351">
        <v>32.643312101910801</v>
      </c>
      <c r="CV351">
        <v>45.78025477707002</v>
      </c>
      <c r="CW351">
        <v>0</v>
      </c>
      <c r="CX351">
        <v>0</v>
      </c>
      <c r="CY351">
        <v>20.143312101910801</v>
      </c>
      <c r="CZ351">
        <v>34.474522292993584</v>
      </c>
      <c r="DA351">
        <v>45.382165605095537</v>
      </c>
      <c r="DB351">
        <v>0</v>
      </c>
      <c r="DC351">
        <v>0</v>
      </c>
      <c r="DD351">
        <v>20.700636942675199</v>
      </c>
      <c r="DE351">
        <v>33.917197452229331</v>
      </c>
      <c r="DF351">
        <v>45.382165605095537</v>
      </c>
      <c r="DG351">
        <v>0</v>
      </c>
      <c r="DH351">
        <v>0</v>
      </c>
      <c r="DI351">
        <v>20.700636942675199</v>
      </c>
      <c r="DJ351">
        <v>33.917197452229331</v>
      </c>
      <c r="DK351">
        <v>45.382165605095537</v>
      </c>
      <c r="DL351">
        <v>0</v>
      </c>
      <c r="DM351">
        <v>0</v>
      </c>
      <c r="DN351">
        <v>20.700636942675199</v>
      </c>
      <c r="DO351">
        <v>33.917197452229331</v>
      </c>
      <c r="DP351">
        <v>45.382165605095537</v>
      </c>
      <c r="DQ351">
        <v>0</v>
      </c>
      <c r="DR351">
        <v>0</v>
      </c>
      <c r="DS351" t="s">
        <v>312</v>
      </c>
      <c r="DT351" t="s">
        <v>313</v>
      </c>
      <c r="DU351">
        <v>3682</v>
      </c>
      <c r="DV351" t="s">
        <v>547</v>
      </c>
      <c r="DW351" t="s">
        <v>548</v>
      </c>
      <c r="DX351">
        <v>86</v>
      </c>
      <c r="DY351">
        <v>130</v>
      </c>
      <c r="DZ351">
        <v>216</v>
      </c>
      <c r="EA351">
        <v>606779</v>
      </c>
      <c r="EB351">
        <v>388178</v>
      </c>
      <c r="EC351">
        <v>994957</v>
      </c>
      <c r="ED351" t="s">
        <v>1067</v>
      </c>
      <c r="EE351" t="s">
        <v>1068</v>
      </c>
      <c r="EF351" t="s">
        <v>746</v>
      </c>
      <c r="EG351" t="s">
        <v>747</v>
      </c>
    </row>
    <row r="352" spans="1:137" ht="14.55" customHeight="1" x14ac:dyDescent="0.3">
      <c r="A352" t="s">
        <v>1165</v>
      </c>
      <c r="B352">
        <v>74237</v>
      </c>
      <c r="C352" t="s">
        <v>1166</v>
      </c>
      <c r="D352" t="s">
        <v>878</v>
      </c>
      <c r="E352" t="s">
        <v>879</v>
      </c>
      <c r="F352" t="s">
        <v>742</v>
      </c>
      <c r="G352" t="s">
        <v>880</v>
      </c>
      <c r="H352" s="3">
        <v>7380781.9387400001</v>
      </c>
      <c r="I352">
        <v>734</v>
      </c>
      <c r="J352" s="3">
        <v>738.07819387400002</v>
      </c>
      <c r="K352">
        <v>374</v>
      </c>
      <c r="L352">
        <v>1505</v>
      </c>
      <c r="M352">
        <v>788.11255140354001</v>
      </c>
      <c r="N352">
        <v>285.18988459471399</v>
      </c>
      <c r="O352">
        <v>0</v>
      </c>
      <c r="P352">
        <v>72.780677795410199</v>
      </c>
      <c r="Q352">
        <v>29.596479415893601</v>
      </c>
      <c r="R352">
        <v>11.3606262207031</v>
      </c>
      <c r="S352" t="s">
        <v>881</v>
      </c>
      <c r="T352" t="s">
        <v>1167</v>
      </c>
      <c r="U352" t="s">
        <v>1166</v>
      </c>
      <c r="V352" t="s">
        <v>1166</v>
      </c>
      <c r="W352" s="3">
        <v>840</v>
      </c>
      <c r="X352" s="3">
        <v>7380000</v>
      </c>
      <c r="Y352">
        <v>3</v>
      </c>
      <c r="Z352" s="3">
        <v>665</v>
      </c>
      <c r="AA352" s="3">
        <v>677</v>
      </c>
      <c r="AB352" s="3">
        <v>565</v>
      </c>
      <c r="AC352" s="3">
        <v>651</v>
      </c>
      <c r="AD352" s="3">
        <v>687</v>
      </c>
      <c r="AE352" s="3">
        <v>723</v>
      </c>
      <c r="AF352" s="3">
        <v>758</v>
      </c>
      <c r="AG352" s="3">
        <v>759</v>
      </c>
      <c r="AH352" s="3">
        <v>763</v>
      </c>
      <c r="AI352" s="3">
        <v>783</v>
      </c>
      <c r="AJ352" s="3">
        <v>801</v>
      </c>
      <c r="AK352" s="3">
        <v>819</v>
      </c>
      <c r="AL352" s="3">
        <v>818</v>
      </c>
      <c r="AM352" s="3">
        <v>816</v>
      </c>
      <c r="AN352" s="3">
        <v>840</v>
      </c>
      <c r="AO352" s="3">
        <v>863</v>
      </c>
      <c r="AP352" s="3">
        <v>886</v>
      </c>
      <c r="AR352" s="4">
        <v>120.05420054200542</v>
      </c>
      <c r="AS352" s="5">
        <f t="shared" si="50"/>
        <v>0.22556390977443611</v>
      </c>
      <c r="AT352" s="5">
        <f t="shared" si="51"/>
        <v>-1.8381749548662401</v>
      </c>
      <c r="AU352" s="5">
        <f t="shared" si="52"/>
        <v>3.4159292035398234</v>
      </c>
      <c r="AV352" s="5">
        <f t="shared" si="53"/>
        <v>1.6886543535620051</v>
      </c>
      <c r="AW352" s="5">
        <f t="shared" si="54"/>
        <v>-0.88456435205661199</v>
      </c>
      <c r="AX352" s="5">
        <f t="shared" si="55"/>
        <v>2.8407079646017697</v>
      </c>
      <c r="AY352" s="5">
        <f t="shared" si="56"/>
        <v>0.89819142450721401</v>
      </c>
      <c r="AZ352">
        <f t="shared" si="57"/>
        <v>7340000</v>
      </c>
      <c r="BA352">
        <v>0</v>
      </c>
      <c r="BB352">
        <v>420000</v>
      </c>
      <c r="BC352">
        <v>0</v>
      </c>
      <c r="BD352">
        <v>0</v>
      </c>
      <c r="BE352">
        <v>0</v>
      </c>
      <c r="BF352">
        <v>0</v>
      </c>
      <c r="BG352">
        <v>310000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2780000</v>
      </c>
      <c r="BQ352">
        <v>480000</v>
      </c>
      <c r="BR352">
        <v>3310000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40000</v>
      </c>
      <c r="CT352">
        <v>3.4059945504087201</v>
      </c>
      <c r="CU352">
        <v>0</v>
      </c>
      <c r="CV352">
        <v>96.049046321525893</v>
      </c>
      <c r="CW352">
        <v>0</v>
      </c>
      <c r="CX352">
        <v>0.54495912806539504</v>
      </c>
      <c r="CY352">
        <v>7.2207084468664906</v>
      </c>
      <c r="CZ352">
        <v>0.13623978201634901</v>
      </c>
      <c r="DA352">
        <v>92.0980926430518</v>
      </c>
      <c r="DB352">
        <v>0</v>
      </c>
      <c r="DC352">
        <v>0.54495912806539504</v>
      </c>
      <c r="DD352">
        <v>9.5367847411444195</v>
      </c>
      <c r="DE352">
        <v>0</v>
      </c>
      <c r="DF352">
        <v>89.918256130790198</v>
      </c>
      <c r="DG352">
        <v>0</v>
      </c>
      <c r="DH352">
        <v>0.54495912806539504</v>
      </c>
      <c r="DI352">
        <v>9.9455040871934592</v>
      </c>
      <c r="DJ352">
        <v>0</v>
      </c>
      <c r="DK352">
        <v>89.509536784741101</v>
      </c>
      <c r="DL352">
        <v>0</v>
      </c>
      <c r="DM352">
        <v>0.54495912806539504</v>
      </c>
      <c r="DN352">
        <v>9.9455040871934592</v>
      </c>
      <c r="DO352">
        <v>0</v>
      </c>
      <c r="DP352">
        <v>89.509536784741101</v>
      </c>
      <c r="DQ352">
        <v>0</v>
      </c>
      <c r="DR352">
        <v>0.54495912806539504</v>
      </c>
      <c r="DS352" t="s">
        <v>768</v>
      </c>
      <c r="DT352" t="s">
        <v>768</v>
      </c>
      <c r="DU352" t="s">
        <v>768</v>
      </c>
      <c r="DV352" t="s">
        <v>768</v>
      </c>
      <c r="DW352" t="s">
        <v>768</v>
      </c>
      <c r="DX352" t="s">
        <v>768</v>
      </c>
      <c r="DY352" t="s">
        <v>768</v>
      </c>
      <c r="DZ352" t="s">
        <v>768</v>
      </c>
      <c r="EA352" t="s">
        <v>768</v>
      </c>
      <c r="EB352" t="s">
        <v>768</v>
      </c>
      <c r="EC352" t="s">
        <v>768</v>
      </c>
      <c r="ED352" t="s">
        <v>909</v>
      </c>
      <c r="EE352" t="s">
        <v>910</v>
      </c>
      <c r="EF352" t="s">
        <v>753</v>
      </c>
      <c r="EG352" t="s">
        <v>754</v>
      </c>
    </row>
    <row r="353" spans="1:137" ht="14.55" customHeight="1" x14ac:dyDescent="0.3">
      <c r="A353" t="s">
        <v>1168</v>
      </c>
      <c r="B353">
        <v>74238</v>
      </c>
      <c r="C353" t="s">
        <v>1169</v>
      </c>
      <c r="D353" t="s">
        <v>878</v>
      </c>
      <c r="E353" t="s">
        <v>879</v>
      </c>
      <c r="F353" t="s">
        <v>742</v>
      </c>
      <c r="G353" t="s">
        <v>880</v>
      </c>
      <c r="H353" s="3">
        <v>40364184.283799998</v>
      </c>
      <c r="I353">
        <v>4036</v>
      </c>
      <c r="J353" s="3">
        <v>4036.41842838</v>
      </c>
      <c r="K353">
        <v>746</v>
      </c>
      <c r="L353">
        <v>2190</v>
      </c>
      <c r="M353">
        <v>1384.39169713564</v>
      </c>
      <c r="N353">
        <v>326.36446588751897</v>
      </c>
      <c r="O353">
        <v>0</v>
      </c>
      <c r="P353">
        <v>66.328048706054702</v>
      </c>
      <c r="Q353">
        <v>23.8461513519287</v>
      </c>
      <c r="R353">
        <v>10.372521400451699</v>
      </c>
      <c r="S353" t="s">
        <v>881</v>
      </c>
      <c r="T353" t="s">
        <v>1170</v>
      </c>
      <c r="U353" t="s">
        <v>1169</v>
      </c>
      <c r="V353" t="s">
        <v>1169</v>
      </c>
      <c r="W353" s="3">
        <v>1440</v>
      </c>
      <c r="X353" s="3">
        <v>40340000</v>
      </c>
      <c r="Y353">
        <v>3</v>
      </c>
      <c r="Z353" s="3">
        <v>877</v>
      </c>
      <c r="AA353" s="3">
        <v>914</v>
      </c>
      <c r="AB353" s="3">
        <v>1022</v>
      </c>
      <c r="AC353" s="3">
        <v>1151</v>
      </c>
      <c r="AD353" s="3">
        <v>1169</v>
      </c>
      <c r="AE353" s="3">
        <v>1187</v>
      </c>
      <c r="AF353" s="3">
        <v>1177</v>
      </c>
      <c r="AG353" s="3">
        <v>1180</v>
      </c>
      <c r="AH353" s="3">
        <v>1210</v>
      </c>
      <c r="AI353" s="3">
        <v>1244</v>
      </c>
      <c r="AJ353" s="3">
        <v>1278</v>
      </c>
      <c r="AK353" s="3">
        <v>1225</v>
      </c>
      <c r="AL353" s="3">
        <v>1241</v>
      </c>
      <c r="AM353" s="3">
        <v>1340</v>
      </c>
      <c r="AN353" s="3">
        <v>1440</v>
      </c>
      <c r="AO353" s="3">
        <v>1540</v>
      </c>
      <c r="AP353" s="3">
        <v>1558</v>
      </c>
      <c r="AR353" s="4">
        <v>38.621715418939019</v>
      </c>
      <c r="AS353" s="5">
        <f t="shared" si="50"/>
        <v>0.52736602052451542</v>
      </c>
      <c r="AT353" s="5">
        <f t="shared" si="51"/>
        <v>1.3129102844638951</v>
      </c>
      <c r="AU353" s="5">
        <f t="shared" si="52"/>
        <v>1.5166340508806262</v>
      </c>
      <c r="AV353" s="5">
        <f t="shared" si="53"/>
        <v>3.2370433305012747</v>
      </c>
      <c r="AW353" s="5">
        <f t="shared" si="54"/>
        <v>0.97256690589576766</v>
      </c>
      <c r="AX353" s="5">
        <f t="shared" si="55"/>
        <v>2.622309197651663</v>
      </c>
      <c r="AY353" s="5">
        <f t="shared" si="56"/>
        <v>2.0986779253597954</v>
      </c>
      <c r="AZ353">
        <f t="shared" si="57"/>
        <v>40350000</v>
      </c>
      <c r="BA353">
        <v>0</v>
      </c>
      <c r="BB353">
        <v>1550000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1970000</v>
      </c>
      <c r="BN353">
        <v>490000</v>
      </c>
      <c r="BO353">
        <v>800000</v>
      </c>
      <c r="BP353">
        <v>1000000</v>
      </c>
      <c r="BQ353">
        <v>4720000</v>
      </c>
      <c r="BR353">
        <v>15920000</v>
      </c>
      <c r="BS353">
        <v>9440000</v>
      </c>
      <c r="BT353">
        <v>600000</v>
      </c>
      <c r="BU353">
        <v>340000</v>
      </c>
      <c r="BV353">
        <v>0</v>
      </c>
      <c r="BW353">
        <v>1010000</v>
      </c>
      <c r="BX353">
        <v>2510000</v>
      </c>
      <c r="BY353">
        <v>0</v>
      </c>
      <c r="BZ353">
        <v>0</v>
      </c>
      <c r="CA353">
        <v>0</v>
      </c>
      <c r="CT353">
        <v>2.7757125154894702</v>
      </c>
      <c r="CU353">
        <v>7.8562577447335791</v>
      </c>
      <c r="CV353">
        <v>89.368029739776972</v>
      </c>
      <c r="CW353">
        <v>0</v>
      </c>
      <c r="CX353">
        <v>0</v>
      </c>
      <c r="CY353">
        <v>3.44485749690211</v>
      </c>
      <c r="CZ353">
        <v>7.0631970260223103</v>
      </c>
      <c r="DA353">
        <v>89.491945477075546</v>
      </c>
      <c r="DB353">
        <v>0</v>
      </c>
      <c r="DC353">
        <v>0</v>
      </c>
      <c r="DD353">
        <v>3.8413878562577501</v>
      </c>
      <c r="DE353">
        <v>8.0793060718711303</v>
      </c>
      <c r="DF353">
        <v>88.079306071871144</v>
      </c>
      <c r="DG353">
        <v>0</v>
      </c>
      <c r="DH353">
        <v>0</v>
      </c>
      <c r="DI353">
        <v>3.8413878562577501</v>
      </c>
      <c r="DJ353">
        <v>8.0793060718711303</v>
      </c>
      <c r="DK353">
        <v>88.079306071871144</v>
      </c>
      <c r="DL353">
        <v>0</v>
      </c>
      <c r="DM353">
        <v>0</v>
      </c>
      <c r="DN353">
        <v>3.8413878562577501</v>
      </c>
      <c r="DO353">
        <v>8.0793060718711303</v>
      </c>
      <c r="DP353">
        <v>88.079306071871144</v>
      </c>
      <c r="DQ353">
        <v>0</v>
      </c>
      <c r="DR353">
        <v>0</v>
      </c>
      <c r="DS353" t="s">
        <v>768</v>
      </c>
      <c r="DT353" t="s">
        <v>768</v>
      </c>
      <c r="DU353" t="s">
        <v>768</v>
      </c>
      <c r="DV353" t="s">
        <v>768</v>
      </c>
      <c r="DW353" t="s">
        <v>768</v>
      </c>
      <c r="DX353" t="s">
        <v>768</v>
      </c>
      <c r="DY353" t="s">
        <v>768</v>
      </c>
      <c r="DZ353" t="s">
        <v>768</v>
      </c>
      <c r="EA353" t="s">
        <v>768</v>
      </c>
      <c r="EB353" t="s">
        <v>768</v>
      </c>
      <c r="EC353" t="s">
        <v>768</v>
      </c>
      <c r="ED353" t="s">
        <v>909</v>
      </c>
      <c r="EE353" t="s">
        <v>910</v>
      </c>
      <c r="EF353" t="s">
        <v>753</v>
      </c>
      <c r="EG353" t="s">
        <v>754</v>
      </c>
    </row>
    <row r="354" spans="1:137" ht="14.55" customHeight="1" x14ac:dyDescent="0.3">
      <c r="A354" t="s">
        <v>1171</v>
      </c>
      <c r="B354">
        <v>74243</v>
      </c>
      <c r="C354" t="s">
        <v>913</v>
      </c>
      <c r="D354" t="s">
        <v>543</v>
      </c>
      <c r="E354" t="s">
        <v>879</v>
      </c>
      <c r="F354" t="s">
        <v>742</v>
      </c>
      <c r="G354" t="s">
        <v>913</v>
      </c>
      <c r="H354" s="3">
        <v>10654094.731799999</v>
      </c>
      <c r="I354">
        <v>1065</v>
      </c>
      <c r="J354" s="3">
        <v>1065.4094731799998</v>
      </c>
      <c r="K354">
        <v>411</v>
      </c>
      <c r="L354">
        <v>538</v>
      </c>
      <c r="M354">
        <v>469.32165525824502</v>
      </c>
      <c r="N354">
        <v>26.686287802683001</v>
      </c>
      <c r="O354">
        <v>0</v>
      </c>
      <c r="P354">
        <v>24.059585571289102</v>
      </c>
      <c r="Q354">
        <v>4.799560546875</v>
      </c>
      <c r="R354">
        <v>3.4515807628631601</v>
      </c>
      <c r="S354" t="s">
        <v>881</v>
      </c>
      <c r="T354" t="s">
        <v>1172</v>
      </c>
      <c r="U354" t="s">
        <v>913</v>
      </c>
      <c r="V354" t="s">
        <v>913</v>
      </c>
      <c r="W354" s="3">
        <v>14258</v>
      </c>
      <c r="X354" s="3">
        <v>10640000</v>
      </c>
      <c r="Y354">
        <v>2</v>
      </c>
      <c r="Z354" s="3">
        <v>6795</v>
      </c>
      <c r="AA354" s="3">
        <v>7922</v>
      </c>
      <c r="AB354" s="3">
        <v>9140</v>
      </c>
      <c r="AC354" s="3">
        <v>11019</v>
      </c>
      <c r="AD354" s="3">
        <v>11154</v>
      </c>
      <c r="AE354" s="3">
        <v>11362</v>
      </c>
      <c r="AF354" s="3">
        <v>11598</v>
      </c>
      <c r="AG354" s="3">
        <v>11836</v>
      </c>
      <c r="AH354" s="3">
        <v>11954</v>
      </c>
      <c r="AI354" s="3">
        <v>12099</v>
      </c>
      <c r="AJ354" s="3">
        <v>12561</v>
      </c>
      <c r="AK354" s="3">
        <v>13253</v>
      </c>
      <c r="AL354" s="3">
        <v>14085</v>
      </c>
      <c r="AM354" s="3">
        <v>14045</v>
      </c>
      <c r="AN354" s="3">
        <v>14258</v>
      </c>
      <c r="AO354" s="3">
        <v>15509</v>
      </c>
      <c r="AP354" s="3">
        <v>15873</v>
      </c>
      <c r="AQ354" s="3">
        <v>15840</v>
      </c>
      <c r="AR354" s="4">
        <v>1491.8233082706768</v>
      </c>
      <c r="AS354" s="5">
        <f t="shared" si="50"/>
        <v>2.0732155997056658</v>
      </c>
      <c r="AT354" s="5">
        <f t="shared" si="51"/>
        <v>1.7083228141041822</v>
      </c>
      <c r="AU354" s="5">
        <f t="shared" si="52"/>
        <v>2.6892778993435451</v>
      </c>
      <c r="AV354" s="5">
        <f t="shared" si="53"/>
        <v>3.6859803414381789</v>
      </c>
      <c r="AW354" s="5">
        <f t="shared" si="54"/>
        <v>2.0300393888239623</v>
      </c>
      <c r="AX354" s="5">
        <f t="shared" si="55"/>
        <v>3.683260393873085</v>
      </c>
      <c r="AY354" s="5">
        <f t="shared" si="56"/>
        <v>3.6107630809617564</v>
      </c>
      <c r="AZ354">
        <f t="shared" si="57"/>
        <v>10610000</v>
      </c>
      <c r="BA354">
        <v>0</v>
      </c>
      <c r="BB354">
        <v>3340000</v>
      </c>
      <c r="BC354">
        <v>280000</v>
      </c>
      <c r="BD354">
        <v>730000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3450000</v>
      </c>
      <c r="BK354">
        <v>200000</v>
      </c>
      <c r="BL354">
        <v>0</v>
      </c>
      <c r="BM354">
        <v>600000</v>
      </c>
      <c r="BN354">
        <v>290000</v>
      </c>
      <c r="BO354">
        <v>1320000</v>
      </c>
      <c r="BP354">
        <v>400000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T354">
        <v>35.909519321394932</v>
      </c>
      <c r="CU354">
        <v>60.885956644674863</v>
      </c>
      <c r="CV354">
        <v>3.2045240339302601</v>
      </c>
      <c r="CW354">
        <v>0</v>
      </c>
      <c r="CX354">
        <v>0</v>
      </c>
      <c r="CY354">
        <v>37.040527803958497</v>
      </c>
      <c r="CZ354">
        <v>59.754948162111248</v>
      </c>
      <c r="DA354">
        <v>3.2045240339302601</v>
      </c>
      <c r="DB354">
        <v>0</v>
      </c>
      <c r="DC354">
        <v>0</v>
      </c>
      <c r="DD354">
        <v>39.868049010367564</v>
      </c>
      <c r="DE354">
        <v>56.079170593779423</v>
      </c>
      <c r="DF354">
        <v>4.0527803958529702</v>
      </c>
      <c r="DG354">
        <v>0</v>
      </c>
      <c r="DH354">
        <v>0</v>
      </c>
      <c r="DI354">
        <v>40.999057492931158</v>
      </c>
      <c r="DJ354">
        <v>54.948162111215922</v>
      </c>
      <c r="DK354">
        <v>4.0527803958529702</v>
      </c>
      <c r="DL354">
        <v>0</v>
      </c>
      <c r="DM354">
        <v>0</v>
      </c>
      <c r="DN354">
        <v>40.999057492931158</v>
      </c>
      <c r="DO354">
        <v>55.230914231856829</v>
      </c>
      <c r="DP354">
        <v>3.7700282752120602</v>
      </c>
      <c r="DQ354">
        <v>0</v>
      </c>
      <c r="DR354">
        <v>0</v>
      </c>
      <c r="DS354" t="s">
        <v>564</v>
      </c>
      <c r="DT354" t="s">
        <v>313</v>
      </c>
      <c r="DU354">
        <v>15739</v>
      </c>
      <c r="DV354" t="s">
        <v>547</v>
      </c>
      <c r="DW354" t="s">
        <v>548</v>
      </c>
      <c r="DX354">
        <v>86</v>
      </c>
      <c r="DY354">
        <v>130</v>
      </c>
      <c r="DZ354">
        <v>216</v>
      </c>
      <c r="EA354">
        <v>606779</v>
      </c>
      <c r="EB354">
        <v>388178</v>
      </c>
      <c r="EC354">
        <v>994957</v>
      </c>
      <c r="ED354" t="s">
        <v>807</v>
      </c>
      <c r="EE354" t="s">
        <v>808</v>
      </c>
      <c r="EF354" t="s">
        <v>746</v>
      </c>
      <c r="EG354" t="s">
        <v>760</v>
      </c>
    </row>
    <row r="355" spans="1:137" ht="14.55" customHeight="1" x14ac:dyDescent="0.3">
      <c r="A355" t="s">
        <v>1173</v>
      </c>
      <c r="B355">
        <v>74244</v>
      </c>
      <c r="C355" t="s">
        <v>1174</v>
      </c>
      <c r="D355" t="s">
        <v>543</v>
      </c>
      <c r="E355" t="s">
        <v>879</v>
      </c>
      <c r="F355" t="s">
        <v>742</v>
      </c>
      <c r="G355" t="s">
        <v>892</v>
      </c>
      <c r="H355" s="3">
        <v>10940970.1414</v>
      </c>
      <c r="I355">
        <v>1093</v>
      </c>
      <c r="J355" s="3">
        <v>1094.0970141400001</v>
      </c>
      <c r="K355">
        <v>546</v>
      </c>
      <c r="L355">
        <v>1803</v>
      </c>
      <c r="M355">
        <v>907.86182413981396</v>
      </c>
      <c r="N355">
        <v>259.47139830828201</v>
      </c>
      <c r="O355">
        <v>0</v>
      </c>
      <c r="P355">
        <v>64.287979125976605</v>
      </c>
      <c r="Q355">
        <v>18.688177108764702</v>
      </c>
      <c r="R355">
        <v>12.529681205749499</v>
      </c>
      <c r="S355" t="s">
        <v>881</v>
      </c>
      <c r="T355" t="s">
        <v>1175</v>
      </c>
      <c r="U355" t="s">
        <v>1174</v>
      </c>
      <c r="V355" t="s">
        <v>1174</v>
      </c>
      <c r="W355" s="3">
        <v>836</v>
      </c>
      <c r="X355" s="3">
        <v>10940000</v>
      </c>
      <c r="Y355">
        <v>3</v>
      </c>
      <c r="Z355" s="3">
        <v>341</v>
      </c>
      <c r="AA355" s="3">
        <v>430</v>
      </c>
      <c r="AB355" s="3">
        <v>603</v>
      </c>
      <c r="AC355" s="3">
        <v>734</v>
      </c>
      <c r="AD355" s="3">
        <v>754</v>
      </c>
      <c r="AE355" s="3">
        <v>772</v>
      </c>
      <c r="AF355" s="3">
        <v>789</v>
      </c>
      <c r="AG355" s="3">
        <v>807</v>
      </c>
      <c r="AH355" s="3">
        <v>811</v>
      </c>
      <c r="AI355" s="3">
        <v>799</v>
      </c>
      <c r="AJ355" s="3">
        <v>806</v>
      </c>
      <c r="AK355" s="3">
        <v>812</v>
      </c>
      <c r="AL355" s="3">
        <v>818</v>
      </c>
      <c r="AM355" s="3">
        <v>829</v>
      </c>
      <c r="AN355" s="3">
        <v>836</v>
      </c>
      <c r="AO355" s="3">
        <v>837</v>
      </c>
      <c r="AP355" s="3">
        <v>839</v>
      </c>
      <c r="AQ355" s="3">
        <v>841</v>
      </c>
      <c r="AR355" s="4">
        <v>76.691042047531994</v>
      </c>
      <c r="AS355" s="5">
        <f t="shared" si="50"/>
        <v>3.2624633431085042</v>
      </c>
      <c r="AT355" s="5">
        <f t="shared" si="51"/>
        <v>4.4702842377260987</v>
      </c>
      <c r="AU355" s="5">
        <f t="shared" si="52"/>
        <v>3.0845771144278604</v>
      </c>
      <c r="AV355" s="5">
        <f t="shared" si="53"/>
        <v>0.63371356147021551</v>
      </c>
      <c r="AW355" s="5">
        <f t="shared" si="54"/>
        <v>4.5195790926341211</v>
      </c>
      <c r="AX355" s="5">
        <f t="shared" si="55"/>
        <v>1.9568822553897181</v>
      </c>
      <c r="AY355" s="5">
        <f t="shared" si="56"/>
        <v>3.9470555599587858</v>
      </c>
      <c r="AZ355">
        <f t="shared" si="57"/>
        <v>10960000</v>
      </c>
      <c r="BA355">
        <v>0</v>
      </c>
      <c r="BB355">
        <v>440000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2840000</v>
      </c>
      <c r="BN355">
        <v>470000</v>
      </c>
      <c r="BO355">
        <v>20000</v>
      </c>
      <c r="BP355">
        <v>0</v>
      </c>
      <c r="BQ355">
        <v>5420000</v>
      </c>
      <c r="BR355">
        <v>1070000</v>
      </c>
      <c r="BS355">
        <v>90000</v>
      </c>
      <c r="BT355">
        <v>0</v>
      </c>
      <c r="BU355">
        <v>0</v>
      </c>
      <c r="BV355">
        <v>0</v>
      </c>
      <c r="BW355">
        <v>610000</v>
      </c>
      <c r="BX355">
        <v>0</v>
      </c>
      <c r="BY355">
        <v>0</v>
      </c>
      <c r="BZ355">
        <v>0</v>
      </c>
      <c r="CA355">
        <v>0</v>
      </c>
      <c r="CT355">
        <v>3.8321167883211702</v>
      </c>
      <c r="CU355">
        <v>29.653284671532901</v>
      </c>
      <c r="CV355">
        <v>66.514598540146011</v>
      </c>
      <c r="CW355">
        <v>0</v>
      </c>
      <c r="CX355">
        <v>0</v>
      </c>
      <c r="CY355">
        <v>3.8321167883211702</v>
      </c>
      <c r="CZ355">
        <v>30.383211678832101</v>
      </c>
      <c r="DA355">
        <v>65.784671532846716</v>
      </c>
      <c r="DB355">
        <v>0</v>
      </c>
      <c r="DC355">
        <v>0</v>
      </c>
      <c r="DD355">
        <v>4.0145985401459896</v>
      </c>
      <c r="DE355">
        <v>30.383211678832133</v>
      </c>
      <c r="DF355">
        <v>65.60218978102192</v>
      </c>
      <c r="DG355">
        <v>0</v>
      </c>
      <c r="DH355">
        <v>0</v>
      </c>
      <c r="DI355">
        <v>4.0145985401459896</v>
      </c>
      <c r="DJ355">
        <v>30.383211678832133</v>
      </c>
      <c r="DK355">
        <v>65.60218978102192</v>
      </c>
      <c r="DL355">
        <v>0</v>
      </c>
      <c r="DM355">
        <v>0</v>
      </c>
      <c r="DN355">
        <v>4.0145985401459896</v>
      </c>
      <c r="DO355">
        <v>30.383211678832133</v>
      </c>
      <c r="DP355">
        <v>65.60218978102192</v>
      </c>
      <c r="DQ355">
        <v>0</v>
      </c>
      <c r="DR355">
        <v>0</v>
      </c>
      <c r="DS355" t="s">
        <v>312</v>
      </c>
      <c r="DT355" t="s">
        <v>337</v>
      </c>
      <c r="DU355">
        <v>840</v>
      </c>
      <c r="DV355" t="s">
        <v>547</v>
      </c>
      <c r="DW355" t="s">
        <v>548</v>
      </c>
      <c r="DX355">
        <v>86</v>
      </c>
      <c r="DY355">
        <v>130</v>
      </c>
      <c r="DZ355">
        <v>216</v>
      </c>
      <c r="EA355">
        <v>606779</v>
      </c>
      <c r="EB355">
        <v>388178</v>
      </c>
      <c r="EC355">
        <v>994957</v>
      </c>
      <c r="ED355" t="s">
        <v>894</v>
      </c>
      <c r="EE355" t="s">
        <v>895</v>
      </c>
      <c r="EF355" t="s">
        <v>746</v>
      </c>
      <c r="EG355" t="s">
        <v>760</v>
      </c>
    </row>
    <row r="356" spans="1:137" ht="14.55" customHeight="1" x14ac:dyDescent="0.3">
      <c r="A356" t="s">
        <v>1176</v>
      </c>
      <c r="B356">
        <v>74249</v>
      </c>
      <c r="C356" t="s">
        <v>945</v>
      </c>
      <c r="D356" t="s">
        <v>878</v>
      </c>
      <c r="E356" t="s">
        <v>879</v>
      </c>
      <c r="F356" t="s">
        <v>742</v>
      </c>
      <c r="G356" t="s">
        <v>880</v>
      </c>
      <c r="H356" s="3">
        <v>14382453.4145</v>
      </c>
      <c r="I356">
        <v>1440</v>
      </c>
      <c r="J356" s="3">
        <v>1438.2453414500001</v>
      </c>
      <c r="K356">
        <v>684</v>
      </c>
      <c r="L356">
        <v>1266</v>
      </c>
      <c r="M356">
        <v>889.28777242486797</v>
      </c>
      <c r="N356">
        <v>81.052326084594199</v>
      </c>
      <c r="O356">
        <v>0</v>
      </c>
      <c r="P356">
        <v>40.413375854492202</v>
      </c>
      <c r="Q356">
        <v>7.38149070739746</v>
      </c>
      <c r="R356">
        <v>5.2296175956726101</v>
      </c>
      <c r="S356" t="s">
        <v>881</v>
      </c>
      <c r="T356" t="s">
        <v>1177</v>
      </c>
      <c r="U356" t="s">
        <v>945</v>
      </c>
      <c r="V356" t="s">
        <v>945</v>
      </c>
      <c r="W356" s="3">
        <v>2412</v>
      </c>
      <c r="X356" s="3">
        <v>14380000</v>
      </c>
      <c r="Y356">
        <v>3</v>
      </c>
      <c r="Z356" s="3">
        <v>992</v>
      </c>
      <c r="AA356" s="3">
        <v>1400</v>
      </c>
      <c r="AB356" s="3">
        <v>1703</v>
      </c>
      <c r="AC356" s="3">
        <v>2027</v>
      </c>
      <c r="AD356" s="3">
        <v>2060</v>
      </c>
      <c r="AE356" s="3">
        <v>2110</v>
      </c>
      <c r="AF356" s="3">
        <v>2142</v>
      </c>
      <c r="AG356" s="3">
        <v>2172</v>
      </c>
      <c r="AH356" s="3">
        <v>2202</v>
      </c>
      <c r="AI356" s="3">
        <v>2219</v>
      </c>
      <c r="AJ356" s="3">
        <v>2236</v>
      </c>
      <c r="AK356" s="3">
        <v>2288</v>
      </c>
      <c r="AL356" s="3">
        <v>2340</v>
      </c>
      <c r="AM356" s="3">
        <v>2393</v>
      </c>
      <c r="AN356" s="3">
        <v>2412</v>
      </c>
      <c r="AO356" s="3">
        <v>2393</v>
      </c>
      <c r="AP356" s="3">
        <v>2487</v>
      </c>
      <c r="AR356" s="4">
        <v>172.94853963838665</v>
      </c>
      <c r="AS356" s="5">
        <f t="shared" si="50"/>
        <v>5.1411290322580649</v>
      </c>
      <c r="AT356" s="5">
        <f t="shared" si="51"/>
        <v>2.4047619047619051</v>
      </c>
      <c r="AU356" s="5">
        <f t="shared" si="52"/>
        <v>2.5778038755137995</v>
      </c>
      <c r="AV356" s="5">
        <f t="shared" si="53"/>
        <v>1.6106442577030815</v>
      </c>
      <c r="AW356" s="5">
        <f t="shared" si="54"/>
        <v>4.2160815939278935</v>
      </c>
      <c r="AX356" s="5">
        <f t="shared" si="55"/>
        <v>2.3018203170874925</v>
      </c>
      <c r="AY356" s="5">
        <f t="shared" si="56"/>
        <v>4.0731255448997379</v>
      </c>
      <c r="AZ356">
        <f t="shared" si="57"/>
        <v>14420000</v>
      </c>
      <c r="BA356">
        <v>0</v>
      </c>
      <c r="BB356">
        <v>1090000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9480000</v>
      </c>
      <c r="BN356">
        <v>0</v>
      </c>
      <c r="BO356">
        <v>1230000</v>
      </c>
      <c r="BP356">
        <v>1380000</v>
      </c>
      <c r="BQ356">
        <v>730000</v>
      </c>
      <c r="BR356">
        <v>130000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380000</v>
      </c>
      <c r="BZ356">
        <v>0</v>
      </c>
      <c r="CA356">
        <v>0</v>
      </c>
      <c r="CT356">
        <v>7.2815533980582501</v>
      </c>
      <c r="CU356">
        <v>73.092926490984794</v>
      </c>
      <c r="CV356">
        <v>16.990291262135958</v>
      </c>
      <c r="CW356">
        <v>2.6352288488210802</v>
      </c>
      <c r="CX356">
        <v>0</v>
      </c>
      <c r="CY356">
        <v>7.2815533980582501</v>
      </c>
      <c r="CZ356">
        <v>74.549237170596442</v>
      </c>
      <c r="DA356">
        <v>15.5339805825243</v>
      </c>
      <c r="DB356">
        <v>2.6352288488210802</v>
      </c>
      <c r="DC356">
        <v>0</v>
      </c>
      <c r="DD356">
        <v>7.55894590846047</v>
      </c>
      <c r="DE356">
        <v>74.271844660194134</v>
      </c>
      <c r="DF356">
        <v>15.5339805825243</v>
      </c>
      <c r="DG356">
        <v>2.6352288488210802</v>
      </c>
      <c r="DH356">
        <v>0</v>
      </c>
      <c r="DI356">
        <v>7.55894590846047</v>
      </c>
      <c r="DJ356">
        <v>74.271844660194134</v>
      </c>
      <c r="DK356">
        <v>15.5339805825243</v>
      </c>
      <c r="DL356">
        <v>2.6352288488210802</v>
      </c>
      <c r="DM356">
        <v>0</v>
      </c>
      <c r="DN356">
        <v>7.55894590846047</v>
      </c>
      <c r="DO356">
        <v>74.271844660194134</v>
      </c>
      <c r="DP356">
        <v>15.5339805825243</v>
      </c>
      <c r="DQ356">
        <v>2.6352288488210802</v>
      </c>
      <c r="DR356">
        <v>0</v>
      </c>
      <c r="DS356" t="s">
        <v>768</v>
      </c>
      <c r="DT356" t="s">
        <v>768</v>
      </c>
      <c r="DU356" t="s">
        <v>768</v>
      </c>
      <c r="DV356" t="s">
        <v>768</v>
      </c>
      <c r="DW356" t="s">
        <v>768</v>
      </c>
      <c r="DX356" t="s">
        <v>768</v>
      </c>
      <c r="DY356" t="s">
        <v>768</v>
      </c>
      <c r="DZ356" t="s">
        <v>768</v>
      </c>
      <c r="EA356" t="s">
        <v>768</v>
      </c>
      <c r="EB356" t="s">
        <v>768</v>
      </c>
      <c r="EC356" t="s">
        <v>768</v>
      </c>
      <c r="ED356" t="s">
        <v>944</v>
      </c>
      <c r="EE356" t="s">
        <v>945</v>
      </c>
      <c r="EF356" t="s">
        <v>746</v>
      </c>
      <c r="EG356" t="s">
        <v>747</v>
      </c>
    </row>
    <row r="357" spans="1:137" ht="14.55" customHeight="1" x14ac:dyDescent="0.3">
      <c r="A357" t="s">
        <v>1178</v>
      </c>
      <c r="B357">
        <v>74250</v>
      </c>
      <c r="C357" t="s">
        <v>1179</v>
      </c>
      <c r="D357" t="s">
        <v>543</v>
      </c>
      <c r="E357" t="s">
        <v>879</v>
      </c>
      <c r="F357" t="s">
        <v>742</v>
      </c>
      <c r="G357" t="s">
        <v>917</v>
      </c>
      <c r="H357" s="3">
        <v>14986012.875800001</v>
      </c>
      <c r="I357">
        <v>1494</v>
      </c>
      <c r="J357" s="3">
        <v>1498.60128758</v>
      </c>
      <c r="K357">
        <v>428</v>
      </c>
      <c r="L357">
        <v>1508</v>
      </c>
      <c r="M357">
        <v>537.22091323796496</v>
      </c>
      <c r="N357">
        <v>167.753589134386</v>
      </c>
      <c r="O357">
        <v>0</v>
      </c>
      <c r="P357">
        <v>57.707145690917997</v>
      </c>
      <c r="Q357">
        <v>8.3355741500854492</v>
      </c>
      <c r="R357">
        <v>9.4142198562622106</v>
      </c>
      <c r="S357" t="s">
        <v>881</v>
      </c>
      <c r="T357" t="s">
        <v>1180</v>
      </c>
      <c r="U357" t="s">
        <v>1179</v>
      </c>
      <c r="V357" t="s">
        <v>1179</v>
      </c>
      <c r="W357" s="3">
        <v>6573</v>
      </c>
      <c r="X357" s="3">
        <v>14980000</v>
      </c>
      <c r="Y357">
        <v>2</v>
      </c>
      <c r="Z357" s="3">
        <v>3088</v>
      </c>
      <c r="AA357" s="3">
        <v>3787</v>
      </c>
      <c r="AB357" s="3">
        <v>5053</v>
      </c>
      <c r="AC357" s="3">
        <v>5601</v>
      </c>
      <c r="AD357" s="3">
        <v>5727</v>
      </c>
      <c r="AE357" s="3">
        <v>5863</v>
      </c>
      <c r="AF357" s="3">
        <v>5860</v>
      </c>
      <c r="AG357" s="3">
        <v>5872</v>
      </c>
      <c r="AH357" s="3">
        <v>5884</v>
      </c>
      <c r="AI357" s="3">
        <v>5903</v>
      </c>
      <c r="AJ357" s="3">
        <v>5932</v>
      </c>
      <c r="AK357" s="3">
        <v>6093</v>
      </c>
      <c r="AL357" s="3">
        <v>6241</v>
      </c>
      <c r="AM357" s="3">
        <v>6389</v>
      </c>
      <c r="AN357" s="3">
        <v>6573</v>
      </c>
      <c r="AO357" s="3">
        <v>6889</v>
      </c>
      <c r="AP357" s="3">
        <v>7091</v>
      </c>
      <c r="AQ357" s="3">
        <v>7591</v>
      </c>
      <c r="AR357" s="4">
        <v>473.36448598130841</v>
      </c>
      <c r="AS357" s="5">
        <f t="shared" si="50"/>
        <v>2.8295012953367875</v>
      </c>
      <c r="AT357" s="5">
        <f t="shared" si="51"/>
        <v>3.7144617551271892</v>
      </c>
      <c r="AU357" s="5">
        <f t="shared" si="52"/>
        <v>1.5970710469028302</v>
      </c>
      <c r="AV357" s="5">
        <f t="shared" si="53"/>
        <v>2.1006825938566553</v>
      </c>
      <c r="AW357" s="5">
        <f t="shared" si="54"/>
        <v>3.7431423346540691</v>
      </c>
      <c r="AX357" s="5">
        <f t="shared" si="55"/>
        <v>2.0166237878488027</v>
      </c>
      <c r="AY357" s="5">
        <f t="shared" si="56"/>
        <v>3.5035359193390279</v>
      </c>
      <c r="AZ357">
        <f t="shared" si="57"/>
        <v>14950000</v>
      </c>
      <c r="BA357">
        <v>0</v>
      </c>
      <c r="BB357">
        <v>4210000</v>
      </c>
      <c r="BC357">
        <v>700000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750000</v>
      </c>
      <c r="BK357">
        <v>0</v>
      </c>
      <c r="BL357">
        <v>0</v>
      </c>
      <c r="BM357">
        <v>1780000</v>
      </c>
      <c r="BN357">
        <v>2630000</v>
      </c>
      <c r="BO357">
        <v>700000</v>
      </c>
      <c r="BP357">
        <v>1610000</v>
      </c>
      <c r="BQ357">
        <v>1410000</v>
      </c>
      <c r="BR357">
        <v>720000</v>
      </c>
      <c r="BS357">
        <v>0</v>
      </c>
      <c r="BT357">
        <v>0</v>
      </c>
      <c r="BU357">
        <v>330000</v>
      </c>
      <c r="BV357">
        <v>0</v>
      </c>
      <c r="BW357">
        <v>0</v>
      </c>
      <c r="BX357">
        <v>0</v>
      </c>
      <c r="BY357">
        <v>0</v>
      </c>
      <c r="BZ357">
        <v>110000</v>
      </c>
      <c r="CA357">
        <v>0</v>
      </c>
      <c r="CT357">
        <v>23.076923076923123</v>
      </c>
      <c r="CU357">
        <v>50.903010033444801</v>
      </c>
      <c r="CV357">
        <v>25.284280936454898</v>
      </c>
      <c r="CW357">
        <v>0</v>
      </c>
      <c r="CX357">
        <v>0.73578595317725803</v>
      </c>
      <c r="CY357">
        <v>31.505016722408051</v>
      </c>
      <c r="CZ357">
        <v>40.26755852842814</v>
      </c>
      <c r="DA357">
        <v>27.49163879598666</v>
      </c>
      <c r="DB357">
        <v>0</v>
      </c>
      <c r="DC357">
        <v>0.73578595317725803</v>
      </c>
      <c r="DD357">
        <v>31.973244147157221</v>
      </c>
      <c r="DE357">
        <v>40.066889632107099</v>
      </c>
      <c r="DF357">
        <v>27.224080267558559</v>
      </c>
      <c r="DG357">
        <v>0</v>
      </c>
      <c r="DH357">
        <v>0.73578595317725803</v>
      </c>
      <c r="DI357">
        <v>32.842809364548536</v>
      </c>
      <c r="DJ357">
        <v>39.197324414715759</v>
      </c>
      <c r="DK357">
        <v>27.224080267558559</v>
      </c>
      <c r="DL357">
        <v>0</v>
      </c>
      <c r="DM357">
        <v>0.73578595317725803</v>
      </c>
      <c r="DN357">
        <v>32.842809364548536</v>
      </c>
      <c r="DO357">
        <v>39.197324414715759</v>
      </c>
      <c r="DP357">
        <v>27.22408026755857</v>
      </c>
      <c r="DQ357">
        <v>0</v>
      </c>
      <c r="DR357">
        <v>0.73578595317725803</v>
      </c>
      <c r="DS357" t="s">
        <v>768</v>
      </c>
      <c r="DT357" t="s">
        <v>768</v>
      </c>
      <c r="DU357" t="s">
        <v>768</v>
      </c>
      <c r="DV357" t="s">
        <v>768</v>
      </c>
      <c r="DW357" t="s">
        <v>768</v>
      </c>
      <c r="DX357" t="s">
        <v>768</v>
      </c>
      <c r="DY357" t="s">
        <v>768</v>
      </c>
      <c r="DZ357" t="s">
        <v>768</v>
      </c>
      <c r="EA357" t="s">
        <v>768</v>
      </c>
      <c r="EB357" t="s">
        <v>768</v>
      </c>
      <c r="EC357" t="s">
        <v>768</v>
      </c>
      <c r="ED357" t="s">
        <v>894</v>
      </c>
      <c r="EE357" t="s">
        <v>895</v>
      </c>
      <c r="EF357" t="s">
        <v>746</v>
      </c>
      <c r="EG357" t="s">
        <v>760</v>
      </c>
    </row>
    <row r="358" spans="1:137" ht="14.55" customHeight="1" x14ac:dyDescent="0.3">
      <c r="A358" t="s">
        <v>1181</v>
      </c>
      <c r="B358">
        <v>74253</v>
      </c>
      <c r="C358" t="s">
        <v>1182</v>
      </c>
      <c r="D358" t="s">
        <v>543</v>
      </c>
      <c r="E358" t="s">
        <v>879</v>
      </c>
      <c r="F358" t="s">
        <v>742</v>
      </c>
      <c r="G358" t="s">
        <v>892</v>
      </c>
      <c r="H358" s="3">
        <v>5219200.0838700002</v>
      </c>
      <c r="I358">
        <v>520</v>
      </c>
      <c r="J358" s="3">
        <v>521.92000838700005</v>
      </c>
      <c r="K358">
        <v>550</v>
      </c>
      <c r="L358">
        <v>1612</v>
      </c>
      <c r="M358">
        <v>829.24436807942004</v>
      </c>
      <c r="N358">
        <v>202.47188709717801</v>
      </c>
      <c r="O358">
        <v>0</v>
      </c>
      <c r="P358">
        <v>43.874965667724602</v>
      </c>
      <c r="Q358">
        <v>11.267438888549799</v>
      </c>
      <c r="R358">
        <v>6.7477321624755904</v>
      </c>
      <c r="S358" t="s">
        <v>881</v>
      </c>
      <c r="T358" t="s">
        <v>1183</v>
      </c>
      <c r="U358" t="s">
        <v>1182</v>
      </c>
      <c r="V358" t="s">
        <v>1182</v>
      </c>
      <c r="W358" s="3">
        <v>1021</v>
      </c>
      <c r="X358" s="3">
        <v>5220000</v>
      </c>
      <c r="Y358">
        <v>2</v>
      </c>
      <c r="Z358" s="3">
        <v>440</v>
      </c>
      <c r="AA358" s="3">
        <v>508</v>
      </c>
      <c r="AB358" s="3">
        <v>606</v>
      </c>
      <c r="AC358" s="3">
        <v>850</v>
      </c>
      <c r="AD358" s="3">
        <v>861</v>
      </c>
      <c r="AE358" s="3">
        <v>874</v>
      </c>
      <c r="AF358" s="3">
        <v>886</v>
      </c>
      <c r="AG358" s="3">
        <v>898</v>
      </c>
      <c r="AH358" s="3">
        <v>893</v>
      </c>
      <c r="AI358" s="3">
        <v>894</v>
      </c>
      <c r="AJ358" s="3">
        <v>928</v>
      </c>
      <c r="AK358" s="3">
        <v>962</v>
      </c>
      <c r="AL358" s="3">
        <v>996</v>
      </c>
      <c r="AM358" s="3">
        <v>1010</v>
      </c>
      <c r="AN358" s="3">
        <v>1021</v>
      </c>
      <c r="AO358" s="3">
        <v>1020</v>
      </c>
      <c r="AP358" s="3">
        <v>1018</v>
      </c>
      <c r="AQ358" s="3">
        <v>1007</v>
      </c>
      <c r="AR358" s="4">
        <v>195.0191570881226</v>
      </c>
      <c r="AS358" s="5">
        <f t="shared" si="50"/>
        <v>1.9318181818181817</v>
      </c>
      <c r="AT358" s="5">
        <f t="shared" si="51"/>
        <v>2.1434820647419071</v>
      </c>
      <c r="AU358" s="5">
        <f t="shared" si="52"/>
        <v>4.6204620462046204</v>
      </c>
      <c r="AV358" s="5">
        <f t="shared" si="53"/>
        <v>1.489841986455982</v>
      </c>
      <c r="AW358" s="5">
        <f t="shared" si="54"/>
        <v>2.2192513368983957</v>
      </c>
      <c r="AX358" s="5">
        <f t="shared" si="55"/>
        <v>3.399339933993399</v>
      </c>
      <c r="AY358" s="5">
        <f t="shared" si="56"/>
        <v>3.5503685503685505</v>
      </c>
      <c r="AZ358">
        <f t="shared" si="57"/>
        <v>5210000</v>
      </c>
      <c r="BA358">
        <v>0</v>
      </c>
      <c r="BB358">
        <v>690000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2570000</v>
      </c>
      <c r="BN358">
        <v>0</v>
      </c>
      <c r="BO358">
        <v>0</v>
      </c>
      <c r="BP358">
        <v>20000</v>
      </c>
      <c r="BQ358">
        <v>400000</v>
      </c>
      <c r="BR358">
        <v>1530000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T358">
        <v>1.91938579654511</v>
      </c>
      <c r="CU358">
        <v>57.581573896353198</v>
      </c>
      <c r="CV358">
        <v>40.499040307101701</v>
      </c>
      <c r="CW358">
        <v>0</v>
      </c>
      <c r="CX358">
        <v>0</v>
      </c>
      <c r="CY358">
        <v>7.8694817658349301</v>
      </c>
      <c r="CZ358">
        <v>53.550863723608401</v>
      </c>
      <c r="DA358">
        <v>38.579654510556601</v>
      </c>
      <c r="DB358">
        <v>0</v>
      </c>
      <c r="DC358">
        <v>0</v>
      </c>
      <c r="DD358">
        <v>13.243761996161201</v>
      </c>
      <c r="DE358">
        <v>49.328214971209199</v>
      </c>
      <c r="DF358">
        <v>37.428023032629604</v>
      </c>
      <c r="DG358">
        <v>0</v>
      </c>
      <c r="DH358">
        <v>0</v>
      </c>
      <c r="DI358">
        <v>13.243761996161201</v>
      </c>
      <c r="DJ358">
        <v>49.328214971209199</v>
      </c>
      <c r="DK358">
        <v>37.428023032629604</v>
      </c>
      <c r="DL358">
        <v>0</v>
      </c>
      <c r="DM358">
        <v>0</v>
      </c>
      <c r="DN358">
        <v>13.243761996161201</v>
      </c>
      <c r="DO358">
        <v>49.328214971209199</v>
      </c>
      <c r="DP358">
        <v>37.428023032629604</v>
      </c>
      <c r="DQ358">
        <v>0</v>
      </c>
      <c r="DR358">
        <v>0</v>
      </c>
      <c r="DS358" t="s">
        <v>312</v>
      </c>
      <c r="DT358" t="s">
        <v>337</v>
      </c>
      <c r="DU358">
        <v>1017</v>
      </c>
      <c r="DV358" t="s">
        <v>547</v>
      </c>
      <c r="DW358" t="s">
        <v>548</v>
      </c>
      <c r="DX358">
        <v>86</v>
      </c>
      <c r="DY358">
        <v>130</v>
      </c>
      <c r="DZ358">
        <v>216</v>
      </c>
      <c r="EA358">
        <v>606779</v>
      </c>
      <c r="EB358">
        <v>388178</v>
      </c>
      <c r="EC358">
        <v>994957</v>
      </c>
      <c r="ED358" t="s">
        <v>894</v>
      </c>
      <c r="EE358" t="s">
        <v>895</v>
      </c>
      <c r="EF358" t="s">
        <v>746</v>
      </c>
      <c r="EG358" t="s">
        <v>760</v>
      </c>
    </row>
    <row r="359" spans="1:137" ht="14.55" customHeight="1" x14ac:dyDescent="0.3">
      <c r="A359" t="s">
        <v>1184</v>
      </c>
      <c r="B359">
        <v>74260</v>
      </c>
      <c r="C359" t="s">
        <v>1185</v>
      </c>
      <c r="D359" t="s">
        <v>543</v>
      </c>
      <c r="E359" t="s">
        <v>879</v>
      </c>
      <c r="F359" t="s">
        <v>742</v>
      </c>
      <c r="G359" t="s">
        <v>913</v>
      </c>
      <c r="H359" s="3">
        <v>10381233.2974</v>
      </c>
      <c r="I359">
        <v>1036</v>
      </c>
      <c r="J359" s="3">
        <v>1038.1233297399999</v>
      </c>
      <c r="K359">
        <v>481</v>
      </c>
      <c r="L359">
        <v>1095</v>
      </c>
      <c r="M359">
        <v>688.78002172940501</v>
      </c>
      <c r="N359">
        <v>150.19866200145799</v>
      </c>
      <c r="O359">
        <v>0</v>
      </c>
      <c r="P359">
        <v>39.612766265869098</v>
      </c>
      <c r="Q359">
        <v>9.7799434661865199</v>
      </c>
      <c r="R359">
        <v>6.9078879356384304</v>
      </c>
      <c r="S359" t="s">
        <v>881</v>
      </c>
      <c r="T359" t="s">
        <v>1186</v>
      </c>
      <c r="U359" t="s">
        <v>1185</v>
      </c>
      <c r="V359" t="s">
        <v>1185</v>
      </c>
      <c r="W359" s="3">
        <v>893</v>
      </c>
      <c r="X359" s="3">
        <v>10380000</v>
      </c>
      <c r="Y359">
        <v>3</v>
      </c>
      <c r="Z359" s="3">
        <v>338</v>
      </c>
      <c r="AA359" s="3">
        <v>458</v>
      </c>
      <c r="AB359" s="3">
        <v>500</v>
      </c>
      <c r="AC359" s="3">
        <v>652</v>
      </c>
      <c r="AD359" s="3">
        <v>676</v>
      </c>
      <c r="AE359" s="3">
        <v>699</v>
      </c>
      <c r="AF359" s="3">
        <v>723</v>
      </c>
      <c r="AG359" s="3">
        <v>736</v>
      </c>
      <c r="AH359" s="3">
        <v>788</v>
      </c>
      <c r="AI359" s="3">
        <v>794</v>
      </c>
      <c r="AJ359" s="3">
        <v>800</v>
      </c>
      <c r="AK359" s="3">
        <v>806</v>
      </c>
      <c r="AL359" s="3">
        <v>823</v>
      </c>
      <c r="AM359" s="3">
        <v>849</v>
      </c>
      <c r="AN359" s="3">
        <v>893</v>
      </c>
      <c r="AO359" s="3">
        <v>936</v>
      </c>
      <c r="AP359" s="3">
        <v>980</v>
      </c>
      <c r="AQ359" s="3">
        <v>1020</v>
      </c>
      <c r="AR359" s="4">
        <v>94.412331406551061</v>
      </c>
      <c r="AS359" s="5">
        <f t="shared" si="50"/>
        <v>4.4378698224852071</v>
      </c>
      <c r="AT359" s="5">
        <f t="shared" si="51"/>
        <v>1.0189228529839884</v>
      </c>
      <c r="AU359" s="5">
        <f t="shared" si="52"/>
        <v>4.46</v>
      </c>
      <c r="AV359" s="5">
        <f t="shared" si="53"/>
        <v>3.5546334716459196</v>
      </c>
      <c r="AW359" s="5">
        <f t="shared" si="54"/>
        <v>2.8193525931082495</v>
      </c>
      <c r="AX359" s="5">
        <f t="shared" si="55"/>
        <v>4.8</v>
      </c>
      <c r="AY359" s="5">
        <f t="shared" si="56"/>
        <v>5.1335359027666723</v>
      </c>
      <c r="AZ359">
        <f t="shared" si="57"/>
        <v>10380000</v>
      </c>
      <c r="BA359">
        <v>0</v>
      </c>
      <c r="BB359">
        <v>250000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580000</v>
      </c>
      <c r="BK359">
        <v>0</v>
      </c>
      <c r="BL359">
        <v>0</v>
      </c>
      <c r="BM359">
        <v>3230000</v>
      </c>
      <c r="BN359">
        <v>2410000</v>
      </c>
      <c r="BO359">
        <v>290000</v>
      </c>
      <c r="BP359">
        <v>2690000</v>
      </c>
      <c r="BQ359">
        <v>0</v>
      </c>
      <c r="BR359">
        <v>920000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10000</v>
      </c>
      <c r="BY359">
        <v>0</v>
      </c>
      <c r="BZ359">
        <v>0</v>
      </c>
      <c r="CA359">
        <v>0</v>
      </c>
      <c r="CT359">
        <v>0</v>
      </c>
      <c r="CU359">
        <v>61.175337186897899</v>
      </c>
      <c r="CV359">
        <v>38.824662813102101</v>
      </c>
      <c r="CW359">
        <v>0</v>
      </c>
      <c r="CX359">
        <v>0</v>
      </c>
      <c r="CY359">
        <v>0</v>
      </c>
      <c r="CZ359">
        <v>63.102119460500958</v>
      </c>
      <c r="DA359">
        <v>36.897880539499049</v>
      </c>
      <c r="DB359">
        <v>0</v>
      </c>
      <c r="DC359">
        <v>0</v>
      </c>
      <c r="DD359">
        <v>0</v>
      </c>
      <c r="DE359">
        <v>65.125240847784255</v>
      </c>
      <c r="DF359">
        <v>34.874759152215752</v>
      </c>
      <c r="DG359">
        <v>0</v>
      </c>
      <c r="DH359">
        <v>0</v>
      </c>
      <c r="DI359">
        <v>2.4084778420038502</v>
      </c>
      <c r="DJ359">
        <v>62.716763005780336</v>
      </c>
      <c r="DK359">
        <v>34.874759152215752</v>
      </c>
      <c r="DL359">
        <v>0</v>
      </c>
      <c r="DM359">
        <v>0</v>
      </c>
      <c r="DN359">
        <v>2.4084778420038502</v>
      </c>
      <c r="DO359">
        <v>62.716763005780336</v>
      </c>
      <c r="DP359">
        <v>34.874759152215752</v>
      </c>
      <c r="DQ359">
        <v>0</v>
      </c>
      <c r="DR359">
        <v>0</v>
      </c>
      <c r="DS359" t="s">
        <v>312</v>
      </c>
      <c r="DT359" t="s">
        <v>313</v>
      </c>
      <c r="DU359">
        <v>985</v>
      </c>
      <c r="DV359" t="s">
        <v>547</v>
      </c>
      <c r="DW359" t="s">
        <v>548</v>
      </c>
      <c r="DX359">
        <v>86</v>
      </c>
      <c r="DY359">
        <v>130</v>
      </c>
      <c r="DZ359">
        <v>216</v>
      </c>
      <c r="EA359">
        <v>606779</v>
      </c>
      <c r="EB359">
        <v>388178</v>
      </c>
      <c r="EC359">
        <v>994957</v>
      </c>
      <c r="ED359" t="s">
        <v>909</v>
      </c>
      <c r="EE359" t="s">
        <v>910</v>
      </c>
      <c r="EF359" t="s">
        <v>753</v>
      </c>
      <c r="EG359" t="s">
        <v>754</v>
      </c>
    </row>
    <row r="360" spans="1:137" ht="14.55" customHeight="1" x14ac:dyDescent="0.3">
      <c r="A360" t="s">
        <v>1187</v>
      </c>
      <c r="B360">
        <v>74262</v>
      </c>
      <c r="C360" t="s">
        <v>1188</v>
      </c>
      <c r="D360" t="s">
        <v>543</v>
      </c>
      <c r="E360" t="s">
        <v>879</v>
      </c>
      <c r="F360" t="s">
        <v>742</v>
      </c>
      <c r="G360" t="s">
        <v>892</v>
      </c>
      <c r="H360" s="3">
        <v>7224009.0215600003</v>
      </c>
      <c r="I360">
        <v>722</v>
      </c>
      <c r="J360" s="3">
        <v>722.40090215600003</v>
      </c>
      <c r="K360">
        <v>418</v>
      </c>
      <c r="L360">
        <v>500</v>
      </c>
      <c r="M360">
        <v>446.57844487285399</v>
      </c>
      <c r="N360">
        <v>19.255261581765701</v>
      </c>
      <c r="O360">
        <v>0</v>
      </c>
      <c r="P360">
        <v>17.1598224639893</v>
      </c>
      <c r="Q360">
        <v>3.6127476692199698</v>
      </c>
      <c r="R360">
        <v>2.2395884990692099</v>
      </c>
      <c r="S360" t="s">
        <v>881</v>
      </c>
      <c r="T360" t="s">
        <v>1189</v>
      </c>
      <c r="U360" t="s">
        <v>1188</v>
      </c>
      <c r="V360" t="s">
        <v>1188</v>
      </c>
      <c r="W360" s="3">
        <v>1159</v>
      </c>
      <c r="X360" s="3">
        <v>7220000</v>
      </c>
      <c r="Y360">
        <v>3</v>
      </c>
      <c r="Z360" s="3">
        <v>403</v>
      </c>
      <c r="AA360" s="3">
        <v>561</v>
      </c>
      <c r="AB360" s="3">
        <v>657</v>
      </c>
      <c r="AC360" s="3">
        <v>929</v>
      </c>
      <c r="AD360" s="3">
        <v>968</v>
      </c>
      <c r="AE360" s="3">
        <v>1007</v>
      </c>
      <c r="AF360" s="3">
        <v>1036</v>
      </c>
      <c r="AG360" s="3">
        <v>1094</v>
      </c>
      <c r="AH360" s="3">
        <v>1087</v>
      </c>
      <c r="AI360" s="3">
        <v>1097</v>
      </c>
      <c r="AJ360" s="3">
        <v>1106</v>
      </c>
      <c r="AK360" s="3">
        <v>1150</v>
      </c>
      <c r="AL360" s="3">
        <v>1156</v>
      </c>
      <c r="AM360" s="3">
        <v>1176</v>
      </c>
      <c r="AN360" s="3">
        <v>1159</v>
      </c>
      <c r="AO360" s="3">
        <v>1143</v>
      </c>
      <c r="AP360" s="3">
        <v>1148</v>
      </c>
      <c r="AQ360" s="3">
        <v>1182</v>
      </c>
      <c r="AR360" s="4">
        <v>159.00277008310249</v>
      </c>
      <c r="AS360" s="5">
        <f t="shared" si="50"/>
        <v>4.9007444168734491</v>
      </c>
      <c r="AT360" s="5">
        <f t="shared" si="51"/>
        <v>1.9013666072489599</v>
      </c>
      <c r="AU360" s="5">
        <f t="shared" si="52"/>
        <v>5.768645357686454</v>
      </c>
      <c r="AV360" s="5">
        <f t="shared" si="53"/>
        <v>1.0810810810810811</v>
      </c>
      <c r="AW360" s="5">
        <f t="shared" si="54"/>
        <v>3.707487957962341</v>
      </c>
      <c r="AX360" s="5">
        <f t="shared" si="55"/>
        <v>3.7366818873668191</v>
      </c>
      <c r="AY360" s="5">
        <f t="shared" si="56"/>
        <v>4.9963114479243504</v>
      </c>
      <c r="AZ360">
        <f t="shared" si="57"/>
        <v>7200000</v>
      </c>
      <c r="BA360">
        <v>0</v>
      </c>
      <c r="BB360">
        <v>820000</v>
      </c>
      <c r="BC360">
        <v>330000</v>
      </c>
      <c r="BD360">
        <v>280000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3280000</v>
      </c>
      <c r="BN360">
        <v>30000</v>
      </c>
      <c r="BO360">
        <v>520000</v>
      </c>
      <c r="BP360">
        <v>870000</v>
      </c>
      <c r="BQ360">
        <v>0</v>
      </c>
      <c r="BR360">
        <v>850000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100000</v>
      </c>
      <c r="BZ360">
        <v>120000</v>
      </c>
      <c r="CA360">
        <v>0</v>
      </c>
      <c r="CT360">
        <v>21.250000000000011</v>
      </c>
      <c r="CU360">
        <v>57.083333333333321</v>
      </c>
      <c r="CV360">
        <v>18.6111111111111</v>
      </c>
      <c r="CW360">
        <v>1.3888888888888899</v>
      </c>
      <c r="CX360">
        <v>1.6666666666666701</v>
      </c>
      <c r="CY360">
        <v>19.30555555555555</v>
      </c>
      <c r="CZ360">
        <v>54.722222222222221</v>
      </c>
      <c r="DA360">
        <v>22.9166666666667</v>
      </c>
      <c r="DB360">
        <v>1.3888888888888899</v>
      </c>
      <c r="DC360">
        <v>1.6666666666666701</v>
      </c>
      <c r="DD360">
        <v>19.861111111111111</v>
      </c>
      <c r="DE360">
        <v>53.611111111111093</v>
      </c>
      <c r="DF360">
        <v>23.4722222222222</v>
      </c>
      <c r="DG360">
        <v>1.3888888888888899</v>
      </c>
      <c r="DH360">
        <v>1.6666666666666701</v>
      </c>
      <c r="DI360">
        <v>19.861111111111121</v>
      </c>
      <c r="DJ360">
        <v>53.194444444444493</v>
      </c>
      <c r="DK360">
        <v>23.8888888888889</v>
      </c>
      <c r="DL360">
        <v>1.3888888888888899</v>
      </c>
      <c r="DM360">
        <v>1.6666666666666701</v>
      </c>
      <c r="DN360">
        <v>19.861111111111121</v>
      </c>
      <c r="DO360">
        <v>53.194444444444493</v>
      </c>
      <c r="DP360">
        <v>23.8888888888889</v>
      </c>
      <c r="DQ360">
        <v>1.3888888888888899</v>
      </c>
      <c r="DR360">
        <v>1.6666666666666701</v>
      </c>
      <c r="DS360" t="s">
        <v>312</v>
      </c>
      <c r="DT360" t="s">
        <v>313</v>
      </c>
      <c r="DU360">
        <v>1159</v>
      </c>
      <c r="DV360" t="s">
        <v>547</v>
      </c>
      <c r="DW360" t="s">
        <v>548</v>
      </c>
      <c r="DX360">
        <v>86</v>
      </c>
      <c r="DY360">
        <v>130</v>
      </c>
      <c r="DZ360">
        <v>216</v>
      </c>
      <c r="EA360">
        <v>606779</v>
      </c>
      <c r="EB360">
        <v>388178</v>
      </c>
      <c r="EC360">
        <v>994957</v>
      </c>
      <c r="ED360" t="s">
        <v>894</v>
      </c>
      <c r="EE360" t="s">
        <v>895</v>
      </c>
      <c r="EF360" t="s">
        <v>746</v>
      </c>
      <c r="EG360" t="s">
        <v>760</v>
      </c>
    </row>
    <row r="361" spans="1:137" ht="14.55" customHeight="1" x14ac:dyDescent="0.3">
      <c r="A361" t="s">
        <v>1190</v>
      </c>
      <c r="B361">
        <v>74263</v>
      </c>
      <c r="C361" t="s">
        <v>904</v>
      </c>
      <c r="D361" t="s">
        <v>543</v>
      </c>
      <c r="E361" t="s">
        <v>879</v>
      </c>
      <c r="F361" t="s">
        <v>742</v>
      </c>
      <c r="G361" t="s">
        <v>904</v>
      </c>
      <c r="H361" s="3">
        <v>20435145.932700001</v>
      </c>
      <c r="I361">
        <v>2049</v>
      </c>
      <c r="J361" s="3">
        <v>2043.51459327</v>
      </c>
      <c r="K361">
        <v>364</v>
      </c>
      <c r="L361">
        <v>742</v>
      </c>
      <c r="M361">
        <v>450.97536372453902</v>
      </c>
      <c r="N361">
        <v>72.689887616009798</v>
      </c>
      <c r="O361">
        <v>0</v>
      </c>
      <c r="P361">
        <v>36.912281036377003</v>
      </c>
      <c r="Q361">
        <v>5.8471360206604004</v>
      </c>
      <c r="R361">
        <v>4.8453559875488299</v>
      </c>
      <c r="S361" t="s">
        <v>881</v>
      </c>
      <c r="T361" t="s">
        <v>1191</v>
      </c>
      <c r="U361" t="s">
        <v>904</v>
      </c>
      <c r="V361" t="s">
        <v>904</v>
      </c>
      <c r="W361" s="3">
        <v>6033</v>
      </c>
      <c r="X361" s="3">
        <v>20460000</v>
      </c>
      <c r="Y361">
        <v>2</v>
      </c>
      <c r="Z361" s="3">
        <v>2621</v>
      </c>
      <c r="AA361" s="3">
        <v>3371</v>
      </c>
      <c r="AB361" s="3">
        <v>4268</v>
      </c>
      <c r="AC361" s="3">
        <v>4920</v>
      </c>
      <c r="AD361" s="3">
        <v>5056</v>
      </c>
      <c r="AE361" s="3">
        <v>5163</v>
      </c>
      <c r="AF361" s="3">
        <v>5269</v>
      </c>
      <c r="AG361" s="3">
        <v>5386</v>
      </c>
      <c r="AH361" s="3">
        <v>5367</v>
      </c>
      <c r="AI361" s="3">
        <v>5419</v>
      </c>
      <c r="AJ361" s="3">
        <v>5505</v>
      </c>
      <c r="AK361" s="3">
        <v>5592</v>
      </c>
      <c r="AL361" s="3">
        <v>5738</v>
      </c>
      <c r="AM361" s="3">
        <v>5866</v>
      </c>
      <c r="AN361" s="3">
        <v>6033</v>
      </c>
      <c r="AO361" s="3">
        <v>6190</v>
      </c>
      <c r="AP361" s="3">
        <v>6348</v>
      </c>
      <c r="AQ361" s="3">
        <v>6351</v>
      </c>
      <c r="AR361" s="4">
        <v>310.26392961876832</v>
      </c>
      <c r="AS361" s="5">
        <f t="shared" si="50"/>
        <v>3.5768790537962607</v>
      </c>
      <c r="AT361" s="5">
        <f t="shared" si="51"/>
        <v>2.9565905270443986</v>
      </c>
      <c r="AU361" s="5">
        <f t="shared" si="52"/>
        <v>2.3453608247422681</v>
      </c>
      <c r="AV361" s="5">
        <f t="shared" si="53"/>
        <v>2.0478269121275381</v>
      </c>
      <c r="AW361" s="5">
        <f t="shared" si="54"/>
        <v>3.6963888951231003</v>
      </c>
      <c r="AX361" s="5">
        <f t="shared" si="55"/>
        <v>2.4367385192127462</v>
      </c>
      <c r="AY361" s="5">
        <f t="shared" si="56"/>
        <v>3.8431793105581735</v>
      </c>
      <c r="AZ361">
        <f t="shared" si="57"/>
        <v>20460000</v>
      </c>
      <c r="BA361">
        <v>0</v>
      </c>
      <c r="BB361">
        <v>5190000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40000</v>
      </c>
      <c r="BJ361">
        <v>3930000</v>
      </c>
      <c r="BK361">
        <v>0</v>
      </c>
      <c r="BL361">
        <v>0</v>
      </c>
      <c r="BM361">
        <v>2530000</v>
      </c>
      <c r="BN361">
        <v>590000</v>
      </c>
      <c r="BO361">
        <v>1300000</v>
      </c>
      <c r="BP361">
        <v>2750000</v>
      </c>
      <c r="BQ361">
        <v>70000</v>
      </c>
      <c r="BR361">
        <v>4040000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20000</v>
      </c>
      <c r="CT361">
        <v>25.085574572127143</v>
      </c>
      <c r="CU361">
        <v>40.635696821515857</v>
      </c>
      <c r="CV361">
        <v>33.936430317848398</v>
      </c>
      <c r="CW361">
        <v>0</v>
      </c>
      <c r="CX361">
        <v>0.34229828850855698</v>
      </c>
      <c r="CY361">
        <v>25.330073349633246</v>
      </c>
      <c r="CZ361">
        <v>40.831295843520856</v>
      </c>
      <c r="DA361">
        <v>33.496332518337397</v>
      </c>
      <c r="DB361">
        <v>0</v>
      </c>
      <c r="DC361">
        <v>0.34229828850855698</v>
      </c>
      <c r="DD361">
        <v>25.476772616136891</v>
      </c>
      <c r="DE361">
        <v>40.929095354523156</v>
      </c>
      <c r="DF361">
        <v>33.496332518337397</v>
      </c>
      <c r="DG361">
        <v>0</v>
      </c>
      <c r="DH361">
        <v>9.7799511002444994E-2</v>
      </c>
      <c r="DI361">
        <v>25.57457212713939</v>
      </c>
      <c r="DJ361">
        <v>40.831295843520749</v>
      </c>
      <c r="DK361">
        <v>33.496332518337397</v>
      </c>
      <c r="DL361">
        <v>0</v>
      </c>
      <c r="DM361">
        <v>9.7799511002444994E-2</v>
      </c>
      <c r="DN361">
        <v>25.57457212713939</v>
      </c>
      <c r="DO361">
        <v>40.831295843520749</v>
      </c>
      <c r="DP361">
        <v>33.496332518337397</v>
      </c>
      <c r="DQ361">
        <v>0</v>
      </c>
      <c r="DR361">
        <v>9.7799511002444994E-2</v>
      </c>
      <c r="DS361" t="s">
        <v>312</v>
      </c>
      <c r="DT361" t="s">
        <v>313</v>
      </c>
      <c r="DU361">
        <v>6375</v>
      </c>
      <c r="DV361" t="s">
        <v>547</v>
      </c>
      <c r="DW361" t="s">
        <v>548</v>
      </c>
      <c r="DX361">
        <v>86</v>
      </c>
      <c r="DY361">
        <v>130</v>
      </c>
      <c r="DZ361">
        <v>216</v>
      </c>
      <c r="EA361">
        <v>606779</v>
      </c>
      <c r="EB361">
        <v>388178</v>
      </c>
      <c r="EC361">
        <v>994957</v>
      </c>
      <c r="ED361" t="s">
        <v>889</v>
      </c>
      <c r="EE361" t="s">
        <v>887</v>
      </c>
      <c r="EF361" t="s">
        <v>746</v>
      </c>
      <c r="EG361" t="s">
        <v>760</v>
      </c>
    </row>
    <row r="362" spans="1:137" ht="14.55" customHeight="1" x14ac:dyDescent="0.3">
      <c r="A362" t="s">
        <v>1192</v>
      </c>
      <c r="B362">
        <v>74271</v>
      </c>
      <c r="C362" t="s">
        <v>1193</v>
      </c>
      <c r="D362" t="s">
        <v>878</v>
      </c>
      <c r="E362" t="s">
        <v>879</v>
      </c>
      <c r="F362" t="s">
        <v>742</v>
      </c>
      <c r="G362" t="s">
        <v>880</v>
      </c>
      <c r="H362" s="3">
        <v>18558988.0845</v>
      </c>
      <c r="I362">
        <v>1857</v>
      </c>
      <c r="J362" s="3">
        <v>1855.8988084499999</v>
      </c>
      <c r="K362">
        <v>695</v>
      </c>
      <c r="L362">
        <v>1781</v>
      </c>
      <c r="M362">
        <v>1233.87896294711</v>
      </c>
      <c r="N362">
        <v>247.756740120725</v>
      </c>
      <c r="O362">
        <v>0</v>
      </c>
      <c r="P362">
        <v>56.658596038818402</v>
      </c>
      <c r="Q362">
        <v>23.783876419067401</v>
      </c>
      <c r="R362">
        <v>9.3673782348632795</v>
      </c>
      <c r="S362" t="s">
        <v>881</v>
      </c>
      <c r="T362" t="s">
        <v>1194</v>
      </c>
      <c r="U362" t="s">
        <v>1193</v>
      </c>
      <c r="V362" t="s">
        <v>1193</v>
      </c>
      <c r="W362" s="3">
        <v>513</v>
      </c>
      <c r="X362" s="3">
        <v>18520000</v>
      </c>
      <c r="Y362">
        <v>3</v>
      </c>
      <c r="Z362" s="3">
        <v>265</v>
      </c>
      <c r="AA362" s="3">
        <v>283</v>
      </c>
      <c r="AB362" s="3">
        <v>285</v>
      </c>
      <c r="AC362" s="3">
        <v>364</v>
      </c>
      <c r="AD362" s="3">
        <v>375</v>
      </c>
      <c r="AE362" s="3">
        <v>385</v>
      </c>
      <c r="AF362" s="3">
        <v>385</v>
      </c>
      <c r="AG362" s="3">
        <v>407</v>
      </c>
      <c r="AH362" s="3">
        <v>430</v>
      </c>
      <c r="AI362" s="3">
        <v>452</v>
      </c>
      <c r="AJ362" s="3">
        <v>463</v>
      </c>
      <c r="AK362" s="3">
        <v>475</v>
      </c>
      <c r="AL362" s="3">
        <v>487</v>
      </c>
      <c r="AM362" s="3">
        <v>500</v>
      </c>
      <c r="AN362" s="3">
        <v>513</v>
      </c>
      <c r="AO362" s="3">
        <v>520</v>
      </c>
      <c r="AP362" s="3">
        <v>519</v>
      </c>
      <c r="AR362" s="4">
        <v>28.023758099352051</v>
      </c>
      <c r="AS362" s="5">
        <f t="shared" si="50"/>
        <v>0.84905660377358494</v>
      </c>
      <c r="AT362" s="5">
        <f t="shared" si="51"/>
        <v>7.852375343541422E-2</v>
      </c>
      <c r="AU362" s="5">
        <f t="shared" si="52"/>
        <v>3.5087719298245612</v>
      </c>
      <c r="AV362" s="5">
        <f t="shared" si="53"/>
        <v>3.4805194805194803</v>
      </c>
      <c r="AW362" s="5">
        <f t="shared" si="54"/>
        <v>0.44395116537180912</v>
      </c>
      <c r="AX362" s="5">
        <f t="shared" si="55"/>
        <v>4.1052631578947372</v>
      </c>
      <c r="AY362" s="5">
        <f t="shared" si="56"/>
        <v>2.5905150433452322</v>
      </c>
      <c r="AZ362">
        <f t="shared" si="57"/>
        <v>18530000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1070000</v>
      </c>
      <c r="BN362">
        <v>1170000</v>
      </c>
      <c r="BO362">
        <v>0</v>
      </c>
      <c r="BP362">
        <v>0</v>
      </c>
      <c r="BQ362">
        <v>9540000</v>
      </c>
      <c r="BR362">
        <v>3550000</v>
      </c>
      <c r="BS362">
        <v>2550000</v>
      </c>
      <c r="BT362">
        <v>650000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T362">
        <v>0</v>
      </c>
      <c r="CU362">
        <v>12.142471667566101</v>
      </c>
      <c r="CV362">
        <v>87.85752833243383</v>
      </c>
      <c r="CW362">
        <v>0</v>
      </c>
      <c r="CX362">
        <v>0</v>
      </c>
      <c r="CY362">
        <v>0</v>
      </c>
      <c r="CZ362">
        <v>12.14247166756611</v>
      </c>
      <c r="DA362">
        <v>87.857528332433901</v>
      </c>
      <c r="DB362">
        <v>0</v>
      </c>
      <c r="DC362">
        <v>0</v>
      </c>
      <c r="DD362">
        <v>0</v>
      </c>
      <c r="DE362">
        <v>12.088505126821371</v>
      </c>
      <c r="DF362">
        <v>87.911494873178697</v>
      </c>
      <c r="DG362">
        <v>0</v>
      </c>
      <c r="DH362">
        <v>0</v>
      </c>
      <c r="DI362">
        <v>0</v>
      </c>
      <c r="DJ362">
        <v>12.088505126821371</v>
      </c>
      <c r="DK362">
        <v>87.911494873178611</v>
      </c>
      <c r="DL362">
        <v>0</v>
      </c>
      <c r="DM362">
        <v>0</v>
      </c>
      <c r="DN362">
        <v>0</v>
      </c>
      <c r="DO362">
        <v>12.088505126821371</v>
      </c>
      <c r="DP362">
        <v>87.911494873178611</v>
      </c>
      <c r="DQ362">
        <v>0</v>
      </c>
      <c r="DR362">
        <v>0</v>
      </c>
      <c r="DS362" t="s">
        <v>768</v>
      </c>
      <c r="DT362" t="s">
        <v>768</v>
      </c>
      <c r="DU362" t="s">
        <v>768</v>
      </c>
      <c r="DV362" t="s">
        <v>768</v>
      </c>
      <c r="DW362" t="s">
        <v>768</v>
      </c>
      <c r="DX362" t="s">
        <v>768</v>
      </c>
      <c r="DY362" t="s">
        <v>768</v>
      </c>
      <c r="DZ362" t="s">
        <v>768</v>
      </c>
      <c r="EA362" t="s">
        <v>768</v>
      </c>
      <c r="EB362" t="s">
        <v>768</v>
      </c>
      <c r="EC362" t="s">
        <v>768</v>
      </c>
      <c r="ED362" t="s">
        <v>909</v>
      </c>
      <c r="EE362" t="s">
        <v>910</v>
      </c>
      <c r="EF362" t="s">
        <v>753</v>
      </c>
      <c r="EG362" t="s">
        <v>754</v>
      </c>
    </row>
    <row r="363" spans="1:137" ht="14.55" customHeight="1" x14ac:dyDescent="0.3">
      <c r="A363" t="s">
        <v>1195</v>
      </c>
      <c r="B363">
        <v>74279</v>
      </c>
      <c r="C363" t="s">
        <v>1196</v>
      </c>
      <c r="D363" t="s">
        <v>878</v>
      </c>
      <c r="E363" t="s">
        <v>879</v>
      </c>
      <c r="F363" t="s">
        <v>742</v>
      </c>
      <c r="G363" t="s">
        <v>880</v>
      </c>
      <c r="H363" s="3">
        <v>13959442.99</v>
      </c>
      <c r="I363">
        <v>1397</v>
      </c>
      <c r="J363" s="3">
        <v>1395.944299</v>
      </c>
      <c r="K363">
        <v>799</v>
      </c>
      <c r="L363">
        <v>1941</v>
      </c>
      <c r="M363">
        <v>1302.60759673076</v>
      </c>
      <c r="N363">
        <v>277.58798883123001</v>
      </c>
      <c r="O363">
        <v>0</v>
      </c>
      <c r="P363">
        <v>66.118331909179702</v>
      </c>
      <c r="Q363">
        <v>21.549575805664102</v>
      </c>
      <c r="R363">
        <v>12.757470130920399</v>
      </c>
      <c r="S363" t="s">
        <v>881</v>
      </c>
      <c r="T363" t="s">
        <v>1197</v>
      </c>
      <c r="U363" t="s">
        <v>1196</v>
      </c>
      <c r="V363" t="s">
        <v>1196</v>
      </c>
      <c r="W363" s="3">
        <v>793</v>
      </c>
      <c r="X363" s="3">
        <v>13950000</v>
      </c>
      <c r="Y363">
        <v>3</v>
      </c>
      <c r="Z363" s="3">
        <v>416</v>
      </c>
      <c r="AA363" s="3">
        <v>533</v>
      </c>
      <c r="AB363" s="3">
        <v>593</v>
      </c>
      <c r="AC363" s="3">
        <v>720</v>
      </c>
      <c r="AD363" s="3">
        <v>705</v>
      </c>
      <c r="AE363" s="3">
        <v>695</v>
      </c>
      <c r="AF363" s="3">
        <v>684</v>
      </c>
      <c r="AG363" s="3">
        <v>685</v>
      </c>
      <c r="AH363" s="3">
        <v>683</v>
      </c>
      <c r="AI363" s="3">
        <v>708</v>
      </c>
      <c r="AJ363" s="3">
        <v>728</v>
      </c>
      <c r="AK363" s="3">
        <v>749</v>
      </c>
      <c r="AL363" s="3">
        <v>760</v>
      </c>
      <c r="AM363" s="3">
        <v>776</v>
      </c>
      <c r="AN363" s="3">
        <v>793</v>
      </c>
      <c r="AO363" s="3">
        <v>812</v>
      </c>
      <c r="AP363" s="3">
        <v>831</v>
      </c>
      <c r="AR363" s="4">
        <v>59.56989247311828</v>
      </c>
      <c r="AS363" s="5">
        <f t="shared" si="50"/>
        <v>3.515625</v>
      </c>
      <c r="AT363" s="5">
        <f t="shared" si="51"/>
        <v>1.2507817385866167</v>
      </c>
      <c r="AU363" s="5">
        <f t="shared" si="52"/>
        <v>1.5345699831365935</v>
      </c>
      <c r="AV363" s="5">
        <f t="shared" si="53"/>
        <v>2.1491228070175441</v>
      </c>
      <c r="AW363" s="5">
        <f t="shared" si="54"/>
        <v>2.5028280542986425</v>
      </c>
      <c r="AX363" s="5">
        <f t="shared" si="55"/>
        <v>2.0067453625632377</v>
      </c>
      <c r="AY363" s="5">
        <f t="shared" si="56"/>
        <v>2.6962058212058211</v>
      </c>
      <c r="AZ363">
        <f t="shared" si="57"/>
        <v>13960000</v>
      </c>
      <c r="BA363">
        <v>0</v>
      </c>
      <c r="BB363">
        <v>1300000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1060000</v>
      </c>
      <c r="BN363">
        <v>0</v>
      </c>
      <c r="BO363">
        <v>460000</v>
      </c>
      <c r="BP363">
        <v>330000</v>
      </c>
      <c r="BQ363">
        <v>6080000</v>
      </c>
      <c r="BR363">
        <v>1880000</v>
      </c>
      <c r="BS363">
        <v>2850000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T363">
        <v>9.0974212034383992</v>
      </c>
      <c r="CU363">
        <v>13.8968481375358</v>
      </c>
      <c r="CV363">
        <v>77.00573065902573</v>
      </c>
      <c r="CW363">
        <v>0</v>
      </c>
      <c r="CX363">
        <v>0</v>
      </c>
      <c r="CY363">
        <v>9.0974212034383992</v>
      </c>
      <c r="CZ363">
        <v>11.103151862464181</v>
      </c>
      <c r="DA363">
        <v>79.799426934097497</v>
      </c>
      <c r="DB363">
        <v>0</v>
      </c>
      <c r="DC363">
        <v>0</v>
      </c>
      <c r="DD363">
        <v>9.3123209169054402</v>
      </c>
      <c r="DE363">
        <v>10.88825214899714</v>
      </c>
      <c r="DF363">
        <v>79.799426934097397</v>
      </c>
      <c r="DG363">
        <v>0</v>
      </c>
      <c r="DH363">
        <v>0</v>
      </c>
      <c r="DI363">
        <v>9.3123209169054402</v>
      </c>
      <c r="DJ363">
        <v>10.88825214899714</v>
      </c>
      <c r="DK363">
        <v>79.799426934097397</v>
      </c>
      <c r="DL363">
        <v>0</v>
      </c>
      <c r="DM363">
        <v>0</v>
      </c>
      <c r="DN363">
        <v>9.3123209169054402</v>
      </c>
      <c r="DO363">
        <v>10.88825214899714</v>
      </c>
      <c r="DP363">
        <v>79.799426934097397</v>
      </c>
      <c r="DQ363">
        <v>0</v>
      </c>
      <c r="DR363">
        <v>0</v>
      </c>
      <c r="DS363" t="s">
        <v>768</v>
      </c>
      <c r="DT363" t="s">
        <v>768</v>
      </c>
      <c r="DU363" t="s">
        <v>768</v>
      </c>
      <c r="DV363" t="s">
        <v>768</v>
      </c>
      <c r="DW363" t="s">
        <v>768</v>
      </c>
      <c r="DX363" t="s">
        <v>768</v>
      </c>
      <c r="DY363" t="s">
        <v>768</v>
      </c>
      <c r="DZ363" t="s">
        <v>768</v>
      </c>
      <c r="EA363" t="s">
        <v>768</v>
      </c>
      <c r="EB363" t="s">
        <v>768</v>
      </c>
      <c r="EC363" t="s">
        <v>768</v>
      </c>
      <c r="ED363" t="s">
        <v>909</v>
      </c>
      <c r="EE363" t="s">
        <v>910</v>
      </c>
      <c r="EF363" t="s">
        <v>753</v>
      </c>
      <c r="EG363" t="s">
        <v>754</v>
      </c>
    </row>
    <row r="364" spans="1:137" ht="14.55" customHeight="1" x14ac:dyDescent="0.3">
      <c r="A364" t="s">
        <v>1198</v>
      </c>
      <c r="B364">
        <v>74281</v>
      </c>
      <c r="C364" t="s">
        <v>887</v>
      </c>
      <c r="D364" t="s">
        <v>886</v>
      </c>
      <c r="E364" t="s">
        <v>879</v>
      </c>
      <c r="F364" t="s">
        <v>742</v>
      </c>
      <c r="G364" t="s">
        <v>887</v>
      </c>
      <c r="H364" s="3">
        <v>16337551.5699</v>
      </c>
      <c r="I364">
        <v>1627</v>
      </c>
      <c r="J364" s="3">
        <v>1633.7551569900002</v>
      </c>
      <c r="K364">
        <v>367</v>
      </c>
      <c r="L364">
        <v>580</v>
      </c>
      <c r="M364">
        <v>427.67290134927703</v>
      </c>
      <c r="N364">
        <v>33.313587667831598</v>
      </c>
      <c r="O364">
        <v>0</v>
      </c>
      <c r="P364">
        <v>40.667259216308601</v>
      </c>
      <c r="Q364">
        <v>5.0951042175293004</v>
      </c>
      <c r="R364">
        <v>4.18479347229004</v>
      </c>
      <c r="S364" t="s">
        <v>881</v>
      </c>
      <c r="T364" t="s">
        <v>1199</v>
      </c>
      <c r="U364" t="s">
        <v>887</v>
      </c>
      <c r="V364" t="s">
        <v>887</v>
      </c>
      <c r="W364" s="3">
        <v>34756</v>
      </c>
      <c r="X364" s="3">
        <v>16330000</v>
      </c>
      <c r="Y364">
        <v>2</v>
      </c>
      <c r="Z364" s="3">
        <v>24844</v>
      </c>
      <c r="AA364" s="3">
        <v>28401</v>
      </c>
      <c r="AB364" s="3">
        <v>28927</v>
      </c>
      <c r="AC364" s="3">
        <v>31213</v>
      </c>
      <c r="AD364" s="3">
        <v>31562</v>
      </c>
      <c r="AE364" s="3">
        <v>32824</v>
      </c>
      <c r="AF364" s="3">
        <v>33516</v>
      </c>
      <c r="AG364" s="3">
        <v>33925</v>
      </c>
      <c r="AH364" s="3">
        <v>33928</v>
      </c>
      <c r="AI364" s="3">
        <v>34661</v>
      </c>
      <c r="AJ364" s="3">
        <v>34610</v>
      </c>
      <c r="AK364" s="3">
        <v>34973</v>
      </c>
      <c r="AL364" s="3">
        <v>34895</v>
      </c>
      <c r="AM364" s="3">
        <v>35132</v>
      </c>
      <c r="AN364" s="3">
        <v>34756</v>
      </c>
      <c r="AO364" s="3">
        <v>35241</v>
      </c>
      <c r="AP364" s="3">
        <v>35826</v>
      </c>
      <c r="AQ364" s="3">
        <v>37027</v>
      </c>
      <c r="AR364" s="4">
        <v>2193.8763012859768</v>
      </c>
      <c r="AS364" s="5">
        <f t="shared" si="50"/>
        <v>1.7896675253582355</v>
      </c>
      <c r="AT364" s="5">
        <f t="shared" si="51"/>
        <v>0.20578305145749956</v>
      </c>
      <c r="AU364" s="5">
        <f t="shared" si="52"/>
        <v>1.5864071628582295</v>
      </c>
      <c r="AV364" s="5">
        <f t="shared" si="53"/>
        <v>0.68922305764411029</v>
      </c>
      <c r="AW364" s="5">
        <f t="shared" si="54"/>
        <v>0.96673832952920336</v>
      </c>
      <c r="AX364" s="5">
        <f t="shared" si="55"/>
        <v>1.1924845300238531</v>
      </c>
      <c r="AY364" s="5">
        <f t="shared" si="56"/>
        <v>1.1946981597601465</v>
      </c>
      <c r="AZ364">
        <f t="shared" si="57"/>
        <v>16230000</v>
      </c>
      <c r="BA364">
        <v>820000</v>
      </c>
      <c r="BB364">
        <v>8720000</v>
      </c>
      <c r="BC364">
        <v>1140000</v>
      </c>
      <c r="BD364">
        <v>0</v>
      </c>
      <c r="BE364">
        <v>210000</v>
      </c>
      <c r="BF364">
        <v>0</v>
      </c>
      <c r="BG364">
        <v>0</v>
      </c>
      <c r="BH364">
        <v>0</v>
      </c>
      <c r="BI364">
        <v>600000</v>
      </c>
      <c r="BJ364">
        <v>400000</v>
      </c>
      <c r="BK364">
        <v>0</v>
      </c>
      <c r="BL364">
        <v>0</v>
      </c>
      <c r="BM364">
        <v>620000</v>
      </c>
      <c r="BN364">
        <v>1050000</v>
      </c>
      <c r="BO364">
        <v>370000</v>
      </c>
      <c r="BP364">
        <v>2180000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120000</v>
      </c>
      <c r="CT364">
        <v>65.24953789279111</v>
      </c>
      <c r="CU364">
        <v>18.36105976586564</v>
      </c>
      <c r="CV364">
        <v>15.5884165126309</v>
      </c>
      <c r="CW364">
        <v>0</v>
      </c>
      <c r="CX364">
        <v>0.80098582871226098</v>
      </c>
      <c r="CY364">
        <v>66.85150955021571</v>
      </c>
      <c r="CZ364">
        <v>18.915588416512627</v>
      </c>
      <c r="DA364">
        <v>13.431916204559499</v>
      </c>
      <c r="DB364">
        <v>0</v>
      </c>
      <c r="DC364">
        <v>0.80098582871226098</v>
      </c>
      <c r="DD364">
        <v>69.870609981515727</v>
      </c>
      <c r="DE364">
        <v>16.204559457794197</v>
      </c>
      <c r="DF364">
        <v>13.185459026494099</v>
      </c>
      <c r="DG364">
        <v>0</v>
      </c>
      <c r="DH364">
        <v>0.73937153419593404</v>
      </c>
      <c r="DI364">
        <v>70.794824399260619</v>
      </c>
      <c r="DJ364">
        <v>15.280345040049291</v>
      </c>
      <c r="DK364">
        <v>13.185459026494099</v>
      </c>
      <c r="DL364">
        <v>0</v>
      </c>
      <c r="DM364">
        <v>0.73937153419593404</v>
      </c>
      <c r="DN364">
        <v>70.794824399260619</v>
      </c>
      <c r="DO364">
        <v>15.033887861983981</v>
      </c>
      <c r="DP364">
        <v>13.431916204559499</v>
      </c>
      <c r="DQ364">
        <v>0</v>
      </c>
      <c r="DR364">
        <v>0.73937153419593404</v>
      </c>
      <c r="DS364" t="s">
        <v>768</v>
      </c>
      <c r="DT364" t="s">
        <v>768</v>
      </c>
      <c r="DU364" t="s">
        <v>768</v>
      </c>
      <c r="DV364" t="s">
        <v>768</v>
      </c>
      <c r="DW364" t="s">
        <v>768</v>
      </c>
      <c r="DX364" t="s">
        <v>768</v>
      </c>
      <c r="DY364" t="s">
        <v>768</v>
      </c>
      <c r="DZ364" t="s">
        <v>768</v>
      </c>
      <c r="EA364" t="s">
        <v>768</v>
      </c>
      <c r="EB364" t="s">
        <v>768</v>
      </c>
      <c r="EC364" t="s">
        <v>768</v>
      </c>
      <c r="ED364" t="s">
        <v>889</v>
      </c>
      <c r="EE364" t="s">
        <v>887</v>
      </c>
      <c r="EF364" t="s">
        <v>746</v>
      </c>
      <c r="EG364" t="s">
        <v>747</v>
      </c>
    </row>
    <row r="365" spans="1:137" ht="14.55" customHeight="1" x14ac:dyDescent="0.3">
      <c r="A365" t="s">
        <v>1200</v>
      </c>
      <c r="B365">
        <v>74286</v>
      </c>
      <c r="C365" t="s">
        <v>1201</v>
      </c>
      <c r="D365" t="s">
        <v>878</v>
      </c>
      <c r="E365" t="s">
        <v>879</v>
      </c>
      <c r="F365" t="s">
        <v>742</v>
      </c>
      <c r="G365" t="s">
        <v>880</v>
      </c>
      <c r="H365" s="3">
        <v>31086827.200800002</v>
      </c>
      <c r="I365">
        <v>3107</v>
      </c>
      <c r="J365" s="3">
        <v>3108.6827200800003</v>
      </c>
      <c r="K365">
        <v>749</v>
      </c>
      <c r="L365">
        <v>2039</v>
      </c>
      <c r="M365">
        <v>1355.6478939091301</v>
      </c>
      <c r="N365">
        <v>309.52231950345902</v>
      </c>
      <c r="O365">
        <v>0</v>
      </c>
      <c r="P365">
        <v>72.417556762695298</v>
      </c>
      <c r="Q365">
        <v>25.347661972045898</v>
      </c>
      <c r="R365">
        <v>13.1212768554688</v>
      </c>
      <c r="S365" t="s">
        <v>881</v>
      </c>
      <c r="T365" t="s">
        <v>1202</v>
      </c>
      <c r="U365" t="s">
        <v>1201</v>
      </c>
      <c r="V365" t="s">
        <v>1201</v>
      </c>
      <c r="W365" s="3">
        <v>855</v>
      </c>
      <c r="X365" s="3">
        <v>31080000</v>
      </c>
      <c r="Y365">
        <v>3</v>
      </c>
      <c r="Z365" s="3">
        <v>523</v>
      </c>
      <c r="AA365" s="3">
        <v>533</v>
      </c>
      <c r="AB365" s="3">
        <v>606</v>
      </c>
      <c r="AC365" s="3">
        <v>715</v>
      </c>
      <c r="AD365" s="3">
        <v>729</v>
      </c>
      <c r="AE365" s="3">
        <v>758</v>
      </c>
      <c r="AF365" s="3">
        <v>772</v>
      </c>
      <c r="AG365" s="3">
        <v>775</v>
      </c>
      <c r="AH365" s="3">
        <v>778</v>
      </c>
      <c r="AI365" s="3">
        <v>781</v>
      </c>
      <c r="AJ365" s="3">
        <v>785</v>
      </c>
      <c r="AK365" s="3">
        <v>785</v>
      </c>
      <c r="AL365" s="3">
        <v>807</v>
      </c>
      <c r="AM365" s="3">
        <v>831</v>
      </c>
      <c r="AN365" s="3">
        <v>855</v>
      </c>
      <c r="AO365" s="3">
        <v>860</v>
      </c>
      <c r="AP365" s="3">
        <v>859</v>
      </c>
      <c r="AR365" s="4">
        <v>27.638352638352639</v>
      </c>
      <c r="AS365" s="5">
        <f t="shared" si="50"/>
        <v>0.23900573613766732</v>
      </c>
      <c r="AT365" s="5">
        <f t="shared" si="51"/>
        <v>1.5217844486137171</v>
      </c>
      <c r="AU365" s="5">
        <f t="shared" si="52"/>
        <v>2.7392739273927389</v>
      </c>
      <c r="AV365" s="5">
        <f t="shared" si="53"/>
        <v>1.1269430051813472</v>
      </c>
      <c r="AW365" s="5">
        <f t="shared" si="54"/>
        <v>0.93352828703183</v>
      </c>
      <c r="AX365" s="5">
        <f t="shared" si="55"/>
        <v>2.0874587458745877</v>
      </c>
      <c r="AY365" s="5">
        <f t="shared" si="56"/>
        <v>1.7363443749677017</v>
      </c>
      <c r="AZ365">
        <f t="shared" si="57"/>
        <v>31040000</v>
      </c>
      <c r="BA365">
        <v>0</v>
      </c>
      <c r="BB365">
        <v>590000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2600000</v>
      </c>
      <c r="BN365">
        <v>430000</v>
      </c>
      <c r="BO365">
        <v>0</v>
      </c>
      <c r="BP365">
        <v>2190000</v>
      </c>
      <c r="BQ365">
        <v>8570000</v>
      </c>
      <c r="BR365">
        <v>5310000</v>
      </c>
      <c r="BS365">
        <v>10580000</v>
      </c>
      <c r="BT365">
        <v>0</v>
      </c>
      <c r="BU365">
        <v>0</v>
      </c>
      <c r="BV365">
        <v>0</v>
      </c>
      <c r="BW365">
        <v>40000</v>
      </c>
      <c r="BX365">
        <v>730000</v>
      </c>
      <c r="BY365">
        <v>0</v>
      </c>
      <c r="BZ365">
        <v>0</v>
      </c>
      <c r="CA365">
        <v>0</v>
      </c>
      <c r="CT365">
        <v>1.44974226804124</v>
      </c>
      <c r="CU365">
        <v>9.7615979381443303</v>
      </c>
      <c r="CV365">
        <v>88.788659793814475</v>
      </c>
      <c r="CW365">
        <v>0</v>
      </c>
      <c r="CX365">
        <v>0</v>
      </c>
      <c r="CY365">
        <v>1.9007731958762899</v>
      </c>
      <c r="CZ365">
        <v>9.7615979381443303</v>
      </c>
      <c r="DA365">
        <v>88.337628865979383</v>
      </c>
      <c r="DB365">
        <v>0</v>
      </c>
      <c r="DC365">
        <v>0</v>
      </c>
      <c r="DD365">
        <v>1.9007731958762899</v>
      </c>
      <c r="DE365">
        <v>9.7615979381443303</v>
      </c>
      <c r="DF365">
        <v>88.337628865979383</v>
      </c>
      <c r="DG365">
        <v>0</v>
      </c>
      <c r="DH365">
        <v>0</v>
      </c>
      <c r="DI365">
        <v>1.9007731958762899</v>
      </c>
      <c r="DJ365">
        <v>9.7615979381443303</v>
      </c>
      <c r="DK365">
        <v>88.337628865979482</v>
      </c>
      <c r="DL365">
        <v>0</v>
      </c>
      <c r="DM365">
        <v>0</v>
      </c>
      <c r="DN365">
        <v>1.9007731958762899</v>
      </c>
      <c r="DO365">
        <v>9.7615979381443303</v>
      </c>
      <c r="DP365">
        <v>88.337628865979482</v>
      </c>
      <c r="DQ365">
        <v>0</v>
      </c>
      <c r="DR365">
        <v>0</v>
      </c>
      <c r="DS365" t="s">
        <v>768</v>
      </c>
      <c r="DT365" t="s">
        <v>768</v>
      </c>
      <c r="DU365" t="s">
        <v>768</v>
      </c>
      <c r="DV365" t="s">
        <v>768</v>
      </c>
      <c r="DW365" t="s">
        <v>768</v>
      </c>
      <c r="DX365" t="s">
        <v>768</v>
      </c>
      <c r="DY365" t="s">
        <v>768</v>
      </c>
      <c r="DZ365" t="s">
        <v>768</v>
      </c>
      <c r="EA365" t="s">
        <v>768</v>
      </c>
      <c r="EB365" t="s">
        <v>768</v>
      </c>
      <c r="EC365" t="s">
        <v>768</v>
      </c>
      <c r="ED365" t="s">
        <v>909</v>
      </c>
      <c r="EE365" t="s">
        <v>910</v>
      </c>
      <c r="EF365" t="s">
        <v>753</v>
      </c>
      <c r="EG365" t="s">
        <v>754</v>
      </c>
    </row>
    <row r="366" spans="1:137" ht="14.55" customHeight="1" x14ac:dyDescent="0.3">
      <c r="A366" t="s">
        <v>1203</v>
      </c>
      <c r="B366">
        <v>74287</v>
      </c>
      <c r="C366" t="s">
        <v>1204</v>
      </c>
      <c r="D366" t="s">
        <v>878</v>
      </c>
      <c r="E366" t="s">
        <v>879</v>
      </c>
      <c r="F366" t="s">
        <v>742</v>
      </c>
      <c r="G366" t="s">
        <v>887</v>
      </c>
      <c r="H366" s="3">
        <v>18842478.915100001</v>
      </c>
      <c r="I366">
        <v>1884</v>
      </c>
      <c r="J366" s="3">
        <v>1884.24789151</v>
      </c>
      <c r="K366">
        <v>652</v>
      </c>
      <c r="L366">
        <v>1866</v>
      </c>
      <c r="M366">
        <v>1081.26012838051</v>
      </c>
      <c r="N366">
        <v>277.94072228558201</v>
      </c>
      <c r="O366">
        <v>0.33761471509933499</v>
      </c>
      <c r="P366">
        <v>63.717819213867202</v>
      </c>
      <c r="Q366">
        <v>21.3015441894531</v>
      </c>
      <c r="R366">
        <v>10.7392578125</v>
      </c>
      <c r="S366" t="s">
        <v>881</v>
      </c>
      <c r="T366" t="s">
        <v>1205</v>
      </c>
      <c r="U366" t="s">
        <v>1204</v>
      </c>
      <c r="V366" t="s">
        <v>1204</v>
      </c>
      <c r="W366" s="3">
        <v>910</v>
      </c>
      <c r="X366" s="3">
        <v>18840000</v>
      </c>
      <c r="Y366">
        <v>3</v>
      </c>
      <c r="Z366" s="3">
        <v>567</v>
      </c>
      <c r="AA366" s="3">
        <v>601</v>
      </c>
      <c r="AB366" s="3">
        <v>615</v>
      </c>
      <c r="AC366" s="3">
        <v>644</v>
      </c>
      <c r="AD366" s="3">
        <v>662</v>
      </c>
      <c r="AE366" s="3">
        <v>724</v>
      </c>
      <c r="AF366" s="3">
        <v>787</v>
      </c>
      <c r="AG366" s="3">
        <v>850</v>
      </c>
      <c r="AH366" s="3">
        <v>861</v>
      </c>
      <c r="AI366" s="3">
        <v>855</v>
      </c>
      <c r="AJ366" s="3">
        <v>871</v>
      </c>
      <c r="AK366" s="3">
        <v>888</v>
      </c>
      <c r="AL366" s="3">
        <v>904</v>
      </c>
      <c r="AM366" s="3">
        <v>904</v>
      </c>
      <c r="AN366" s="3">
        <v>910</v>
      </c>
      <c r="AO366" s="3">
        <v>912</v>
      </c>
      <c r="AP366" s="3">
        <v>914</v>
      </c>
      <c r="AR366" s="4">
        <v>48.51380042462845</v>
      </c>
      <c r="AS366" s="5">
        <f t="shared" si="50"/>
        <v>0.74955908289241613</v>
      </c>
      <c r="AT366" s="5">
        <f t="shared" si="51"/>
        <v>0.258827879460159</v>
      </c>
      <c r="AU366" s="5">
        <f t="shared" si="52"/>
        <v>2.7967479674796745</v>
      </c>
      <c r="AV366" s="5">
        <f t="shared" si="53"/>
        <v>1.613722998729352</v>
      </c>
      <c r="AW366" s="5">
        <f t="shared" si="54"/>
        <v>0.49797696856520379</v>
      </c>
      <c r="AX366" s="5">
        <f t="shared" si="55"/>
        <v>2.4308943089430897</v>
      </c>
      <c r="AY366" s="5">
        <f t="shared" si="56"/>
        <v>1.6540349873683209</v>
      </c>
      <c r="AZ366">
        <f t="shared" si="57"/>
        <v>18810000</v>
      </c>
      <c r="BA366">
        <v>0</v>
      </c>
      <c r="BB366">
        <v>440000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3520000</v>
      </c>
      <c r="BN366">
        <v>910000</v>
      </c>
      <c r="BO366">
        <v>490000</v>
      </c>
      <c r="BP366">
        <v>1060000</v>
      </c>
      <c r="BQ366">
        <v>5400000</v>
      </c>
      <c r="BR366">
        <v>5140000</v>
      </c>
      <c r="BS366">
        <v>1840000</v>
      </c>
      <c r="BT366">
        <v>0</v>
      </c>
      <c r="BU366">
        <v>0</v>
      </c>
      <c r="BV366">
        <v>0</v>
      </c>
      <c r="BW366">
        <v>0</v>
      </c>
      <c r="BX366">
        <v>10000</v>
      </c>
      <c r="BY366">
        <v>0</v>
      </c>
      <c r="BZ366">
        <v>0</v>
      </c>
      <c r="CA366">
        <v>0</v>
      </c>
      <c r="CT366">
        <v>2.3391812865497101</v>
      </c>
      <c r="CU366">
        <v>23.1791600212653</v>
      </c>
      <c r="CV366">
        <v>74.48165869218505</v>
      </c>
      <c r="CW366">
        <v>0</v>
      </c>
      <c r="CX366">
        <v>0</v>
      </c>
      <c r="CY366">
        <v>2.3391812865497101</v>
      </c>
      <c r="CZ366">
        <v>26.262626262626263</v>
      </c>
      <c r="DA366">
        <v>71.398192450824055</v>
      </c>
      <c r="DB366">
        <v>0</v>
      </c>
      <c r="DC366">
        <v>0</v>
      </c>
      <c r="DD366">
        <v>2.3391812865497101</v>
      </c>
      <c r="DE366">
        <v>26.156299840510407</v>
      </c>
      <c r="DF366">
        <v>71.504518872939954</v>
      </c>
      <c r="DG366">
        <v>0</v>
      </c>
      <c r="DH366">
        <v>0</v>
      </c>
      <c r="DI366">
        <v>2.3391812865497101</v>
      </c>
      <c r="DJ366">
        <v>26.156299840510407</v>
      </c>
      <c r="DK366">
        <v>71.504518872939954</v>
      </c>
      <c r="DL366">
        <v>0</v>
      </c>
      <c r="DM366">
        <v>0</v>
      </c>
      <c r="DN366">
        <v>2.3391812865497101</v>
      </c>
      <c r="DO366">
        <v>26.156299840510407</v>
      </c>
      <c r="DP366">
        <v>71.504518872939954</v>
      </c>
      <c r="DQ366">
        <v>0</v>
      </c>
      <c r="DR366">
        <v>0</v>
      </c>
      <c r="DS366" t="s">
        <v>768</v>
      </c>
      <c r="DT366" t="s">
        <v>768</v>
      </c>
      <c r="DU366" t="s">
        <v>768</v>
      </c>
      <c r="DV366" t="s">
        <v>768</v>
      </c>
      <c r="DW366" t="s">
        <v>768</v>
      </c>
      <c r="DX366" t="s">
        <v>768</v>
      </c>
      <c r="DY366" t="s">
        <v>768</v>
      </c>
      <c r="DZ366" t="s">
        <v>768</v>
      </c>
      <c r="EA366" t="s">
        <v>768</v>
      </c>
      <c r="EB366" t="s">
        <v>768</v>
      </c>
      <c r="EC366" t="s">
        <v>768</v>
      </c>
      <c r="ED366" t="s">
        <v>909</v>
      </c>
      <c r="EE366" t="s">
        <v>910</v>
      </c>
      <c r="EF366" t="s">
        <v>753</v>
      </c>
      <c r="EG366" t="s">
        <v>754</v>
      </c>
    </row>
    <row r="367" spans="1:137" ht="14.55" customHeight="1" x14ac:dyDescent="0.3">
      <c r="A367" t="s">
        <v>1206</v>
      </c>
      <c r="B367">
        <v>74288</v>
      </c>
      <c r="C367" t="s">
        <v>1207</v>
      </c>
      <c r="D367" t="s">
        <v>543</v>
      </c>
      <c r="E367" t="s">
        <v>879</v>
      </c>
      <c r="F367" t="s">
        <v>742</v>
      </c>
      <c r="G367" t="s">
        <v>913</v>
      </c>
      <c r="H367" s="3">
        <v>6953034.1763599999</v>
      </c>
      <c r="I367">
        <v>699</v>
      </c>
      <c r="J367" s="3">
        <v>695.30341763599995</v>
      </c>
      <c r="K367">
        <v>349</v>
      </c>
      <c r="L367">
        <v>567</v>
      </c>
      <c r="M367">
        <v>461.30750143157098</v>
      </c>
      <c r="N367">
        <v>34.500514158883</v>
      </c>
      <c r="O367">
        <v>0</v>
      </c>
      <c r="P367">
        <v>29.970252990722699</v>
      </c>
      <c r="Q367">
        <v>4.8217515945434597</v>
      </c>
      <c r="R367">
        <v>3.6508367061614999</v>
      </c>
      <c r="S367" t="s">
        <v>881</v>
      </c>
      <c r="T367" t="s">
        <v>1208</v>
      </c>
      <c r="U367" t="s">
        <v>1207</v>
      </c>
      <c r="V367" t="s">
        <v>1207</v>
      </c>
      <c r="W367" s="3">
        <v>4697</v>
      </c>
      <c r="X367" s="3">
        <v>6960000</v>
      </c>
      <c r="Y367">
        <v>3</v>
      </c>
      <c r="Z367" s="3">
        <v>1371</v>
      </c>
      <c r="AA367" s="3">
        <v>1748</v>
      </c>
      <c r="AB367" s="3">
        <v>2197</v>
      </c>
      <c r="AC367" s="3">
        <v>2868</v>
      </c>
      <c r="AD367" s="3">
        <v>2962</v>
      </c>
      <c r="AE367" s="3">
        <v>3056</v>
      </c>
      <c r="AF367" s="3">
        <v>3081</v>
      </c>
      <c r="AG367" s="3">
        <v>3195</v>
      </c>
      <c r="AH367" s="3">
        <v>3394</v>
      </c>
      <c r="AI367" s="3">
        <v>3615</v>
      </c>
      <c r="AJ367" s="3">
        <v>3835</v>
      </c>
      <c r="AK367" s="3">
        <v>4006</v>
      </c>
      <c r="AL367" s="3">
        <v>4360</v>
      </c>
      <c r="AM367" s="3">
        <v>4527</v>
      </c>
      <c r="AN367" s="3">
        <v>4697</v>
      </c>
      <c r="AO367" s="3">
        <v>4866</v>
      </c>
      <c r="AP367" s="3">
        <v>4935</v>
      </c>
      <c r="AQ367" s="3">
        <v>4916</v>
      </c>
      <c r="AR367" s="4">
        <v>709.05172413793105</v>
      </c>
      <c r="AS367" s="5">
        <f t="shared" si="50"/>
        <v>3.4372720641867249</v>
      </c>
      <c r="AT367" s="5">
        <f t="shared" si="51"/>
        <v>2.8540554284261375</v>
      </c>
      <c r="AU367" s="5">
        <f t="shared" si="52"/>
        <v>4.0236686390532546</v>
      </c>
      <c r="AV367" s="5">
        <f t="shared" si="53"/>
        <v>6.0175267770204472</v>
      </c>
      <c r="AW367" s="5">
        <f t="shared" si="54"/>
        <v>3.543999656755481</v>
      </c>
      <c r="AX367" s="5">
        <f t="shared" si="55"/>
        <v>6.23122439690487</v>
      </c>
      <c r="AY367" s="5">
        <f t="shared" si="56"/>
        <v>7.0258442249689512</v>
      </c>
      <c r="AZ367">
        <f t="shared" si="57"/>
        <v>7000000</v>
      </c>
      <c r="BA367">
        <v>0</v>
      </c>
      <c r="BB367">
        <v>1540000</v>
      </c>
      <c r="BC367">
        <v>310000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2870000</v>
      </c>
      <c r="BK367">
        <v>0</v>
      </c>
      <c r="BL367">
        <v>0</v>
      </c>
      <c r="BM367">
        <v>80000</v>
      </c>
      <c r="BN367">
        <v>80000</v>
      </c>
      <c r="BO367">
        <v>380000</v>
      </c>
      <c r="BP367">
        <v>1740000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T367">
        <v>17.999999999999961</v>
      </c>
      <c r="CU367">
        <v>55.857142857142868</v>
      </c>
      <c r="CV367">
        <v>26.142857142857199</v>
      </c>
      <c r="CW367">
        <v>0</v>
      </c>
      <c r="CX367">
        <v>0</v>
      </c>
      <c r="CY367">
        <v>17.999999999999961</v>
      </c>
      <c r="CZ367">
        <v>55.857142857142868</v>
      </c>
      <c r="DA367">
        <v>26.142857142857199</v>
      </c>
      <c r="DB367">
        <v>0</v>
      </c>
      <c r="DC367">
        <v>0</v>
      </c>
      <c r="DD367">
        <v>24.28571428571427</v>
      </c>
      <c r="DE367">
        <v>50.857142857142897</v>
      </c>
      <c r="DF367">
        <v>24.8571428571429</v>
      </c>
      <c r="DG367">
        <v>0</v>
      </c>
      <c r="DH367">
        <v>0</v>
      </c>
      <c r="DI367">
        <v>26.42857142857147</v>
      </c>
      <c r="DJ367">
        <v>48.714285714285708</v>
      </c>
      <c r="DK367">
        <v>24.8571428571429</v>
      </c>
      <c r="DL367">
        <v>0</v>
      </c>
      <c r="DM367">
        <v>0</v>
      </c>
      <c r="DN367">
        <v>26.428571428571431</v>
      </c>
      <c r="DO367">
        <v>48.714285714285708</v>
      </c>
      <c r="DP367">
        <v>24.8571428571429</v>
      </c>
      <c r="DQ367">
        <v>0</v>
      </c>
      <c r="DR367">
        <v>0</v>
      </c>
      <c r="DS367" t="s">
        <v>312</v>
      </c>
      <c r="DT367" t="s">
        <v>313</v>
      </c>
      <c r="DU367">
        <v>4907</v>
      </c>
      <c r="DV367" t="s">
        <v>547</v>
      </c>
      <c r="DW367" t="s">
        <v>548</v>
      </c>
      <c r="DX367">
        <v>86</v>
      </c>
      <c r="DY367">
        <v>130</v>
      </c>
      <c r="DZ367">
        <v>216</v>
      </c>
      <c r="EA367">
        <v>606779</v>
      </c>
      <c r="EB367">
        <v>388178</v>
      </c>
      <c r="EC367">
        <v>994957</v>
      </c>
      <c r="ED367" t="s">
        <v>1209</v>
      </c>
      <c r="EE367" t="s">
        <v>1207</v>
      </c>
      <c r="EF367" t="s">
        <v>746</v>
      </c>
      <c r="EG367" t="s">
        <v>793</v>
      </c>
    </row>
    <row r="368" spans="1:137" ht="14.55" customHeight="1" x14ac:dyDescent="0.3">
      <c r="A368" t="s">
        <v>1210</v>
      </c>
      <c r="B368">
        <v>74293</v>
      </c>
      <c r="C368" t="s">
        <v>1211</v>
      </c>
      <c r="D368" t="s">
        <v>543</v>
      </c>
      <c r="E368" t="s">
        <v>879</v>
      </c>
      <c r="F368" t="s">
        <v>742</v>
      </c>
      <c r="G368" t="s">
        <v>904</v>
      </c>
      <c r="H368" s="3">
        <v>12983620.9386</v>
      </c>
      <c r="I368">
        <v>1298</v>
      </c>
      <c r="J368" s="3">
        <v>1298.36209386</v>
      </c>
      <c r="K368">
        <v>405</v>
      </c>
      <c r="L368">
        <v>487</v>
      </c>
      <c r="M368">
        <v>441.67672084373601</v>
      </c>
      <c r="N368">
        <v>18.017085398825898</v>
      </c>
      <c r="O368">
        <v>0</v>
      </c>
      <c r="P368">
        <v>22.2493686676025</v>
      </c>
      <c r="Q368">
        <v>3.77697849273682</v>
      </c>
      <c r="R368">
        <v>2.4446492195129399</v>
      </c>
      <c r="S368" t="s">
        <v>881</v>
      </c>
      <c r="T368" t="s">
        <v>1212</v>
      </c>
      <c r="U368" t="s">
        <v>1211</v>
      </c>
      <c r="V368" t="s">
        <v>1211</v>
      </c>
      <c r="W368" s="3">
        <v>3685</v>
      </c>
      <c r="X368" s="3">
        <v>12980000</v>
      </c>
      <c r="Y368">
        <v>3</v>
      </c>
      <c r="Z368" s="3">
        <v>1935</v>
      </c>
      <c r="AA368" s="3">
        <v>2405</v>
      </c>
      <c r="AB368" s="3">
        <v>2502</v>
      </c>
      <c r="AC368" s="3">
        <v>3009</v>
      </c>
      <c r="AD368" s="3">
        <v>3151</v>
      </c>
      <c r="AE368" s="3">
        <v>3291</v>
      </c>
      <c r="AF368" s="3">
        <v>3430</v>
      </c>
      <c r="AG368" s="3">
        <v>3568</v>
      </c>
      <c r="AH368" s="3">
        <v>3633</v>
      </c>
      <c r="AI368" s="3">
        <v>3558</v>
      </c>
      <c r="AJ368" s="3">
        <v>3483</v>
      </c>
      <c r="AK368" s="3">
        <v>3409</v>
      </c>
      <c r="AL368" s="3">
        <v>3418</v>
      </c>
      <c r="AM368" s="3">
        <v>3562</v>
      </c>
      <c r="AN368" s="3">
        <v>3685</v>
      </c>
      <c r="AO368" s="3">
        <v>3802</v>
      </c>
      <c r="AP368" s="3">
        <v>3919</v>
      </c>
      <c r="AQ368" s="3">
        <v>4005</v>
      </c>
      <c r="AR368" s="4">
        <v>301.92604006163327</v>
      </c>
      <c r="AS368" s="5">
        <f t="shared" si="50"/>
        <v>3.0361757105943155</v>
      </c>
      <c r="AT368" s="5">
        <f t="shared" si="51"/>
        <v>0.44814044814044818</v>
      </c>
      <c r="AU368" s="5">
        <f t="shared" si="52"/>
        <v>3.709032773780975</v>
      </c>
      <c r="AV368" s="5">
        <f t="shared" si="53"/>
        <v>1.425655976676385</v>
      </c>
      <c r="AW368" s="5">
        <f t="shared" si="54"/>
        <v>1.7236662106703147</v>
      </c>
      <c r="AX368" s="5">
        <f t="shared" si="55"/>
        <v>2.8317346123101514</v>
      </c>
      <c r="AY368" s="5">
        <f t="shared" si="56"/>
        <v>2.7711432362595154</v>
      </c>
      <c r="AZ368">
        <f t="shared" si="57"/>
        <v>13020000</v>
      </c>
      <c r="BA368">
        <v>0</v>
      </c>
      <c r="BB368">
        <v>2630000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3280000</v>
      </c>
      <c r="BK368">
        <v>0</v>
      </c>
      <c r="BL368">
        <v>0</v>
      </c>
      <c r="BM368">
        <v>0</v>
      </c>
      <c r="BN368">
        <v>2240000</v>
      </c>
      <c r="BO368">
        <v>0</v>
      </c>
      <c r="BP368">
        <v>4660000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210000</v>
      </c>
      <c r="BZ368">
        <v>0</v>
      </c>
      <c r="CA368">
        <v>0</v>
      </c>
      <c r="CT368">
        <v>15.9754224270353</v>
      </c>
      <c r="CU368">
        <v>46.082949308755701</v>
      </c>
      <c r="CV368">
        <v>36.328725038402503</v>
      </c>
      <c r="CW368">
        <v>1.61290322580645</v>
      </c>
      <c r="CX368">
        <v>0</v>
      </c>
      <c r="CY368">
        <v>16.436251920122899</v>
      </c>
      <c r="CZ368">
        <v>46.0061443932412</v>
      </c>
      <c r="DA368">
        <v>35.944700460829502</v>
      </c>
      <c r="DB368">
        <v>1.61290322580645</v>
      </c>
      <c r="DC368">
        <v>0</v>
      </c>
      <c r="DD368">
        <v>20.122887864823401</v>
      </c>
      <c r="DE368">
        <v>42.473118279569903</v>
      </c>
      <c r="DF368">
        <v>35.791090629800301</v>
      </c>
      <c r="DG368">
        <v>1.61290322580645</v>
      </c>
      <c r="DH368">
        <v>0</v>
      </c>
      <c r="DI368">
        <v>20.199692780337902</v>
      </c>
      <c r="DJ368">
        <v>42.396313364055302</v>
      </c>
      <c r="DK368">
        <v>35.791090629800301</v>
      </c>
      <c r="DL368">
        <v>1.61290322580645</v>
      </c>
      <c r="DM368">
        <v>0</v>
      </c>
      <c r="DN368">
        <v>20.199692780337902</v>
      </c>
      <c r="DO368">
        <v>42.396313364055302</v>
      </c>
      <c r="DP368">
        <v>35.791090629800301</v>
      </c>
      <c r="DQ368">
        <v>1.61290322580645</v>
      </c>
      <c r="DR368">
        <v>0</v>
      </c>
      <c r="DS368" t="s">
        <v>312</v>
      </c>
      <c r="DT368" t="s">
        <v>313</v>
      </c>
      <c r="DU368">
        <v>3967</v>
      </c>
      <c r="DV368" t="s">
        <v>547</v>
      </c>
      <c r="DW368" t="s">
        <v>548</v>
      </c>
      <c r="DX368">
        <v>86</v>
      </c>
      <c r="DY368">
        <v>130</v>
      </c>
      <c r="DZ368">
        <v>216</v>
      </c>
      <c r="EA368">
        <v>606779</v>
      </c>
      <c r="EB368">
        <v>388178</v>
      </c>
      <c r="EC368">
        <v>994957</v>
      </c>
      <c r="ED368" t="s">
        <v>1213</v>
      </c>
      <c r="EE368" t="s">
        <v>1211</v>
      </c>
      <c r="EF368" t="s">
        <v>746</v>
      </c>
      <c r="EG368" t="s">
        <v>793</v>
      </c>
    </row>
    <row r="369" spans="1:137" ht="14.55" customHeight="1" x14ac:dyDescent="0.3">
      <c r="A369" t="s">
        <v>1214</v>
      </c>
      <c r="B369">
        <v>74295</v>
      </c>
      <c r="C369" t="s">
        <v>1215</v>
      </c>
      <c r="D369" t="s">
        <v>878</v>
      </c>
      <c r="E369" t="s">
        <v>879</v>
      </c>
      <c r="F369" t="s">
        <v>742</v>
      </c>
      <c r="G369" t="s">
        <v>880</v>
      </c>
      <c r="H369" s="3">
        <v>7770051.9975399999</v>
      </c>
      <c r="I369">
        <v>788</v>
      </c>
      <c r="J369" s="3">
        <v>777.00519975400005</v>
      </c>
      <c r="K369">
        <v>522</v>
      </c>
      <c r="L369">
        <v>1848</v>
      </c>
      <c r="M369">
        <v>1025.2769557823101</v>
      </c>
      <c r="N369">
        <v>321.14117667050698</v>
      </c>
      <c r="O369">
        <v>0.33761471509933499</v>
      </c>
      <c r="P369">
        <v>75.482322692871094</v>
      </c>
      <c r="Q369">
        <v>25.815523147583001</v>
      </c>
      <c r="R369">
        <v>12.263898849487299</v>
      </c>
      <c r="S369" t="s">
        <v>881</v>
      </c>
      <c r="T369" t="s">
        <v>1216</v>
      </c>
      <c r="U369" t="s">
        <v>1215</v>
      </c>
      <c r="V369" t="s">
        <v>1215</v>
      </c>
      <c r="W369" s="3">
        <v>337</v>
      </c>
      <c r="X369" s="3">
        <v>7740000</v>
      </c>
      <c r="Y369">
        <v>3</v>
      </c>
      <c r="Z369" s="3">
        <v>160</v>
      </c>
      <c r="AA369" s="3">
        <v>158</v>
      </c>
      <c r="AB369" s="3">
        <v>217</v>
      </c>
      <c r="AC369" s="3">
        <v>280</v>
      </c>
      <c r="AD369" s="3">
        <v>290</v>
      </c>
      <c r="AE369" s="3">
        <v>294</v>
      </c>
      <c r="AF369" s="3">
        <v>294</v>
      </c>
      <c r="AG369" s="3">
        <v>294</v>
      </c>
      <c r="AH369" s="3">
        <v>294</v>
      </c>
      <c r="AI369" s="3">
        <v>296</v>
      </c>
      <c r="AJ369" s="3">
        <v>301</v>
      </c>
      <c r="AK369" s="3">
        <v>314</v>
      </c>
      <c r="AL369" s="3">
        <v>326</v>
      </c>
      <c r="AM369" s="3">
        <v>337</v>
      </c>
      <c r="AN369" s="3">
        <v>337</v>
      </c>
      <c r="AO369" s="3">
        <v>340</v>
      </c>
      <c r="AP369" s="3">
        <v>343</v>
      </c>
      <c r="AR369" s="4">
        <v>44.315245478036175</v>
      </c>
      <c r="AS369" s="5">
        <f t="shared" si="50"/>
        <v>-0.15625</v>
      </c>
      <c r="AT369" s="5">
        <f t="shared" si="51"/>
        <v>4.1490857946554147</v>
      </c>
      <c r="AU369" s="5">
        <f t="shared" si="52"/>
        <v>3.5483870967741935</v>
      </c>
      <c r="AV369" s="5">
        <f t="shared" si="53"/>
        <v>1.6666666666666667</v>
      </c>
      <c r="AW369" s="5">
        <f t="shared" si="54"/>
        <v>2.0955882352941178</v>
      </c>
      <c r="AX369" s="5">
        <f t="shared" si="55"/>
        <v>2.903225806451613</v>
      </c>
      <c r="AY369" s="5">
        <f t="shared" si="56"/>
        <v>3.0912162162162162</v>
      </c>
      <c r="AZ369">
        <f t="shared" si="57"/>
        <v>7860000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750000</v>
      </c>
      <c r="BN369">
        <v>0</v>
      </c>
      <c r="BO369">
        <v>0</v>
      </c>
      <c r="BP369">
        <v>750000</v>
      </c>
      <c r="BQ369">
        <v>1820000</v>
      </c>
      <c r="BR369">
        <v>3810000</v>
      </c>
      <c r="BS369">
        <v>360000</v>
      </c>
      <c r="BT369">
        <v>340000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30000</v>
      </c>
      <c r="CT369">
        <v>0</v>
      </c>
      <c r="CU369">
        <v>11.577608142493601</v>
      </c>
      <c r="CV369">
        <v>88.040712468193405</v>
      </c>
      <c r="CW369">
        <v>0</v>
      </c>
      <c r="CX369">
        <v>0.38167938931297701</v>
      </c>
      <c r="CY369">
        <v>0</v>
      </c>
      <c r="CZ369">
        <v>11.577608142493601</v>
      </c>
      <c r="DA369">
        <v>88.040712468193419</v>
      </c>
      <c r="DB369">
        <v>0</v>
      </c>
      <c r="DC369">
        <v>0.38167938931297701</v>
      </c>
      <c r="DD369">
        <v>0</v>
      </c>
      <c r="DE369">
        <v>11.577608142493601</v>
      </c>
      <c r="DF369">
        <v>88.040712468193391</v>
      </c>
      <c r="DG369">
        <v>0</v>
      </c>
      <c r="DH369">
        <v>0.38167938931297701</v>
      </c>
      <c r="DI369">
        <v>0</v>
      </c>
      <c r="DJ369">
        <v>9.5419847328244298</v>
      </c>
      <c r="DK369">
        <v>90.07633587786259</v>
      </c>
      <c r="DL369">
        <v>0</v>
      </c>
      <c r="DM369">
        <v>0.38167938931297701</v>
      </c>
      <c r="DN369">
        <v>0</v>
      </c>
      <c r="DO369">
        <v>9.5419847328244298</v>
      </c>
      <c r="DP369">
        <v>90.07633587786259</v>
      </c>
      <c r="DQ369">
        <v>0</v>
      </c>
      <c r="DR369">
        <v>0.38167938931297701</v>
      </c>
      <c r="DS369" t="s">
        <v>768</v>
      </c>
      <c r="DT369" t="s">
        <v>768</v>
      </c>
      <c r="DU369" t="s">
        <v>768</v>
      </c>
      <c r="DV369" t="s">
        <v>768</v>
      </c>
      <c r="DW369" t="s">
        <v>768</v>
      </c>
      <c r="DX369" t="s">
        <v>768</v>
      </c>
      <c r="DY369" t="s">
        <v>768</v>
      </c>
      <c r="DZ369" t="s">
        <v>768</v>
      </c>
      <c r="EA369" t="s">
        <v>768</v>
      </c>
      <c r="EB369" t="s">
        <v>768</v>
      </c>
      <c r="EC369" t="s">
        <v>768</v>
      </c>
      <c r="ED369" t="s">
        <v>909</v>
      </c>
      <c r="EE369" t="s">
        <v>910</v>
      </c>
      <c r="EF369" t="s">
        <v>753</v>
      </c>
      <c r="EG369" t="s">
        <v>754</v>
      </c>
    </row>
    <row r="370" spans="1:137" ht="14.55" customHeight="1" x14ac:dyDescent="0.3">
      <c r="A370" t="s">
        <v>1217</v>
      </c>
      <c r="B370">
        <v>74296</v>
      </c>
      <c r="C370" t="s">
        <v>1218</v>
      </c>
      <c r="D370" t="s">
        <v>543</v>
      </c>
      <c r="E370" t="s">
        <v>879</v>
      </c>
      <c r="F370" t="s">
        <v>742</v>
      </c>
      <c r="G370" t="s">
        <v>913</v>
      </c>
      <c r="H370" s="3">
        <v>5962956.0079699997</v>
      </c>
      <c r="I370">
        <v>596</v>
      </c>
      <c r="J370" s="3">
        <v>596.29560079700002</v>
      </c>
      <c r="K370">
        <v>522</v>
      </c>
      <c r="L370">
        <v>818</v>
      </c>
      <c r="M370">
        <v>679.03870537203898</v>
      </c>
      <c r="N370">
        <v>64.600909890873695</v>
      </c>
      <c r="O370">
        <v>0</v>
      </c>
      <c r="P370">
        <v>29.0109157562256</v>
      </c>
      <c r="Q370">
        <v>6.7704882621765101</v>
      </c>
      <c r="R370">
        <v>3.9920060634613002</v>
      </c>
      <c r="S370" t="s">
        <v>881</v>
      </c>
      <c r="T370" t="s">
        <v>1219</v>
      </c>
      <c r="U370" t="s">
        <v>1218</v>
      </c>
      <c r="V370" t="s">
        <v>1218</v>
      </c>
      <c r="W370" s="3">
        <v>893</v>
      </c>
      <c r="X370" s="3">
        <v>5960000</v>
      </c>
      <c r="Y370">
        <v>3</v>
      </c>
      <c r="Z370" s="3">
        <v>328</v>
      </c>
      <c r="AA370" s="3">
        <v>440</v>
      </c>
      <c r="AB370" s="3">
        <v>528</v>
      </c>
      <c r="AC370" s="3">
        <v>524</v>
      </c>
      <c r="AD370" s="3">
        <v>526</v>
      </c>
      <c r="AE370" s="3">
        <v>634</v>
      </c>
      <c r="AF370" s="3">
        <v>668</v>
      </c>
      <c r="AG370" s="3">
        <v>702</v>
      </c>
      <c r="AH370" s="3">
        <v>736</v>
      </c>
      <c r="AI370" s="3">
        <v>742</v>
      </c>
      <c r="AJ370" s="3">
        <v>763</v>
      </c>
      <c r="AK370" s="3">
        <v>788</v>
      </c>
      <c r="AL370" s="3">
        <v>812</v>
      </c>
      <c r="AM370" s="3">
        <v>837</v>
      </c>
      <c r="AN370" s="3">
        <v>893</v>
      </c>
      <c r="AO370" s="3">
        <v>894</v>
      </c>
      <c r="AP370" s="3">
        <v>918</v>
      </c>
      <c r="AQ370" s="3">
        <v>947</v>
      </c>
      <c r="AR370" s="4">
        <v>154.0268456375839</v>
      </c>
      <c r="AS370" s="5">
        <f t="shared" si="50"/>
        <v>4.2682926829268295</v>
      </c>
      <c r="AT370" s="5">
        <f t="shared" si="51"/>
        <v>2.2222222222222223</v>
      </c>
      <c r="AU370" s="5">
        <f t="shared" si="52"/>
        <v>2.6515151515151514</v>
      </c>
      <c r="AV370" s="5">
        <f t="shared" si="53"/>
        <v>3.7425149700598808</v>
      </c>
      <c r="AW370" s="5">
        <f t="shared" si="54"/>
        <v>3.5868005738880915</v>
      </c>
      <c r="AX370" s="5">
        <f t="shared" si="55"/>
        <v>3.6931818181818183</v>
      </c>
      <c r="AY370" s="5">
        <f t="shared" si="56"/>
        <v>4.8615688859591302</v>
      </c>
      <c r="AZ370">
        <f t="shared" si="57"/>
        <v>5960000</v>
      </c>
      <c r="BA370">
        <v>0</v>
      </c>
      <c r="BB370">
        <v>680000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1600000</v>
      </c>
      <c r="BK370">
        <v>0</v>
      </c>
      <c r="BL370">
        <v>0</v>
      </c>
      <c r="BM370">
        <v>2350000</v>
      </c>
      <c r="BN370">
        <v>310000</v>
      </c>
      <c r="BO370">
        <v>280000</v>
      </c>
      <c r="BP370">
        <v>590000</v>
      </c>
      <c r="BQ370">
        <v>0</v>
      </c>
      <c r="BR370">
        <v>150000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T370">
        <v>4.6979865771812097</v>
      </c>
      <c r="CU370">
        <v>82.718120805369139</v>
      </c>
      <c r="CV370">
        <v>12.583892617449701</v>
      </c>
      <c r="CW370">
        <v>0</v>
      </c>
      <c r="CX370">
        <v>0</v>
      </c>
      <c r="CY370">
        <v>10.906040268456399</v>
      </c>
      <c r="CZ370">
        <v>76.510067114093928</v>
      </c>
      <c r="DA370">
        <v>12.583892617449701</v>
      </c>
      <c r="DB370">
        <v>0</v>
      </c>
      <c r="DC370">
        <v>0</v>
      </c>
      <c r="DD370">
        <v>11.0738255033557</v>
      </c>
      <c r="DE370">
        <v>76.510067114093999</v>
      </c>
      <c r="DF370">
        <v>12.416107382550299</v>
      </c>
      <c r="DG370">
        <v>0</v>
      </c>
      <c r="DH370">
        <v>0</v>
      </c>
      <c r="DI370">
        <v>11.4093959731544</v>
      </c>
      <c r="DJ370">
        <v>76.174496644295303</v>
      </c>
      <c r="DK370">
        <v>12.416107382550299</v>
      </c>
      <c r="DL370">
        <v>0</v>
      </c>
      <c r="DM370">
        <v>0</v>
      </c>
      <c r="DN370">
        <v>11.4093959731544</v>
      </c>
      <c r="DO370">
        <v>76.174496644295303</v>
      </c>
      <c r="DP370">
        <v>12.416107382550299</v>
      </c>
      <c r="DQ370">
        <v>0</v>
      </c>
      <c r="DR370">
        <v>0</v>
      </c>
      <c r="DS370" t="s">
        <v>312</v>
      </c>
      <c r="DT370" t="s">
        <v>313</v>
      </c>
      <c r="DU370">
        <v>933</v>
      </c>
      <c r="DV370" t="s">
        <v>547</v>
      </c>
      <c r="DW370" t="s">
        <v>548</v>
      </c>
      <c r="DX370">
        <v>86</v>
      </c>
      <c r="DY370">
        <v>130</v>
      </c>
      <c r="DZ370">
        <v>216</v>
      </c>
      <c r="EA370">
        <v>606779</v>
      </c>
      <c r="EB370">
        <v>388178</v>
      </c>
      <c r="EC370">
        <v>994957</v>
      </c>
      <c r="ED370" t="s">
        <v>909</v>
      </c>
      <c r="EE370" t="s">
        <v>910</v>
      </c>
      <c r="EF370" t="s">
        <v>753</v>
      </c>
      <c r="EG370" t="s">
        <v>754</v>
      </c>
    </row>
    <row r="371" spans="1:137" ht="14.55" customHeight="1" x14ac:dyDescent="0.3">
      <c r="A371" t="s">
        <v>1220</v>
      </c>
      <c r="B371">
        <v>74298</v>
      </c>
      <c r="C371" t="s">
        <v>1221</v>
      </c>
      <c r="D371" t="s">
        <v>543</v>
      </c>
      <c r="E371" t="s">
        <v>879</v>
      </c>
      <c r="F371" t="s">
        <v>742</v>
      </c>
      <c r="G371" t="s">
        <v>924</v>
      </c>
      <c r="H371" s="3">
        <v>7119901.4109899998</v>
      </c>
      <c r="I371">
        <v>706</v>
      </c>
      <c r="J371" s="3">
        <v>711.99014109899997</v>
      </c>
      <c r="K371">
        <v>394</v>
      </c>
      <c r="L371">
        <v>574</v>
      </c>
      <c r="M371">
        <v>486.99292825904899</v>
      </c>
      <c r="N371">
        <v>32.708546652988304</v>
      </c>
      <c r="O371">
        <v>0</v>
      </c>
      <c r="P371">
        <v>31.369541168212901</v>
      </c>
      <c r="Q371">
        <v>5.62325191497803</v>
      </c>
      <c r="R371">
        <v>4.2359747886657697</v>
      </c>
      <c r="S371" t="s">
        <v>881</v>
      </c>
      <c r="T371" t="s">
        <v>1222</v>
      </c>
      <c r="U371" t="s">
        <v>1221</v>
      </c>
      <c r="V371" t="s">
        <v>1221</v>
      </c>
      <c r="W371" s="3">
        <v>8900</v>
      </c>
      <c r="X371" s="3">
        <v>7110000</v>
      </c>
      <c r="Y371">
        <v>2</v>
      </c>
      <c r="Z371" s="3">
        <v>3413</v>
      </c>
      <c r="AA371" s="3">
        <v>4311</v>
      </c>
      <c r="AB371" s="3">
        <v>5297</v>
      </c>
      <c r="AC371" s="3">
        <v>6141</v>
      </c>
      <c r="AD371" s="3">
        <v>6262</v>
      </c>
      <c r="AE371" s="3">
        <v>6352</v>
      </c>
      <c r="AF371" s="3">
        <v>6470</v>
      </c>
      <c r="AG371" s="3">
        <v>6829</v>
      </c>
      <c r="AH371" s="3">
        <v>7196</v>
      </c>
      <c r="AI371" s="3">
        <v>7562</v>
      </c>
      <c r="AJ371" s="3">
        <v>7781</v>
      </c>
      <c r="AK371" s="3">
        <v>8200</v>
      </c>
      <c r="AL371" s="3">
        <v>8455</v>
      </c>
      <c r="AM371" s="3">
        <v>8678</v>
      </c>
      <c r="AN371" s="3">
        <v>8900</v>
      </c>
      <c r="AO371" s="3">
        <v>8969</v>
      </c>
      <c r="AP371" s="3">
        <v>9003</v>
      </c>
      <c r="AQ371" s="3">
        <v>9874</v>
      </c>
      <c r="AR371" s="4">
        <v>1266.2447257383967</v>
      </c>
      <c r="AS371" s="5">
        <f t="shared" si="50"/>
        <v>3.288895399941401</v>
      </c>
      <c r="AT371" s="5">
        <f t="shared" si="51"/>
        <v>2.5413026108920334</v>
      </c>
      <c r="AU371" s="5">
        <f t="shared" si="52"/>
        <v>2.2144610156692468</v>
      </c>
      <c r="AV371" s="5">
        <f t="shared" si="53"/>
        <v>3.9149922720247297</v>
      </c>
      <c r="AW371" s="5">
        <f t="shared" si="54"/>
        <v>3.2471001878630146</v>
      </c>
      <c r="AX371" s="5">
        <f t="shared" si="55"/>
        <v>3.4982065319992448</v>
      </c>
      <c r="AY371" s="5">
        <f t="shared" si="56"/>
        <v>4.4266358359531521</v>
      </c>
      <c r="AZ371">
        <f t="shared" si="57"/>
        <v>7060000</v>
      </c>
      <c r="BA371">
        <v>0</v>
      </c>
      <c r="BB371">
        <v>3540000</v>
      </c>
      <c r="BC371">
        <v>360000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310000</v>
      </c>
      <c r="BJ371">
        <v>1210000</v>
      </c>
      <c r="BK371">
        <v>0</v>
      </c>
      <c r="BL371">
        <v>0</v>
      </c>
      <c r="BM371">
        <v>0</v>
      </c>
      <c r="BN371">
        <v>540000</v>
      </c>
      <c r="BO371">
        <v>130000</v>
      </c>
      <c r="BP371">
        <v>970000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T371">
        <v>45.184135977337128</v>
      </c>
      <c r="CU371">
        <v>40.509915014164299</v>
      </c>
      <c r="CV371">
        <v>14.305949008498599</v>
      </c>
      <c r="CW371">
        <v>0</v>
      </c>
      <c r="CX371">
        <v>0</v>
      </c>
      <c r="CY371">
        <v>50.566572237960287</v>
      </c>
      <c r="CZ371">
        <v>35.552407932011306</v>
      </c>
      <c r="DA371">
        <v>13.881019830028301</v>
      </c>
      <c r="DB371">
        <v>0</v>
      </c>
      <c r="DC371">
        <v>0</v>
      </c>
      <c r="DD371">
        <v>54.815864022662886</v>
      </c>
      <c r="DE371">
        <v>31.444759206798899</v>
      </c>
      <c r="DF371">
        <v>13.7393767705382</v>
      </c>
      <c r="DG371">
        <v>0</v>
      </c>
      <c r="DH371">
        <v>0</v>
      </c>
      <c r="DI371">
        <v>59.490084985835686</v>
      </c>
      <c r="DJ371">
        <v>26.770538243626088</v>
      </c>
      <c r="DK371">
        <v>13.7393767705382</v>
      </c>
      <c r="DL371">
        <v>0</v>
      </c>
      <c r="DM371">
        <v>0</v>
      </c>
      <c r="DN371">
        <v>59.631728045325787</v>
      </c>
      <c r="DO371">
        <v>26.628895184135988</v>
      </c>
      <c r="DP371">
        <v>13.7393767705382</v>
      </c>
      <c r="DQ371">
        <v>0</v>
      </c>
      <c r="DR371">
        <v>0</v>
      </c>
      <c r="DS371" t="s">
        <v>371</v>
      </c>
      <c r="DT371" t="s">
        <v>313</v>
      </c>
      <c r="DU371">
        <v>9359.9999999999909</v>
      </c>
      <c r="DV371" t="s">
        <v>547</v>
      </c>
      <c r="DW371" t="s">
        <v>548</v>
      </c>
      <c r="DX371">
        <v>86</v>
      </c>
      <c r="DY371">
        <v>130</v>
      </c>
      <c r="DZ371">
        <v>216</v>
      </c>
      <c r="EA371">
        <v>606779</v>
      </c>
      <c r="EB371">
        <v>388178</v>
      </c>
      <c r="EC371">
        <v>994957</v>
      </c>
      <c r="ED371" t="s">
        <v>807</v>
      </c>
      <c r="EE371" t="s">
        <v>808</v>
      </c>
      <c r="EF371" t="s">
        <v>746</v>
      </c>
      <c r="EG371" t="s">
        <v>760</v>
      </c>
    </row>
    <row r="372" spans="1:137" ht="14.55" customHeight="1" x14ac:dyDescent="0.3">
      <c r="A372" t="s">
        <v>1223</v>
      </c>
      <c r="B372">
        <v>74305</v>
      </c>
      <c r="C372" t="s">
        <v>1224</v>
      </c>
      <c r="D372" t="s">
        <v>543</v>
      </c>
      <c r="E372" t="s">
        <v>879</v>
      </c>
      <c r="F372" t="s">
        <v>742</v>
      </c>
      <c r="G372" t="s">
        <v>898</v>
      </c>
      <c r="H372" s="3">
        <v>4474264.4424799997</v>
      </c>
      <c r="I372">
        <v>446</v>
      </c>
      <c r="J372" s="3">
        <v>447.426444248</v>
      </c>
      <c r="K372">
        <v>425</v>
      </c>
      <c r="L372">
        <v>533</v>
      </c>
      <c r="M372">
        <v>472.44773467574799</v>
      </c>
      <c r="N372">
        <v>26.868729823653201</v>
      </c>
      <c r="O372">
        <v>0</v>
      </c>
      <c r="P372">
        <v>23.850166320800799</v>
      </c>
      <c r="Q372">
        <v>4.7465615272521999</v>
      </c>
      <c r="R372">
        <v>3.5360245704650901</v>
      </c>
      <c r="S372" t="s">
        <v>881</v>
      </c>
      <c r="T372" t="s">
        <v>1225</v>
      </c>
      <c r="U372" t="s">
        <v>1224</v>
      </c>
      <c r="V372" t="s">
        <v>1224</v>
      </c>
      <c r="W372" s="3">
        <v>8802</v>
      </c>
      <c r="X372" s="3">
        <v>4470000</v>
      </c>
      <c r="Y372">
        <v>1</v>
      </c>
      <c r="Z372" s="3">
        <v>4723</v>
      </c>
      <c r="AA372" s="3">
        <v>6469</v>
      </c>
      <c r="AB372" s="3">
        <v>6989</v>
      </c>
      <c r="AC372" s="3">
        <v>6955</v>
      </c>
      <c r="AD372" s="3">
        <v>7187</v>
      </c>
      <c r="AE372" s="3">
        <v>7407</v>
      </c>
      <c r="AF372" s="3">
        <v>7627</v>
      </c>
      <c r="AG372" s="3">
        <v>7881</v>
      </c>
      <c r="AH372" s="3">
        <v>8083</v>
      </c>
      <c r="AI372" s="3">
        <v>8180</v>
      </c>
      <c r="AJ372" s="3">
        <v>8351</v>
      </c>
      <c r="AK372" s="3">
        <v>8521</v>
      </c>
      <c r="AL372" s="3">
        <v>8599</v>
      </c>
      <c r="AM372" s="3">
        <v>8609</v>
      </c>
      <c r="AN372" s="3">
        <v>8802</v>
      </c>
      <c r="AO372" s="3">
        <v>8926</v>
      </c>
      <c r="AP372" s="3">
        <v>9050</v>
      </c>
      <c r="AQ372" s="3">
        <v>9169</v>
      </c>
      <c r="AR372" s="4">
        <v>2024.6085011185683</v>
      </c>
      <c r="AS372" s="5">
        <f t="shared" si="50"/>
        <v>4.6210035994071568</v>
      </c>
      <c r="AT372" s="5">
        <f t="shared" si="51"/>
        <v>0.893148520293365</v>
      </c>
      <c r="AU372" s="5">
        <f t="shared" si="52"/>
        <v>0.91286307053941895</v>
      </c>
      <c r="AV372" s="5">
        <f t="shared" si="53"/>
        <v>1.8657401337354138</v>
      </c>
      <c r="AW372" s="5">
        <f t="shared" si="54"/>
        <v>2.8222341233762189</v>
      </c>
      <c r="AX372" s="5">
        <f t="shared" si="55"/>
        <v>1.4744598655029331</v>
      </c>
      <c r="AY372" s="5">
        <f t="shared" si="56"/>
        <v>2.4760945573988131</v>
      </c>
      <c r="AZ372">
        <f t="shared" si="57"/>
        <v>4470000</v>
      </c>
      <c r="BA372">
        <v>0</v>
      </c>
      <c r="BB372">
        <v>2030000</v>
      </c>
      <c r="BC372">
        <v>1180000</v>
      </c>
      <c r="BD372">
        <v>110000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620000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530000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T372">
        <v>57.046979865771803</v>
      </c>
      <c r="CU372">
        <v>28.187919463087272</v>
      </c>
      <c r="CV372">
        <v>14.7651006711409</v>
      </c>
      <c r="CW372">
        <v>0</v>
      </c>
      <c r="CX372">
        <v>0</v>
      </c>
      <c r="CY372">
        <v>66.442953020134212</v>
      </c>
      <c r="CZ372">
        <v>20.134228187919419</v>
      </c>
      <c r="DA372">
        <v>13.4228187919463</v>
      </c>
      <c r="DB372">
        <v>0</v>
      </c>
      <c r="DC372">
        <v>0</v>
      </c>
      <c r="DD372">
        <v>65.995525727069406</v>
      </c>
      <c r="DE372">
        <v>20.581655480984388</v>
      </c>
      <c r="DF372">
        <v>13.4228187919463</v>
      </c>
      <c r="DG372">
        <v>0</v>
      </c>
      <c r="DH372">
        <v>0</v>
      </c>
      <c r="DI372">
        <v>71.364653243847798</v>
      </c>
      <c r="DJ372">
        <v>15.4362416107383</v>
      </c>
      <c r="DK372">
        <v>13.199105145413901</v>
      </c>
      <c r="DL372">
        <v>0</v>
      </c>
      <c r="DM372">
        <v>0</v>
      </c>
      <c r="DN372">
        <v>74.272930648769602</v>
      </c>
      <c r="DO372">
        <v>13.8702460850112</v>
      </c>
      <c r="DP372">
        <v>11.8568232662192</v>
      </c>
      <c r="DQ372">
        <v>0</v>
      </c>
      <c r="DR372">
        <v>0</v>
      </c>
      <c r="DS372" t="s">
        <v>371</v>
      </c>
      <c r="DT372" t="s">
        <v>313</v>
      </c>
      <c r="DU372">
        <v>9031</v>
      </c>
      <c r="DV372" t="s">
        <v>547</v>
      </c>
      <c r="DW372" t="s">
        <v>548</v>
      </c>
      <c r="DX372">
        <v>86</v>
      </c>
      <c r="DY372">
        <v>130</v>
      </c>
      <c r="DZ372">
        <v>216</v>
      </c>
      <c r="EA372">
        <v>606779</v>
      </c>
      <c r="EB372">
        <v>388178</v>
      </c>
      <c r="EC372">
        <v>994957</v>
      </c>
      <c r="ED372" t="s">
        <v>807</v>
      </c>
      <c r="EE372" t="s">
        <v>808</v>
      </c>
      <c r="EF372" t="s">
        <v>746</v>
      </c>
      <c r="EG372" t="s">
        <v>760</v>
      </c>
    </row>
    <row r="373" spans="1:137" ht="14.55" customHeight="1" x14ac:dyDescent="0.3">
      <c r="A373" t="s">
        <v>1226</v>
      </c>
      <c r="B373">
        <v>74308</v>
      </c>
      <c r="C373" t="s">
        <v>1227</v>
      </c>
      <c r="D373" t="s">
        <v>878</v>
      </c>
      <c r="E373" t="s">
        <v>879</v>
      </c>
      <c r="F373" t="s">
        <v>742</v>
      </c>
      <c r="G373" t="s">
        <v>880</v>
      </c>
      <c r="H373" s="3">
        <v>6530189.8226100001</v>
      </c>
      <c r="I373">
        <v>656</v>
      </c>
      <c r="J373" s="3">
        <v>653.01898226100002</v>
      </c>
      <c r="K373">
        <v>541</v>
      </c>
      <c r="L373">
        <v>921</v>
      </c>
      <c r="M373">
        <v>837.02612922827598</v>
      </c>
      <c r="N373">
        <v>78.225837643137694</v>
      </c>
      <c r="O373">
        <v>0</v>
      </c>
      <c r="P373">
        <v>53.183963775634801</v>
      </c>
      <c r="Q373">
        <v>8.8102235794067401</v>
      </c>
      <c r="R373">
        <v>8.0446920394897496</v>
      </c>
      <c r="S373" t="s">
        <v>881</v>
      </c>
      <c r="T373" t="s">
        <v>1228</v>
      </c>
      <c r="U373" t="s">
        <v>1227</v>
      </c>
      <c r="V373" t="s">
        <v>1227</v>
      </c>
      <c r="W373" s="3">
        <v>821</v>
      </c>
      <c r="X373" s="3">
        <v>6520000</v>
      </c>
      <c r="Y373">
        <v>3</v>
      </c>
      <c r="Z373" s="3">
        <v>471</v>
      </c>
      <c r="AA373" s="3">
        <v>620</v>
      </c>
      <c r="AB373" s="3">
        <v>659</v>
      </c>
      <c r="AC373" s="3">
        <v>784</v>
      </c>
      <c r="AD373" s="3">
        <v>786</v>
      </c>
      <c r="AE373" s="3">
        <v>790</v>
      </c>
      <c r="AF373" s="3">
        <v>769</v>
      </c>
      <c r="AG373" s="3">
        <v>748</v>
      </c>
      <c r="AH373" s="3">
        <v>727</v>
      </c>
      <c r="AI373" s="3">
        <v>723</v>
      </c>
      <c r="AJ373" s="3">
        <v>718</v>
      </c>
      <c r="AK373" s="3">
        <v>751</v>
      </c>
      <c r="AL373" s="3">
        <v>785</v>
      </c>
      <c r="AM373" s="3">
        <v>818</v>
      </c>
      <c r="AN373" s="3">
        <v>821</v>
      </c>
      <c r="AO373" s="3">
        <v>826</v>
      </c>
      <c r="AP373" s="3">
        <v>844</v>
      </c>
      <c r="AR373" s="4">
        <v>129.4478527607362</v>
      </c>
      <c r="AS373" s="5">
        <f t="shared" si="50"/>
        <v>3.954352441613588</v>
      </c>
      <c r="AT373" s="5">
        <f t="shared" si="51"/>
        <v>0.69892473118279563</v>
      </c>
      <c r="AU373" s="5">
        <f t="shared" si="52"/>
        <v>1.6691957511380882</v>
      </c>
      <c r="AV373" s="5">
        <f t="shared" si="53"/>
        <v>0.97529258777633276</v>
      </c>
      <c r="AW373" s="5">
        <f t="shared" si="54"/>
        <v>2.3479455476458102</v>
      </c>
      <c r="AX373" s="5">
        <f t="shared" si="55"/>
        <v>1.403641881638847</v>
      </c>
      <c r="AY373" s="5">
        <f t="shared" si="56"/>
        <v>2.1403569174269812</v>
      </c>
      <c r="AZ373">
        <f t="shared" si="57"/>
        <v>6560000</v>
      </c>
      <c r="BA373">
        <v>0</v>
      </c>
      <c r="BB373">
        <v>380000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4630000</v>
      </c>
      <c r="BN373">
        <v>0</v>
      </c>
      <c r="BO373">
        <v>110000</v>
      </c>
      <c r="BP373">
        <v>80000</v>
      </c>
      <c r="BQ373">
        <v>0</v>
      </c>
      <c r="BR373">
        <v>1360000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T373">
        <v>5.3353658536585398</v>
      </c>
      <c r="CU373">
        <v>72.560975609756085</v>
      </c>
      <c r="CV373">
        <v>22.103658536585399</v>
      </c>
      <c r="CW373">
        <v>0</v>
      </c>
      <c r="CX373">
        <v>0</v>
      </c>
      <c r="CY373">
        <v>5.7926829268292703</v>
      </c>
      <c r="CZ373">
        <v>72.103658536585385</v>
      </c>
      <c r="DA373">
        <v>22.103658536585399</v>
      </c>
      <c r="DB373">
        <v>0</v>
      </c>
      <c r="DC373">
        <v>0</v>
      </c>
      <c r="DD373">
        <v>5.7926829268292703</v>
      </c>
      <c r="DE373">
        <v>72.256097560975576</v>
      </c>
      <c r="DF373">
        <v>21.951219512195099</v>
      </c>
      <c r="DG373">
        <v>0</v>
      </c>
      <c r="DH373">
        <v>0</v>
      </c>
      <c r="DI373">
        <v>5.7926829268292703</v>
      </c>
      <c r="DJ373">
        <v>72.256097560975576</v>
      </c>
      <c r="DK373">
        <v>21.951219512195099</v>
      </c>
      <c r="DL373">
        <v>0</v>
      </c>
      <c r="DM373">
        <v>0</v>
      </c>
      <c r="DN373">
        <v>5.7926829268292703</v>
      </c>
      <c r="DO373">
        <v>72.256097560975576</v>
      </c>
      <c r="DP373">
        <v>21.951219512195099</v>
      </c>
      <c r="DQ373">
        <v>0</v>
      </c>
      <c r="DR373">
        <v>0</v>
      </c>
      <c r="DS373" t="s">
        <v>768</v>
      </c>
      <c r="DT373" t="s">
        <v>768</v>
      </c>
      <c r="DU373" t="s">
        <v>768</v>
      </c>
      <c r="DV373" t="s">
        <v>768</v>
      </c>
      <c r="DW373" t="s">
        <v>768</v>
      </c>
      <c r="DX373" t="s">
        <v>768</v>
      </c>
      <c r="DY373" t="s">
        <v>768</v>
      </c>
      <c r="DZ373" t="s">
        <v>768</v>
      </c>
      <c r="EA373" t="s">
        <v>768</v>
      </c>
      <c r="EB373" t="s">
        <v>768</v>
      </c>
      <c r="EC373" t="s">
        <v>768</v>
      </c>
      <c r="ED373" t="s">
        <v>909</v>
      </c>
      <c r="EE373" t="s">
        <v>910</v>
      </c>
      <c r="EF373" t="s">
        <v>753</v>
      </c>
      <c r="EG373" t="s">
        <v>754</v>
      </c>
    </row>
    <row r="374" spans="1:137" ht="14.55" customHeight="1" x14ac:dyDescent="0.3">
      <c r="A374" t="s">
        <v>1229</v>
      </c>
      <c r="B374">
        <v>74309</v>
      </c>
      <c r="C374" t="s">
        <v>1230</v>
      </c>
      <c r="D374" t="s">
        <v>543</v>
      </c>
      <c r="E374" t="s">
        <v>879</v>
      </c>
      <c r="F374" t="s">
        <v>742</v>
      </c>
      <c r="G374" t="s">
        <v>913</v>
      </c>
      <c r="H374" s="3">
        <v>26086375.1635</v>
      </c>
      <c r="I374">
        <v>2606</v>
      </c>
      <c r="J374" s="3">
        <v>2608.63751658</v>
      </c>
      <c r="K374">
        <v>358</v>
      </c>
      <c r="L374">
        <v>752</v>
      </c>
      <c r="M374">
        <v>500.76803232857202</v>
      </c>
      <c r="N374">
        <v>60.895074354123999</v>
      </c>
      <c r="O374">
        <v>0</v>
      </c>
      <c r="P374">
        <v>22.466554641723601</v>
      </c>
      <c r="Q374">
        <v>4.8807787895202601</v>
      </c>
      <c r="R374">
        <v>2.9577522277832</v>
      </c>
      <c r="S374" t="s">
        <v>881</v>
      </c>
      <c r="T374" t="s">
        <v>1231</v>
      </c>
      <c r="U374" t="s">
        <v>1230</v>
      </c>
      <c r="V374" t="s">
        <v>1230</v>
      </c>
      <c r="W374" s="3">
        <v>5182</v>
      </c>
      <c r="X374" s="3">
        <v>26080000</v>
      </c>
      <c r="Y374">
        <v>3</v>
      </c>
      <c r="Z374" s="3">
        <v>2023</v>
      </c>
      <c r="AA374" s="3">
        <v>2550</v>
      </c>
      <c r="AB374" s="3">
        <v>3032</v>
      </c>
      <c r="AC374" s="3">
        <v>3378</v>
      </c>
      <c r="AD374" s="3">
        <v>3423</v>
      </c>
      <c r="AE374" s="3">
        <v>3467</v>
      </c>
      <c r="AF374" s="3">
        <v>3512</v>
      </c>
      <c r="AG374" s="3">
        <v>3525</v>
      </c>
      <c r="AH374" s="3">
        <v>3577</v>
      </c>
      <c r="AI374" s="3">
        <v>3909</v>
      </c>
      <c r="AJ374" s="3">
        <v>4236</v>
      </c>
      <c r="AK374" s="3">
        <v>4562</v>
      </c>
      <c r="AL374" s="3">
        <v>4806</v>
      </c>
      <c r="AM374" s="3">
        <v>5072</v>
      </c>
      <c r="AN374" s="3">
        <v>5182</v>
      </c>
      <c r="AO374" s="3">
        <v>5299</v>
      </c>
      <c r="AP374" s="3">
        <v>5415</v>
      </c>
      <c r="AQ374" s="3">
        <v>5635</v>
      </c>
      <c r="AR374" s="4">
        <v>207.63036809815952</v>
      </c>
      <c r="AS374" s="5">
        <f t="shared" si="50"/>
        <v>3.2563025210084038</v>
      </c>
      <c r="AT374" s="5">
        <f t="shared" si="51"/>
        <v>2.1002178649237471</v>
      </c>
      <c r="AU374" s="5">
        <f t="shared" si="52"/>
        <v>1.5831134564643801</v>
      </c>
      <c r="AV374" s="5">
        <f t="shared" si="53"/>
        <v>5.4185649202733481</v>
      </c>
      <c r="AW374" s="5">
        <f t="shared" si="54"/>
        <v>2.9339071268645869</v>
      </c>
      <c r="AX374" s="5">
        <f t="shared" si="55"/>
        <v>3.9297493403693937</v>
      </c>
      <c r="AY374" s="5">
        <f t="shared" si="56"/>
        <v>4.5316695835726977</v>
      </c>
      <c r="AZ374">
        <f t="shared" si="57"/>
        <v>26080000</v>
      </c>
      <c r="BA374">
        <v>0</v>
      </c>
      <c r="BB374">
        <v>2230000</v>
      </c>
      <c r="BC374">
        <v>390000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14240000</v>
      </c>
      <c r="BK374">
        <v>360000</v>
      </c>
      <c r="BL374">
        <v>0</v>
      </c>
      <c r="BM374">
        <v>470000</v>
      </c>
      <c r="BN374">
        <v>1060000</v>
      </c>
      <c r="BO374">
        <v>270000</v>
      </c>
      <c r="BP374">
        <v>6810000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250000</v>
      </c>
      <c r="BZ374">
        <v>0</v>
      </c>
      <c r="CA374">
        <v>0</v>
      </c>
      <c r="CT374">
        <v>7.4386503067484702</v>
      </c>
      <c r="CU374">
        <v>64.455521472392633</v>
      </c>
      <c r="CV374">
        <v>26.9938650306749</v>
      </c>
      <c r="CW374">
        <v>1.1119631901840501</v>
      </c>
      <c r="CX374">
        <v>0</v>
      </c>
      <c r="CY374">
        <v>7.4769938650306704</v>
      </c>
      <c r="CZ374">
        <v>65.490797546012288</v>
      </c>
      <c r="DA374">
        <v>25.920245398773002</v>
      </c>
      <c r="DB374">
        <v>1.1119631901840501</v>
      </c>
      <c r="DC374">
        <v>0</v>
      </c>
      <c r="DD374">
        <v>7.28527607361963</v>
      </c>
      <c r="DE374">
        <v>65.644171779141146</v>
      </c>
      <c r="DF374">
        <v>26.073619631901799</v>
      </c>
      <c r="DG374">
        <v>0.996932515337423</v>
      </c>
      <c r="DH374">
        <v>0</v>
      </c>
      <c r="DI374">
        <v>10.046012269938661</v>
      </c>
      <c r="DJ374">
        <v>62.883435582822045</v>
      </c>
      <c r="DK374">
        <v>26.111963190184099</v>
      </c>
      <c r="DL374">
        <v>0.95858895705521496</v>
      </c>
      <c r="DM374">
        <v>0</v>
      </c>
      <c r="DN374">
        <v>10.046012269938661</v>
      </c>
      <c r="DO374">
        <v>62.883435582822045</v>
      </c>
      <c r="DP374">
        <v>26.111963190184099</v>
      </c>
      <c r="DQ374">
        <v>0.95858895705521496</v>
      </c>
      <c r="DR374">
        <v>0</v>
      </c>
      <c r="DS374" t="s">
        <v>312</v>
      </c>
      <c r="DT374" t="s">
        <v>313</v>
      </c>
      <c r="DU374">
        <v>5590</v>
      </c>
      <c r="DV374" t="s">
        <v>547</v>
      </c>
      <c r="DW374" t="s">
        <v>548</v>
      </c>
      <c r="DX374">
        <v>86</v>
      </c>
      <c r="DY374">
        <v>130</v>
      </c>
      <c r="DZ374">
        <v>216</v>
      </c>
      <c r="EA374">
        <v>606779</v>
      </c>
      <c r="EB374">
        <v>388178</v>
      </c>
      <c r="EC374">
        <v>994957</v>
      </c>
      <c r="ED374" t="s">
        <v>1232</v>
      </c>
      <c r="EE374" t="s">
        <v>1230</v>
      </c>
      <c r="EF374" t="s">
        <v>746</v>
      </c>
      <c r="EG374" t="s">
        <v>793</v>
      </c>
    </row>
    <row r="375" spans="1:137" ht="14.55" customHeight="1" x14ac:dyDescent="0.3">
      <c r="A375" t="s">
        <v>1233</v>
      </c>
      <c r="B375">
        <v>74312</v>
      </c>
      <c r="C375" t="s">
        <v>1234</v>
      </c>
      <c r="D375" t="s">
        <v>543</v>
      </c>
      <c r="E375" t="s">
        <v>879</v>
      </c>
      <c r="F375" t="s">
        <v>742</v>
      </c>
      <c r="G375" t="s">
        <v>917</v>
      </c>
      <c r="H375" s="3">
        <v>4014052.1492400002</v>
      </c>
      <c r="I375">
        <v>400</v>
      </c>
      <c r="J375" s="3">
        <v>401.40521492400001</v>
      </c>
      <c r="K375">
        <v>437</v>
      </c>
      <c r="L375">
        <v>815</v>
      </c>
      <c r="M375">
        <v>493.65063625847</v>
      </c>
      <c r="N375">
        <v>67.243288135062798</v>
      </c>
      <c r="O375">
        <v>0</v>
      </c>
      <c r="P375">
        <v>67.890312194824205</v>
      </c>
      <c r="Q375">
        <v>13.146203041076699</v>
      </c>
      <c r="R375">
        <v>14.8869285583496</v>
      </c>
      <c r="S375" t="s">
        <v>881</v>
      </c>
      <c r="T375" t="s">
        <v>1235</v>
      </c>
      <c r="U375" t="s">
        <v>1234</v>
      </c>
      <c r="V375" t="s">
        <v>1234</v>
      </c>
      <c r="W375" s="3">
        <v>1561</v>
      </c>
      <c r="X375" s="3">
        <v>4010000</v>
      </c>
      <c r="Y375">
        <v>2</v>
      </c>
      <c r="Z375" s="3">
        <v>597</v>
      </c>
      <c r="AA375" s="3">
        <v>867</v>
      </c>
      <c r="AB375" s="3">
        <v>958</v>
      </c>
      <c r="AC375" s="3">
        <v>1317</v>
      </c>
      <c r="AD375" s="3">
        <v>1368</v>
      </c>
      <c r="AE375" s="3">
        <v>1419</v>
      </c>
      <c r="AF375" s="3">
        <v>1451</v>
      </c>
      <c r="AG375" s="3">
        <v>1482</v>
      </c>
      <c r="AH375" s="3">
        <v>1487</v>
      </c>
      <c r="AI375" s="3">
        <v>1492</v>
      </c>
      <c r="AJ375" s="3">
        <v>1497</v>
      </c>
      <c r="AK375" s="3">
        <v>1497</v>
      </c>
      <c r="AL375" s="3">
        <v>1503</v>
      </c>
      <c r="AM375" s="3">
        <v>1532</v>
      </c>
      <c r="AN375" s="3">
        <v>1561</v>
      </c>
      <c r="AO375" s="3">
        <v>1590</v>
      </c>
      <c r="AP375" s="3">
        <v>1581</v>
      </c>
      <c r="AQ375" s="3">
        <v>1579</v>
      </c>
      <c r="AR375" s="4">
        <v>394.2643391521197</v>
      </c>
      <c r="AS375" s="5">
        <f t="shared" si="50"/>
        <v>5.6532663316582914</v>
      </c>
      <c r="AT375" s="5">
        <f t="shared" si="51"/>
        <v>1.1662181212354221</v>
      </c>
      <c r="AU375" s="5">
        <f t="shared" si="52"/>
        <v>5.1461377870563672</v>
      </c>
      <c r="AV375" s="5">
        <f t="shared" si="53"/>
        <v>0.89593383873190913</v>
      </c>
      <c r="AW375" s="5">
        <f t="shared" si="54"/>
        <v>3.5570006897231257</v>
      </c>
      <c r="AX375" s="5">
        <f t="shared" si="55"/>
        <v>3.2515657620041756</v>
      </c>
      <c r="AY375" s="5">
        <f t="shared" si="56"/>
        <v>4.4547059622436507</v>
      </c>
      <c r="AZ375">
        <f t="shared" si="57"/>
        <v>4010000</v>
      </c>
      <c r="BA375">
        <v>0</v>
      </c>
      <c r="BB375">
        <v>1260000</v>
      </c>
      <c r="BC375">
        <v>630000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260000</v>
      </c>
      <c r="BK375">
        <v>0</v>
      </c>
      <c r="BL375">
        <v>0</v>
      </c>
      <c r="BM375">
        <v>0</v>
      </c>
      <c r="BN375">
        <v>130000</v>
      </c>
      <c r="BO375">
        <v>0</v>
      </c>
      <c r="BP375">
        <v>410000</v>
      </c>
      <c r="BQ375">
        <v>0</v>
      </c>
      <c r="BR375">
        <v>1260000</v>
      </c>
      <c r="BS375">
        <v>0</v>
      </c>
      <c r="BT375">
        <v>0</v>
      </c>
      <c r="BU375">
        <v>0</v>
      </c>
      <c r="BV375">
        <v>60000</v>
      </c>
      <c r="BW375">
        <v>0</v>
      </c>
      <c r="BX375">
        <v>0</v>
      </c>
      <c r="BY375">
        <v>0</v>
      </c>
      <c r="BZ375">
        <v>0</v>
      </c>
      <c r="CA375">
        <v>0</v>
      </c>
      <c r="CT375">
        <v>43.142144638403991</v>
      </c>
      <c r="CU375">
        <v>15.211970074812989</v>
      </c>
      <c r="CV375">
        <v>41.645885286782999</v>
      </c>
      <c r="CW375">
        <v>0</v>
      </c>
      <c r="CX375">
        <v>0</v>
      </c>
      <c r="CY375">
        <v>48.628428927680744</v>
      </c>
      <c r="CZ375">
        <v>9.7256857855361591</v>
      </c>
      <c r="DA375">
        <v>41.645885286782999</v>
      </c>
      <c r="DB375">
        <v>0</v>
      </c>
      <c r="DC375">
        <v>0</v>
      </c>
      <c r="DD375">
        <v>48.628428927680851</v>
      </c>
      <c r="DE375">
        <v>9.7256857855361591</v>
      </c>
      <c r="DF375">
        <v>41.645885286782999</v>
      </c>
      <c r="DG375">
        <v>0</v>
      </c>
      <c r="DH375">
        <v>0</v>
      </c>
      <c r="DI375">
        <v>47.132169576059901</v>
      </c>
      <c r="DJ375">
        <v>9.7256857855361591</v>
      </c>
      <c r="DK375">
        <v>43.142144638403948</v>
      </c>
      <c r="DL375">
        <v>0</v>
      </c>
      <c r="DM375">
        <v>0</v>
      </c>
      <c r="DN375">
        <v>47.132169576059901</v>
      </c>
      <c r="DO375">
        <v>9.7256857855361591</v>
      </c>
      <c r="DP375">
        <v>43.142144638403948</v>
      </c>
      <c r="DQ375">
        <v>0</v>
      </c>
      <c r="DR375">
        <v>0</v>
      </c>
      <c r="DS375" t="s">
        <v>768</v>
      </c>
      <c r="DT375" t="s">
        <v>768</v>
      </c>
      <c r="DU375" t="s">
        <v>768</v>
      </c>
      <c r="DV375" t="s">
        <v>768</v>
      </c>
      <c r="DW375" t="s">
        <v>768</v>
      </c>
      <c r="DX375" t="s">
        <v>768</v>
      </c>
      <c r="DY375" t="s">
        <v>768</v>
      </c>
      <c r="DZ375" t="s">
        <v>768</v>
      </c>
      <c r="EA375" t="s">
        <v>768</v>
      </c>
      <c r="EB375" t="s">
        <v>768</v>
      </c>
      <c r="EC375" t="s">
        <v>768</v>
      </c>
      <c r="ED375" t="s">
        <v>894</v>
      </c>
      <c r="EE375" t="s">
        <v>895</v>
      </c>
      <c r="EF375" t="s">
        <v>746</v>
      </c>
      <c r="EG375" t="s">
        <v>760</v>
      </c>
    </row>
    <row r="376" spans="1:137" ht="14.55" customHeight="1" x14ac:dyDescent="0.3">
      <c r="A376" t="s">
        <v>1236</v>
      </c>
      <c r="B376">
        <v>74314</v>
      </c>
      <c r="C376" t="s">
        <v>1002</v>
      </c>
      <c r="D376" t="s">
        <v>543</v>
      </c>
      <c r="E376" t="s">
        <v>879</v>
      </c>
      <c r="F376" t="s">
        <v>742</v>
      </c>
      <c r="G376" t="s">
        <v>913</v>
      </c>
      <c r="H376" s="3">
        <v>12413171.837400001</v>
      </c>
      <c r="I376">
        <v>1242</v>
      </c>
      <c r="J376" s="3">
        <v>1241.31718374</v>
      </c>
      <c r="K376">
        <v>325</v>
      </c>
      <c r="L376">
        <v>921</v>
      </c>
      <c r="M376">
        <v>486.65188114578899</v>
      </c>
      <c r="N376">
        <v>121.14682780858</v>
      </c>
      <c r="O376">
        <v>0</v>
      </c>
      <c r="P376">
        <v>38.468345642089801</v>
      </c>
      <c r="Q376">
        <v>6.8256669044494602</v>
      </c>
      <c r="R376">
        <v>5.2411179542541504</v>
      </c>
      <c r="S376" t="s">
        <v>881</v>
      </c>
      <c r="T376" t="s">
        <v>1237</v>
      </c>
      <c r="U376" t="s">
        <v>1002</v>
      </c>
      <c r="V376" t="s">
        <v>1002</v>
      </c>
      <c r="W376" s="3">
        <v>1588</v>
      </c>
      <c r="X376" s="3">
        <v>12400000</v>
      </c>
      <c r="Y376">
        <v>3</v>
      </c>
      <c r="Z376" s="3">
        <v>667</v>
      </c>
      <c r="AA376" s="3">
        <v>751</v>
      </c>
      <c r="AB376" s="3">
        <v>784</v>
      </c>
      <c r="AC376" s="3">
        <v>839</v>
      </c>
      <c r="AD376" s="3">
        <v>835</v>
      </c>
      <c r="AE376" s="3">
        <v>895</v>
      </c>
      <c r="AF376" s="3">
        <v>930</v>
      </c>
      <c r="AG376" s="3">
        <v>966</v>
      </c>
      <c r="AH376" s="3">
        <v>997</v>
      </c>
      <c r="AI376" s="3">
        <v>1161</v>
      </c>
      <c r="AJ376" s="3">
        <v>1275</v>
      </c>
      <c r="AK376" s="3">
        <v>1398</v>
      </c>
      <c r="AL376" s="3">
        <v>1521</v>
      </c>
      <c r="AM376" s="3">
        <v>1541</v>
      </c>
      <c r="AN376" s="3">
        <v>1588</v>
      </c>
      <c r="AO376" s="3">
        <v>1614</v>
      </c>
      <c r="AP376" s="3">
        <v>1630</v>
      </c>
      <c r="AQ376" s="3">
        <v>1650</v>
      </c>
      <c r="AR376" s="4">
        <v>131.45161290322579</v>
      </c>
      <c r="AS376" s="5">
        <f t="shared" si="50"/>
        <v>1.5742128935532234</v>
      </c>
      <c r="AT376" s="5">
        <f t="shared" si="51"/>
        <v>0.48823790501553477</v>
      </c>
      <c r="AU376" s="5">
        <f t="shared" si="52"/>
        <v>1.8622448979591839</v>
      </c>
      <c r="AV376" s="5">
        <f t="shared" si="53"/>
        <v>7.5268817204301079</v>
      </c>
      <c r="AW376" s="5">
        <f t="shared" si="54"/>
        <v>1.0318370226651381</v>
      </c>
      <c r="AX376" s="5">
        <f t="shared" si="55"/>
        <v>5.3954081632653059</v>
      </c>
      <c r="AY376" s="5">
        <f t="shared" si="56"/>
        <v>3.9021030025527779</v>
      </c>
      <c r="AZ376">
        <f t="shared" si="57"/>
        <v>12420000</v>
      </c>
      <c r="BA376">
        <v>0</v>
      </c>
      <c r="BB376">
        <v>910000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4110000</v>
      </c>
      <c r="BK376">
        <v>0</v>
      </c>
      <c r="BL376">
        <v>0</v>
      </c>
      <c r="BM376">
        <v>900000</v>
      </c>
      <c r="BN376">
        <v>190000</v>
      </c>
      <c r="BO376">
        <v>830000</v>
      </c>
      <c r="BP376">
        <v>4750000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30000</v>
      </c>
      <c r="BZ376">
        <v>700000</v>
      </c>
      <c r="CA376">
        <v>0</v>
      </c>
      <c r="CT376">
        <v>5.9581320450885702</v>
      </c>
      <c r="CU376">
        <v>49.838969404186805</v>
      </c>
      <c r="CV376">
        <v>38.405797101449302</v>
      </c>
      <c r="CW376">
        <v>0.161030595813205</v>
      </c>
      <c r="CX376">
        <v>5.6360708534621597</v>
      </c>
      <c r="CY376">
        <v>6.6022544283413902</v>
      </c>
      <c r="CZ376">
        <v>49.19484702093402</v>
      </c>
      <c r="DA376">
        <v>38.405797101449302</v>
      </c>
      <c r="DB376">
        <v>0.241545893719807</v>
      </c>
      <c r="DC376">
        <v>5.5555555555555598</v>
      </c>
      <c r="DD376">
        <v>6.92431561996779</v>
      </c>
      <c r="DE376">
        <v>48.953301127214218</v>
      </c>
      <c r="DF376">
        <v>38.2447665056361</v>
      </c>
      <c r="DG376">
        <v>0.241545893719807</v>
      </c>
      <c r="DH376">
        <v>5.6360708534621597</v>
      </c>
      <c r="DI376">
        <v>7.3268921095008102</v>
      </c>
      <c r="DJ376">
        <v>48.550724637681128</v>
      </c>
      <c r="DK376">
        <v>38.2447665056361</v>
      </c>
      <c r="DL376">
        <v>0.241545893719807</v>
      </c>
      <c r="DM376">
        <v>5.6360708534621597</v>
      </c>
      <c r="DN376">
        <v>7.3268921095008102</v>
      </c>
      <c r="DO376">
        <v>48.550724637681128</v>
      </c>
      <c r="DP376">
        <v>38.2447665056361</v>
      </c>
      <c r="DQ376">
        <v>0.241545893719807</v>
      </c>
      <c r="DR376">
        <v>5.6360708534621597</v>
      </c>
      <c r="DS376" t="s">
        <v>312</v>
      </c>
      <c r="DT376" t="s">
        <v>313</v>
      </c>
      <c r="DU376">
        <v>1645</v>
      </c>
      <c r="DV376" t="s">
        <v>547</v>
      </c>
      <c r="DW376" t="s">
        <v>548</v>
      </c>
      <c r="DX376">
        <v>86</v>
      </c>
      <c r="DY376">
        <v>130</v>
      </c>
      <c r="DZ376">
        <v>216</v>
      </c>
      <c r="EA376">
        <v>606779</v>
      </c>
      <c r="EB376">
        <v>388178</v>
      </c>
      <c r="EC376">
        <v>994957</v>
      </c>
      <c r="ED376" t="s">
        <v>1001</v>
      </c>
      <c r="EE376" t="s">
        <v>1002</v>
      </c>
      <c r="EF376" t="s">
        <v>746</v>
      </c>
      <c r="EG376" t="s">
        <v>747</v>
      </c>
    </row>
    <row r="377" spans="1:137" ht="14.55" customHeight="1" x14ac:dyDescent="0.3">
      <c r="A377" t="s">
        <v>1238</v>
      </c>
      <c r="B377">
        <v>74315</v>
      </c>
      <c r="C377" t="s">
        <v>1239</v>
      </c>
      <c r="D377" t="s">
        <v>543</v>
      </c>
      <c r="E377" t="s">
        <v>879</v>
      </c>
      <c r="F377" t="s">
        <v>742</v>
      </c>
      <c r="G377" t="s">
        <v>904</v>
      </c>
      <c r="H377" s="3">
        <v>3140328.0672800001</v>
      </c>
      <c r="I377">
        <v>315</v>
      </c>
      <c r="J377" s="3">
        <v>314.03280672800003</v>
      </c>
      <c r="K377">
        <v>373</v>
      </c>
      <c r="L377">
        <v>458</v>
      </c>
      <c r="M377">
        <v>411.32295392383799</v>
      </c>
      <c r="N377">
        <v>18.1683298835299</v>
      </c>
      <c r="O377">
        <v>0</v>
      </c>
      <c r="P377">
        <v>20.701850891113299</v>
      </c>
      <c r="Q377">
        <v>4.8870892524719203</v>
      </c>
      <c r="R377">
        <v>3.0544979572296098</v>
      </c>
      <c r="S377" t="s">
        <v>881</v>
      </c>
      <c r="T377" t="s">
        <v>1240</v>
      </c>
      <c r="U377" t="s">
        <v>1239</v>
      </c>
      <c r="V377" t="s">
        <v>1239</v>
      </c>
      <c r="W377" s="3">
        <v>993</v>
      </c>
      <c r="X377" s="3">
        <v>3140000</v>
      </c>
      <c r="Y377">
        <v>3</v>
      </c>
      <c r="Z377" s="3">
        <v>357</v>
      </c>
      <c r="AA377" s="3">
        <v>432</v>
      </c>
      <c r="AB377" s="3">
        <v>639</v>
      </c>
      <c r="AC377" s="3">
        <v>810</v>
      </c>
      <c r="AD377" s="3">
        <v>811</v>
      </c>
      <c r="AE377" s="3">
        <v>817</v>
      </c>
      <c r="AF377" s="3">
        <v>820</v>
      </c>
      <c r="AG377" s="3">
        <v>849</v>
      </c>
      <c r="AH377" s="3">
        <v>879</v>
      </c>
      <c r="AI377" s="3">
        <v>884</v>
      </c>
      <c r="AJ377" s="3">
        <v>901</v>
      </c>
      <c r="AK377" s="3">
        <v>925</v>
      </c>
      <c r="AL377" s="3">
        <v>953</v>
      </c>
      <c r="AM377" s="3">
        <v>981</v>
      </c>
      <c r="AN377" s="3">
        <v>993</v>
      </c>
      <c r="AO377" s="3">
        <v>1015</v>
      </c>
      <c r="AP377" s="3">
        <v>1067</v>
      </c>
      <c r="AQ377" s="3">
        <v>1068</v>
      </c>
      <c r="AR377" s="4">
        <v>339.80891719745222</v>
      </c>
      <c r="AS377" s="5">
        <f t="shared" si="50"/>
        <v>2.6260504201680672</v>
      </c>
      <c r="AT377" s="5">
        <f t="shared" si="51"/>
        <v>5.3240740740740744</v>
      </c>
      <c r="AU377" s="5">
        <f t="shared" si="52"/>
        <v>2.8325508607198744</v>
      </c>
      <c r="AV377" s="5">
        <f t="shared" si="53"/>
        <v>3.0121951219512195</v>
      </c>
      <c r="AW377" s="5">
        <f t="shared" si="54"/>
        <v>4.646564508156203</v>
      </c>
      <c r="AX377" s="5">
        <f t="shared" si="55"/>
        <v>3.3489827856025043</v>
      </c>
      <c r="AY377" s="5">
        <f t="shared" si="56"/>
        <v>5.375123022181846</v>
      </c>
      <c r="AZ377">
        <f t="shared" si="57"/>
        <v>3150000</v>
      </c>
      <c r="BA377">
        <v>0</v>
      </c>
      <c r="BB377">
        <v>960000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590000</v>
      </c>
      <c r="BK377">
        <v>0</v>
      </c>
      <c r="BL377">
        <v>0</v>
      </c>
      <c r="BM377">
        <v>0</v>
      </c>
      <c r="BN377">
        <v>0</v>
      </c>
      <c r="BO377">
        <v>450000</v>
      </c>
      <c r="BP377">
        <v>1140000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10000</v>
      </c>
      <c r="CT377">
        <v>18.730158730158699</v>
      </c>
      <c r="CU377">
        <v>44.761904761904802</v>
      </c>
      <c r="CV377">
        <v>36.190476190476197</v>
      </c>
      <c r="CW377">
        <v>0</v>
      </c>
      <c r="CX377">
        <v>0.317460317460317</v>
      </c>
      <c r="CY377">
        <v>28.253968253968299</v>
      </c>
      <c r="CZ377">
        <v>35.238095238095298</v>
      </c>
      <c r="DA377">
        <v>36.190476190476197</v>
      </c>
      <c r="DB377">
        <v>0</v>
      </c>
      <c r="DC377">
        <v>0.317460317460317</v>
      </c>
      <c r="DD377">
        <v>30.476190476190499</v>
      </c>
      <c r="DE377">
        <v>33.015873015872998</v>
      </c>
      <c r="DF377">
        <v>36.190476190476197</v>
      </c>
      <c r="DG377">
        <v>0</v>
      </c>
      <c r="DH377">
        <v>0.317460317460317</v>
      </c>
      <c r="DI377">
        <v>30.476190476190499</v>
      </c>
      <c r="DJ377">
        <v>33.015873015872998</v>
      </c>
      <c r="DK377">
        <v>36.190476190476197</v>
      </c>
      <c r="DL377">
        <v>0</v>
      </c>
      <c r="DM377">
        <v>0.317460317460317</v>
      </c>
      <c r="DN377">
        <v>30.476190476190499</v>
      </c>
      <c r="DO377">
        <v>33.015873015872998</v>
      </c>
      <c r="DP377">
        <v>36.190476190476197</v>
      </c>
      <c r="DQ377">
        <v>0</v>
      </c>
      <c r="DR377">
        <v>0.317460317460317</v>
      </c>
      <c r="DS377" t="s">
        <v>312</v>
      </c>
      <c r="DT377" t="s">
        <v>313</v>
      </c>
      <c r="DU377">
        <v>1084</v>
      </c>
      <c r="DV377" t="s">
        <v>547</v>
      </c>
      <c r="DW377" t="s">
        <v>548</v>
      </c>
      <c r="DX377">
        <v>86</v>
      </c>
      <c r="DY377">
        <v>130</v>
      </c>
      <c r="DZ377">
        <v>216</v>
      </c>
      <c r="EA377">
        <v>606779</v>
      </c>
      <c r="EB377">
        <v>388178</v>
      </c>
      <c r="EC377">
        <v>994957</v>
      </c>
      <c r="ED377" t="s">
        <v>993</v>
      </c>
      <c r="EE377" t="s">
        <v>994</v>
      </c>
      <c r="EF377" t="s">
        <v>746</v>
      </c>
      <c r="EG377" t="s">
        <v>760</v>
      </c>
    </row>
  </sheetData>
  <autoFilter ref="A4:EG377" xr:uid="{58EA8755-9D9C-4213-92E6-FECB8B68EA40}"/>
  <dataConsolidate>
    <dataRefs count="1">
      <dataRef ref="F4:BS376" sheet="par commune - ArcGIS" r:id="rId1"/>
    </dataRefs>
  </dataConsolidate>
  <conditionalFormatting sqref="AS5:AY377">
    <cfRule type="colorScale" priority="2">
      <colorScale>
        <cfvo type="min"/>
        <cfvo type="num" val="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metadata</vt:lpstr>
      <vt:lpstr>data</vt:lpstr>
      <vt:lpstr>statistics_communes</vt:lpstr>
      <vt:lpstr>TRACES_stat_data_communes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Dao</dc:creator>
  <cp:lastModifiedBy>Hy Dao</cp:lastModifiedBy>
  <dcterms:created xsi:type="dcterms:W3CDTF">2024-10-04T14:35:47Z</dcterms:created>
  <dcterms:modified xsi:type="dcterms:W3CDTF">2024-10-04T14:44:52Z</dcterms:modified>
</cp:coreProperties>
</file>